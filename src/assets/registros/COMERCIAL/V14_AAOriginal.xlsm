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3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qg\OneDrive - IRCO\Documentos - Comun\00. COTIZACIONES 2024-2025\"/>
    </mc:Choice>
  </mc:AlternateContent>
  <xr:revisionPtr revIDLastSave="0" documentId="13_ncr:1_{32607B84-D23E-4C36-A393-F5DF3E499CDE}" xr6:coauthVersionLast="47" xr6:coauthVersionMax="47" xr10:uidLastSave="{00000000-0000-0000-0000-000000000000}"/>
  <bookViews>
    <workbookView xWindow="-120" yWindow="-120" windowWidth="29040" windowHeight="15720" tabRatio="923" activeTab="1" xr2:uid="{00000000-000D-0000-FFFF-FFFF00000000}"/>
  </bookViews>
  <sheets>
    <sheet name="Cambios" sheetId="56" r:id="rId1"/>
    <sheet name="Datos_Generales" sheetId="39" r:id="rId2"/>
    <sheet name="Mano_obra" sheetId="51" r:id="rId3"/>
    <sheet name="Materia_Prima" sheetId="48" r:id="rId4"/>
    <sheet name="Complementos" sheetId="54" r:id="rId5"/>
    <sheet name="Resumen" sheetId="55" state="hidden" r:id="rId6"/>
    <sheet name="Hoja_Oferta" sheetId="62" r:id="rId7"/>
    <sheet name="COEFICIENTES" sheetId="59" r:id="rId8"/>
    <sheet name="COEFICIENTES_CAP" sheetId="64" r:id="rId9"/>
    <sheet name="Presupuesto_final" sheetId="28" r:id="rId10"/>
    <sheet name="Controller" sheetId="61" r:id="rId11"/>
    <sheet name="Presupuesto_Final2" sheetId="60" r:id="rId12"/>
    <sheet name="Anexo_Conselleria_II" sheetId="46" r:id="rId13"/>
    <sheet name="costeHora" sheetId="57" r:id="rId14"/>
    <sheet name="Listado" sheetId="50" r:id="rId15"/>
    <sheet name="calculo_abs." sheetId="58" r:id="rId16"/>
    <sheet name="Escandallo" sheetId="22" r:id="rId17"/>
    <sheet name="Tablas Salariales" sheetId="24" r:id="rId18"/>
  </sheets>
  <functionGroups builtInGroupCount="19"/>
  <externalReferences>
    <externalReference r:id="rId19"/>
  </externalReferences>
  <definedNames>
    <definedName name="_xlnm._FilterDatabase" localSheetId="15" hidden="1">'calculo_abs.'!$I$1:$L$570</definedName>
    <definedName name="_xlnm._FilterDatabase" localSheetId="10" hidden="1">Controller!$A$1:$Y$357</definedName>
    <definedName name="_xlnm._FilterDatabase" localSheetId="13" hidden="1">costeHora!$A$2:$AE$25</definedName>
    <definedName name="_xlnm._FilterDatabase" localSheetId="16" hidden="1">Escandallo!$A$1:$O$443</definedName>
    <definedName name="_xlnm._FilterDatabase" localSheetId="14" hidden="1">Listado!$CG$2:$CR$194</definedName>
    <definedName name="_xlnm._FilterDatabase" localSheetId="17" hidden="1">'Tablas Salariales'!$A$2:$AX$226</definedName>
    <definedName name="_xlpm.a" hidden="1" xlm="1">#NAME?</definedName>
    <definedName name="_xlpm.col" hidden="1" xlm="1">#NAME?</definedName>
    <definedName name="_xlpm.fila" hidden="1" xlm="1">#NAME?</definedName>
    <definedName name="_xlpm.M" hidden="1" xlm="1">#NAME?</definedName>
    <definedName name="_xlpm.P" hidden="1" xlm="1">#NAME?</definedName>
    <definedName name="_xlpm.pa" hidden="1" xlm="1">#NAME?</definedName>
    <definedName name="_xlpm.paF" hidden="1" xlm="1">#NAME?</definedName>
    <definedName name="_xlpm.paFi" hidden="1" xlm="1">#NAME?</definedName>
    <definedName name="_xlpm.paFil" hidden="1" xlm="1">#NAME?</definedName>
    <definedName name="_xlpm.paFila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licante">Listado!$AB$3:$AB$23</definedName>
    <definedName name="alicante_personal" localSheetId="13">costeHora!$E$15:$AB$20</definedName>
    <definedName name="alicante_personal">'Tablas Salariales'!$E$29:$AX$38</definedName>
    <definedName name="Amparo_Gisbert">Listado!$BG$3:$BG$32</definedName>
    <definedName name="_xlnm.Print_Area" localSheetId="7">COEFICIENTES!$A$1:$J$65</definedName>
    <definedName name="_xlnm.Print_Area" localSheetId="8">COEFICIENTES_CAP!$A$1:$J$65</definedName>
    <definedName name="_xlnm.Print_Area" localSheetId="4">Complementos!$A$1:$Y$164</definedName>
    <definedName name="_xlnm.Print_Area" localSheetId="1">Datos_Generales!$A$1:$T$41</definedName>
    <definedName name="_xlnm.Print_Area" localSheetId="6">Hoja_Oferta!$A$1:$G$23</definedName>
    <definedName name="_xlnm.Print_Area" localSheetId="2">Mano_obra!$A$1:$R$70</definedName>
    <definedName name="_xlnm.Print_Area" localSheetId="3">Materia_Prima!$A$1:$W$88</definedName>
    <definedName name="_xlnm.Print_Area" localSheetId="9">Presupuesto_final!$B$1:$K$47</definedName>
    <definedName name="Castellon">Listado!$AD$3:$AD$22</definedName>
    <definedName name="castellon_Personal" localSheetId="13">costeHora!$E$9:$AB$13</definedName>
    <definedName name="castellon_Personal">'Tablas Salariales'!$E$15:$AX$28</definedName>
    <definedName name="CLIENTE">[1]datos_powerBi!$A$4:$A$343</definedName>
    <definedName name="Codigos_Centros">Listado!$CG$3:$CH$267</definedName>
    <definedName name="Competencia">Listado!$L$3:$L$30</definedName>
    <definedName name="Complementos">Listado!$AV$3:$AV$61</definedName>
    <definedName name="Complementos_Matriz">Listado!$AV$3:$AW$61</definedName>
    <definedName name="controller">Controller!$A$1:$S$399</definedName>
    <definedName name="Córdoba">Listado!$AF$3:$AF$23</definedName>
    <definedName name="cordoba_Personal">'Tablas Salariales'!$E$114:$AX$126</definedName>
    <definedName name="DATOS">[1]consolidado!$B$3:$AX$588</definedName>
    <definedName name="DATOS_POWER">[1]datos_powerBi!$B$4:$Y$601</definedName>
    <definedName name="Elvira_Serrano">Listado!$BE$3:$BE$32</definedName>
    <definedName name="Escandallo_Dietas">Escandallo!$A$2:$M$599</definedName>
    <definedName name="Eva_Villoldo">Listado!$BI$3:$BI$32</definedName>
    <definedName name="Granada">Listado!$AL$3:$AL$23</definedName>
    <definedName name="granada_personal">'Tablas Salariales'!$E$177:$AX$189</definedName>
    <definedName name="IMPROVEN">#REF!</definedName>
    <definedName name="Jaén">Listado!$AH$3:$AH$23</definedName>
    <definedName name="jaen_personal">'Tablas Salariales'!$E$164:$AX$176</definedName>
    <definedName name="Joan_Avella">Listado!$BQ$3:$BQ$32</definedName>
    <definedName name="Laura_Cucarella">Listado!$BO$3:$BO$32</definedName>
    <definedName name="Listado_clientes">Listado!$CG$3:$CG$267</definedName>
    <definedName name="Madrid">Listado!$AN$3:$AN$23</definedName>
    <definedName name="madrid_Personal">'Tablas Salariales'!$E$66:$AX$73</definedName>
    <definedName name="Málaga">Listado!$AP$3:$AP$23</definedName>
    <definedName name="malaga_personal">'Tablas Salariales'!$E$190:$AX$201</definedName>
    <definedName name="Maria_Jose_Sanchez">Listado!$BS$3:$BS$32</definedName>
    <definedName name="Meses">Listado!$P$3:$P$23</definedName>
    <definedName name="Meses_Matriz">Listado!$P$2:$W$41</definedName>
    <definedName name="Murcia">Listado!$AR$3:$AR$23</definedName>
    <definedName name="murcia_Personal" localSheetId="13">costeHora!$E$21:$AB$25</definedName>
    <definedName name="murcia_Personal">'Tablas Salariales'!$E$39:$AX$46</definedName>
    <definedName name="Paula_Garcia">Listado!$BU$3:$BU$32</definedName>
    <definedName name="personal_Rangos">Listado!$I$3:$J$19</definedName>
    <definedName name="proyectoEducativo">Listado!$BB$3:$BB$61</definedName>
    <definedName name="proyectoEducativo_Matriz">Listado!$BB$3:$BC$61</definedName>
    <definedName name="Responsable">Listado!$N$3:$N$23</definedName>
    <definedName name="Rosa_Maria_Tabares">Listado!$BY$3:$BY$32</definedName>
    <definedName name="Sevilla">Listado!$AJ$3:$AJ$23</definedName>
    <definedName name="sevilla_personal">'Tablas Salariales'!$E$139:$AX$151</definedName>
    <definedName name="Silvia_Payan">Listado!$CA$3:$CA$32</definedName>
    <definedName name="Tipo_Cliente">Listado!$Y$3:$Y$8</definedName>
    <definedName name="Tipo_cliente_Matriz">Listado!$Y$3:$Z$8</definedName>
    <definedName name="Tipo_Comensal">Listado!$G$3:$G$19</definedName>
    <definedName name="Tipo_Dieta">Listado!$E$3:$E$19</definedName>
    <definedName name="Transporte_Matriz">Listado!$CT$3:$CW$13</definedName>
    <definedName name="Valencia">Listado!$AT$3:$AT$23</definedName>
    <definedName name="Valencia_personal" localSheetId="13">costeHora!$E$3:$AB$8</definedName>
    <definedName name="Valencia_personal">'Tablas Salariales'!$E$3:$AX$14</definedName>
    <definedName name="Variables">Listado!$AY$3:$AY$50</definedName>
    <definedName name="Variables_Matriz">Listado!$AY$3:$AZ$50</definedName>
    <definedName name="Yolanda_Alvarez">Listado!$CC$3:$CC$32</definedName>
    <definedName name="Yolanda_Real">Listado!$CE$3:$CE$32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2" i="59" l="1"/>
  <c r="D25" i="39"/>
  <c r="N25" i="57"/>
  <c r="N24" i="57"/>
  <c r="N23" i="57"/>
  <c r="N22" i="57"/>
  <c r="N21" i="57"/>
  <c r="N20" i="57"/>
  <c r="N19" i="57"/>
  <c r="Y19" i="57" s="1"/>
  <c r="N18" i="57"/>
  <c r="Y18" i="57" s="1"/>
  <c r="N17" i="57"/>
  <c r="N16" i="57"/>
  <c r="N15" i="57"/>
  <c r="N14" i="57"/>
  <c r="N13" i="57"/>
  <c r="N12" i="57"/>
  <c r="N11" i="57"/>
  <c r="Y11" i="57" s="1"/>
  <c r="N10" i="57"/>
  <c r="Y10" i="57" s="1"/>
  <c r="N9" i="57"/>
  <c r="N8" i="57"/>
  <c r="N7" i="57"/>
  <c r="N6" i="57"/>
  <c r="N5" i="57"/>
  <c r="N4" i="57"/>
  <c r="N3" i="57"/>
  <c r="Y25" i="57"/>
  <c r="Y24" i="57"/>
  <c r="Y23" i="57"/>
  <c r="Y22" i="57"/>
  <c r="Y21" i="57"/>
  <c r="Y20" i="57"/>
  <c r="Y17" i="57"/>
  <c r="Y16" i="57"/>
  <c r="Y15" i="57"/>
  <c r="Y14" i="57"/>
  <c r="Y13" i="57"/>
  <c r="Y12" i="57"/>
  <c r="Y9" i="57"/>
  <c r="Y8" i="57"/>
  <c r="Y7" i="57"/>
  <c r="Y6" i="57"/>
  <c r="Y4" i="57"/>
  <c r="A446" i="22"/>
  <c r="A445" i="22"/>
  <c r="A444" i="22"/>
  <c r="I151" i="24"/>
  <c r="I150" i="24"/>
  <c r="I149" i="24"/>
  <c r="I148" i="24"/>
  <c r="I146" i="24"/>
  <c r="I145" i="24"/>
  <c r="I144" i="24"/>
  <c r="I143" i="24"/>
  <c r="I142" i="24"/>
  <c r="I141" i="24"/>
  <c r="I140" i="24"/>
  <c r="I139" i="24"/>
  <c r="I201" i="24"/>
  <c r="I200" i="24"/>
  <c r="I199" i="24"/>
  <c r="I198" i="24"/>
  <c r="I197" i="24"/>
  <c r="I196" i="24"/>
  <c r="I195" i="24"/>
  <c r="I194" i="24"/>
  <c r="I193" i="24"/>
  <c r="I192" i="24"/>
  <c r="I191" i="24"/>
  <c r="I190" i="24"/>
  <c r="I176" i="24"/>
  <c r="I175" i="24"/>
  <c r="I174" i="24"/>
  <c r="I173" i="24"/>
  <c r="I172" i="24"/>
  <c r="I171" i="24"/>
  <c r="I170" i="24"/>
  <c r="I169" i="24"/>
  <c r="I168" i="24"/>
  <c r="I167" i="24"/>
  <c r="I166" i="24"/>
  <c r="I165" i="24"/>
  <c r="I164" i="24"/>
  <c r="I189" i="24"/>
  <c r="I188" i="24"/>
  <c r="I187" i="24"/>
  <c r="I186" i="24"/>
  <c r="I185" i="24"/>
  <c r="I184" i="24"/>
  <c r="I183" i="24"/>
  <c r="I182" i="24"/>
  <c r="I181" i="24"/>
  <c r="I178" i="24"/>
  <c r="I179" i="24"/>
  <c r="I180" i="24"/>
  <c r="I177" i="24"/>
  <c r="CQ195" i="50"/>
  <c r="CR195" i="50" s="1"/>
  <c r="CM195" i="50"/>
  <c r="B42" i="64"/>
  <c r="E32" i="64"/>
  <c r="B42" i="59"/>
  <c r="B63" i="54"/>
  <c r="I64" i="51" l="1"/>
  <c r="I32" i="51"/>
  <c r="F3" i="54" l="1"/>
  <c r="B32" i="64"/>
  <c r="B39" i="64"/>
  <c r="CH4" i="50" l="1"/>
  <c r="CH5" i="50"/>
  <c r="CH6" i="50"/>
  <c r="CH7" i="50"/>
  <c r="CH8" i="50"/>
  <c r="CH9" i="50"/>
  <c r="CH10" i="50"/>
  <c r="CH11" i="50"/>
  <c r="CH12" i="50"/>
  <c r="CH13" i="50"/>
  <c r="CH14" i="50"/>
  <c r="CH15" i="50"/>
  <c r="CH16" i="50"/>
  <c r="CH17" i="50"/>
  <c r="CH18" i="50"/>
  <c r="CH19" i="50"/>
  <c r="CH20" i="50"/>
  <c r="CH21" i="50"/>
  <c r="CH22" i="50"/>
  <c r="CH23" i="50"/>
  <c r="CH24" i="50"/>
  <c r="CH25" i="50"/>
  <c r="CH26" i="50"/>
  <c r="CH27" i="50"/>
  <c r="CH28" i="50"/>
  <c r="CH29" i="50"/>
  <c r="CH30" i="50"/>
  <c r="CH31" i="50"/>
  <c r="CH32" i="50"/>
  <c r="CH33" i="50"/>
  <c r="CH34" i="50"/>
  <c r="CH35" i="50"/>
  <c r="CH36" i="50"/>
  <c r="CH37" i="50"/>
  <c r="CH38" i="50"/>
  <c r="CH39" i="50"/>
  <c r="CH40" i="50"/>
  <c r="CH41" i="50"/>
  <c r="CH42" i="50"/>
  <c r="CH43" i="50"/>
  <c r="CH44" i="50"/>
  <c r="CH45" i="50"/>
  <c r="CH46" i="50"/>
  <c r="CH47" i="50"/>
  <c r="CH48" i="50"/>
  <c r="CH49" i="50"/>
  <c r="CH50" i="50"/>
  <c r="CH51" i="50"/>
  <c r="CH52" i="50"/>
  <c r="CH53" i="50"/>
  <c r="CH54" i="50"/>
  <c r="CH55" i="50"/>
  <c r="CH56" i="50"/>
  <c r="CH57" i="50"/>
  <c r="CH58" i="50"/>
  <c r="CH59" i="50"/>
  <c r="CH60" i="50"/>
  <c r="CH61" i="50"/>
  <c r="CH62" i="50"/>
  <c r="CH63" i="50"/>
  <c r="CH64" i="50"/>
  <c r="CH65" i="50"/>
  <c r="CH66" i="50"/>
  <c r="CH67" i="50"/>
  <c r="CH68" i="50"/>
  <c r="CH69" i="50"/>
  <c r="CH70" i="50"/>
  <c r="CH71" i="50"/>
  <c r="CH72" i="50"/>
  <c r="CH73" i="50"/>
  <c r="CH74" i="50"/>
  <c r="CH75" i="50"/>
  <c r="CH76" i="50"/>
  <c r="CH77" i="50"/>
  <c r="CH78" i="50"/>
  <c r="CH79" i="50"/>
  <c r="CH80" i="50"/>
  <c r="CH81" i="50"/>
  <c r="CH82" i="50"/>
  <c r="CH83" i="50"/>
  <c r="CH84" i="50"/>
  <c r="CH85" i="50"/>
  <c r="CH86" i="50"/>
  <c r="CH87" i="50"/>
  <c r="CH88" i="50"/>
  <c r="CH89" i="50"/>
  <c r="CH90" i="50"/>
  <c r="CH91" i="50"/>
  <c r="CH92" i="50"/>
  <c r="CH93" i="50"/>
  <c r="CH94" i="50"/>
  <c r="CH95" i="50"/>
  <c r="CH96" i="50"/>
  <c r="CH97" i="50"/>
  <c r="CH98" i="50"/>
  <c r="CH99" i="50"/>
  <c r="CH100" i="50"/>
  <c r="CH101" i="50"/>
  <c r="CH102" i="50"/>
  <c r="CH103" i="50"/>
  <c r="CH104" i="50"/>
  <c r="CH105" i="50"/>
  <c r="CH106" i="50"/>
  <c r="CH107" i="50"/>
  <c r="CH108" i="50"/>
  <c r="CH109" i="50"/>
  <c r="CH110" i="50"/>
  <c r="CH111" i="50"/>
  <c r="CH112" i="50"/>
  <c r="CH113" i="50"/>
  <c r="CH114" i="50"/>
  <c r="CH115" i="50"/>
  <c r="CH116" i="50"/>
  <c r="CH117" i="50"/>
  <c r="CH118" i="50"/>
  <c r="CH119" i="50"/>
  <c r="CH120" i="50"/>
  <c r="CH121" i="50"/>
  <c r="CH122" i="50"/>
  <c r="CH123" i="50"/>
  <c r="CH124" i="50"/>
  <c r="CH125" i="50"/>
  <c r="CH126" i="50"/>
  <c r="CH127" i="50"/>
  <c r="CH128" i="50"/>
  <c r="CH129" i="50"/>
  <c r="CH130" i="50"/>
  <c r="CH131" i="50"/>
  <c r="CH132" i="50"/>
  <c r="CH133" i="50"/>
  <c r="CH134" i="50"/>
  <c r="CH135" i="50"/>
  <c r="CH136" i="50"/>
  <c r="CH137" i="50"/>
  <c r="CH138" i="50"/>
  <c r="CH139" i="50"/>
  <c r="CH140" i="50"/>
  <c r="CH141" i="50"/>
  <c r="CH142" i="50"/>
  <c r="CH143" i="50"/>
  <c r="CH144" i="50"/>
  <c r="CH145" i="50"/>
  <c r="CH146" i="50"/>
  <c r="CH147" i="50"/>
  <c r="CH148" i="50"/>
  <c r="CH149" i="50"/>
  <c r="CH150" i="50"/>
  <c r="CH151" i="50"/>
  <c r="CH152" i="50"/>
  <c r="CH153" i="50"/>
  <c r="CH154" i="50"/>
  <c r="CH155" i="50"/>
  <c r="CH156" i="50"/>
  <c r="CH157" i="50"/>
  <c r="CH158" i="50"/>
  <c r="CH159" i="50"/>
  <c r="CH160" i="50"/>
  <c r="CH161" i="50"/>
  <c r="CH162" i="50"/>
  <c r="CH163" i="50"/>
  <c r="CH164" i="50"/>
  <c r="CH165" i="50"/>
  <c r="CH166" i="50"/>
  <c r="CH167" i="50"/>
  <c r="CH168" i="50"/>
  <c r="CH169" i="50"/>
  <c r="CH170" i="50"/>
  <c r="CH171" i="50"/>
  <c r="CH172" i="50"/>
  <c r="CH173" i="50"/>
  <c r="CH174" i="50"/>
  <c r="CH175" i="50"/>
  <c r="CH176" i="50"/>
  <c r="CH177" i="50"/>
  <c r="CH178" i="50"/>
  <c r="CH179" i="50"/>
  <c r="CH180" i="50"/>
  <c r="CH181" i="50"/>
  <c r="CH182" i="50"/>
  <c r="CH183" i="50"/>
  <c r="CH184" i="50"/>
  <c r="CH185" i="50"/>
  <c r="CH186" i="50"/>
  <c r="CH187" i="50"/>
  <c r="CH188" i="50"/>
  <c r="CH189" i="50"/>
  <c r="CH190" i="50"/>
  <c r="CH191" i="50"/>
  <c r="CH192" i="50"/>
  <c r="CH193" i="50"/>
  <c r="CH194" i="50"/>
  <c r="CH3" i="50"/>
  <c r="E9" i="39" l="1"/>
  <c r="B4" i="62"/>
  <c r="CQ194" i="50" l="1"/>
  <c r="CR194" i="50" s="1"/>
  <c r="CM194" i="50"/>
  <c r="CQ193" i="50"/>
  <c r="CR193" i="50" s="1"/>
  <c r="CM193" i="50"/>
  <c r="CQ192" i="50"/>
  <c r="CR192" i="50" s="1"/>
  <c r="CM192" i="50"/>
  <c r="CQ191" i="50"/>
  <c r="CR191" i="50" s="1"/>
  <c r="CM191" i="50"/>
  <c r="CQ190" i="50"/>
  <c r="CR190" i="50" s="1"/>
  <c r="CM190" i="50"/>
  <c r="P41" i="39" l="1"/>
  <c r="AQ1" i="51" s="1"/>
  <c r="O41" i="39"/>
  <c r="AP1" i="51" s="1"/>
  <c r="A63" i="51"/>
  <c r="M63" i="51" s="1"/>
  <c r="D156" i="54"/>
  <c r="D147" i="54"/>
  <c r="D138" i="54"/>
  <c r="H21" i="28"/>
  <c r="H20" i="28"/>
  <c r="H19" i="28"/>
  <c r="AD1" i="51" l="1"/>
  <c r="AC1" i="51"/>
  <c r="P33" i="39"/>
  <c r="K9" i="39" s="1"/>
  <c r="B39" i="59"/>
  <c r="D64" i="54"/>
  <c r="AB8" i="24" l="1"/>
  <c r="AB16" i="24"/>
  <c r="AB24" i="24"/>
  <c r="AB7" i="24"/>
  <c r="AB9" i="24"/>
  <c r="AB17" i="24"/>
  <c r="AB25" i="24"/>
  <c r="AB20" i="24"/>
  <c r="AB21" i="24"/>
  <c r="AB22" i="24"/>
  <c r="AB15" i="24"/>
  <c r="AB10" i="24"/>
  <c r="AB18" i="24"/>
  <c r="AB26" i="24"/>
  <c r="AB12" i="24"/>
  <c r="AB5" i="24"/>
  <c r="AB6" i="24"/>
  <c r="AB23" i="24"/>
  <c r="AB3" i="24"/>
  <c r="AB11" i="24"/>
  <c r="AB19" i="24"/>
  <c r="AB27" i="24"/>
  <c r="AB4" i="24"/>
  <c r="AB28" i="24"/>
  <c r="AB13" i="24"/>
  <c r="AB14" i="24"/>
  <c r="B42" i="54"/>
  <c r="B48" i="54"/>
  <c r="D48" i="54" s="1"/>
  <c r="B40" i="54"/>
  <c r="J49" i="54"/>
  <c r="J50" i="54"/>
  <c r="J51" i="54"/>
  <c r="J52" i="54"/>
  <c r="J53" i="54"/>
  <c r="J54" i="54"/>
  <c r="J55" i="54"/>
  <c r="J56" i="54"/>
  <c r="J57" i="54"/>
  <c r="J58" i="54"/>
  <c r="J59" i="54"/>
  <c r="J60" i="54"/>
  <c r="CQ178" i="50"/>
  <c r="CQ3" i="50"/>
  <c r="CR3" i="50" s="1"/>
  <c r="CQ4" i="50"/>
  <c r="CR4" i="50" s="1"/>
  <c r="CQ5" i="50"/>
  <c r="CR5" i="50" s="1"/>
  <c r="CQ6" i="50"/>
  <c r="CR6" i="50" s="1"/>
  <c r="CQ7" i="50"/>
  <c r="CQ8" i="50"/>
  <c r="CR8" i="50" s="1"/>
  <c r="CQ10" i="50"/>
  <c r="CR10" i="50" s="1"/>
  <c r="CQ11" i="50"/>
  <c r="CR11" i="50" s="1"/>
  <c r="CQ12" i="50"/>
  <c r="CR12" i="50" s="1"/>
  <c r="CQ13" i="50"/>
  <c r="CR13" i="50" s="1"/>
  <c r="CQ14" i="50"/>
  <c r="CR14" i="50" s="1"/>
  <c r="CQ15" i="50"/>
  <c r="CR15" i="50" s="1"/>
  <c r="CQ16" i="50"/>
  <c r="CR16" i="50" s="1"/>
  <c r="CQ17" i="50"/>
  <c r="CR17" i="50" s="1"/>
  <c r="CQ18" i="50"/>
  <c r="CR18" i="50" s="1"/>
  <c r="CQ19" i="50"/>
  <c r="CR19" i="50" s="1"/>
  <c r="CQ20" i="50"/>
  <c r="CR20" i="50" s="1"/>
  <c r="CQ21" i="50"/>
  <c r="CR21" i="50" s="1"/>
  <c r="CQ22" i="50"/>
  <c r="CR22" i="50" s="1"/>
  <c r="CQ23" i="50"/>
  <c r="CR23" i="50" s="1"/>
  <c r="CQ24" i="50"/>
  <c r="CR24" i="50" s="1"/>
  <c r="CQ25" i="50"/>
  <c r="CR25" i="50" s="1"/>
  <c r="CQ26" i="50"/>
  <c r="CR26" i="50" s="1"/>
  <c r="CQ27" i="50"/>
  <c r="CR27" i="50" s="1"/>
  <c r="CQ28" i="50"/>
  <c r="CR28" i="50" s="1"/>
  <c r="CQ29" i="50"/>
  <c r="CR29" i="50" s="1"/>
  <c r="CQ30" i="50"/>
  <c r="CR30" i="50" s="1"/>
  <c r="CQ31" i="50"/>
  <c r="CR31" i="50" s="1"/>
  <c r="CQ32" i="50"/>
  <c r="CR32" i="50" s="1"/>
  <c r="CQ33" i="50"/>
  <c r="CR33" i="50" s="1"/>
  <c r="CQ34" i="50"/>
  <c r="CR34" i="50" s="1"/>
  <c r="CQ35" i="50"/>
  <c r="CR35" i="50" s="1"/>
  <c r="CQ36" i="50"/>
  <c r="CR36" i="50" s="1"/>
  <c r="CQ37" i="50"/>
  <c r="CR37" i="50" s="1"/>
  <c r="CQ38" i="50"/>
  <c r="CR38" i="50" s="1"/>
  <c r="CQ39" i="50"/>
  <c r="CR39" i="50" s="1"/>
  <c r="CQ40" i="50"/>
  <c r="CR40" i="50" s="1"/>
  <c r="CQ41" i="50"/>
  <c r="CR41" i="50" s="1"/>
  <c r="CQ42" i="50"/>
  <c r="CR42" i="50" s="1"/>
  <c r="CQ43" i="50"/>
  <c r="CR43" i="50" s="1"/>
  <c r="CQ44" i="50"/>
  <c r="CQ45" i="50"/>
  <c r="CR45" i="50" s="1"/>
  <c r="CQ46" i="50"/>
  <c r="CR46" i="50" s="1"/>
  <c r="CQ47" i="50"/>
  <c r="CR47" i="50" s="1"/>
  <c r="CQ48" i="50"/>
  <c r="CR48" i="50" s="1"/>
  <c r="CQ49" i="50"/>
  <c r="CR49" i="50" s="1"/>
  <c r="CQ50" i="50"/>
  <c r="CR50" i="50" s="1"/>
  <c r="CQ52" i="50"/>
  <c r="CR52" i="50" s="1"/>
  <c r="CQ53" i="50"/>
  <c r="CR53" i="50" s="1"/>
  <c r="CQ54" i="50"/>
  <c r="CR54" i="50" s="1"/>
  <c r="CQ55" i="50"/>
  <c r="CR55" i="50" s="1"/>
  <c r="CQ56" i="50"/>
  <c r="CR56" i="50" s="1"/>
  <c r="CQ57" i="50"/>
  <c r="CR57" i="50" s="1"/>
  <c r="CQ58" i="50"/>
  <c r="CR58" i="50" s="1"/>
  <c r="CQ59" i="50"/>
  <c r="CR59" i="50" s="1"/>
  <c r="CQ60" i="50"/>
  <c r="CR60" i="50" s="1"/>
  <c r="CQ61" i="50"/>
  <c r="CR61" i="50" s="1"/>
  <c r="CQ62" i="50"/>
  <c r="CR62" i="50" s="1"/>
  <c r="CQ63" i="50"/>
  <c r="CR63" i="50" s="1"/>
  <c r="CQ64" i="50"/>
  <c r="CR64" i="50" s="1"/>
  <c r="CQ65" i="50"/>
  <c r="CR65" i="50" s="1"/>
  <c r="CQ66" i="50"/>
  <c r="CR66" i="50" s="1"/>
  <c r="CQ67" i="50"/>
  <c r="CR67" i="50" s="1"/>
  <c r="CQ68" i="50"/>
  <c r="CR68" i="50" s="1"/>
  <c r="CQ69" i="50"/>
  <c r="CR69" i="50" s="1"/>
  <c r="CQ70" i="50"/>
  <c r="CR70" i="50" s="1"/>
  <c r="CQ71" i="50"/>
  <c r="CR71" i="50" s="1"/>
  <c r="CQ72" i="50"/>
  <c r="CR72" i="50" s="1"/>
  <c r="CQ73" i="50"/>
  <c r="CR73" i="50" s="1"/>
  <c r="CQ74" i="50"/>
  <c r="CR74" i="50" s="1"/>
  <c r="CQ75" i="50"/>
  <c r="CR75" i="50" s="1"/>
  <c r="CQ76" i="50"/>
  <c r="CR76" i="50" s="1"/>
  <c r="CQ77" i="50"/>
  <c r="CR77" i="50" s="1"/>
  <c r="CQ78" i="50"/>
  <c r="CR78" i="50" s="1"/>
  <c r="CQ79" i="50"/>
  <c r="CR79" i="50" s="1"/>
  <c r="CQ80" i="50"/>
  <c r="CR80" i="50" s="1"/>
  <c r="CQ81" i="50"/>
  <c r="CR81" i="50" s="1"/>
  <c r="CQ82" i="50"/>
  <c r="CR82" i="50" s="1"/>
  <c r="CQ83" i="50"/>
  <c r="CR83" i="50" s="1"/>
  <c r="CQ84" i="50"/>
  <c r="CR84" i="50" s="1"/>
  <c r="CQ85" i="50"/>
  <c r="CR85" i="50" s="1"/>
  <c r="CQ86" i="50"/>
  <c r="CR86" i="50" s="1"/>
  <c r="CQ87" i="50"/>
  <c r="CR87" i="50" s="1"/>
  <c r="CQ88" i="50"/>
  <c r="CR88" i="50" s="1"/>
  <c r="CQ89" i="50"/>
  <c r="CR89" i="50" s="1"/>
  <c r="CQ90" i="50"/>
  <c r="CR90" i="50" s="1"/>
  <c r="CQ91" i="50"/>
  <c r="CR91" i="50" s="1"/>
  <c r="CQ92" i="50"/>
  <c r="CR92" i="50" s="1"/>
  <c r="CQ93" i="50"/>
  <c r="CR93" i="50" s="1"/>
  <c r="CQ94" i="50"/>
  <c r="CR94" i="50" s="1"/>
  <c r="CQ95" i="50"/>
  <c r="CR95" i="50" s="1"/>
  <c r="CQ96" i="50"/>
  <c r="CR96" i="50" s="1"/>
  <c r="CQ97" i="50"/>
  <c r="CR97" i="50" s="1"/>
  <c r="CQ98" i="50"/>
  <c r="CR98" i="50" s="1"/>
  <c r="CQ99" i="50"/>
  <c r="CQ100" i="50"/>
  <c r="CR100" i="50" s="1"/>
  <c r="CQ101" i="50"/>
  <c r="CR101" i="50" s="1"/>
  <c r="CQ102" i="50"/>
  <c r="CR102" i="50" s="1"/>
  <c r="CQ103" i="50"/>
  <c r="CR103" i="50" s="1"/>
  <c r="CQ104" i="50"/>
  <c r="CR104" i="50" s="1"/>
  <c r="CQ105" i="50"/>
  <c r="CR105" i="50" s="1"/>
  <c r="CQ106" i="50"/>
  <c r="CR106" i="50" s="1"/>
  <c r="CQ107" i="50"/>
  <c r="CR107" i="50" s="1"/>
  <c r="CQ108" i="50"/>
  <c r="CR108" i="50" s="1"/>
  <c r="CQ109" i="50"/>
  <c r="CR109" i="50" s="1"/>
  <c r="CQ110" i="50"/>
  <c r="CR110" i="50" s="1"/>
  <c r="CQ111" i="50"/>
  <c r="CR111" i="50" s="1"/>
  <c r="CQ112" i="50"/>
  <c r="CR112" i="50" s="1"/>
  <c r="CQ113" i="50"/>
  <c r="CR113" i="50" s="1"/>
  <c r="CQ114" i="50"/>
  <c r="CR114" i="50" s="1"/>
  <c r="CQ115" i="50"/>
  <c r="CR115" i="50" s="1"/>
  <c r="CQ116" i="50"/>
  <c r="CQ117" i="50"/>
  <c r="CR117" i="50" s="1"/>
  <c r="CQ118" i="50"/>
  <c r="CR118" i="50" s="1"/>
  <c r="CQ119" i="50"/>
  <c r="CR119" i="50" s="1"/>
  <c r="CQ120" i="50"/>
  <c r="CR120" i="50" s="1"/>
  <c r="CQ121" i="50"/>
  <c r="CR121" i="50" s="1"/>
  <c r="CQ122" i="50"/>
  <c r="CR122" i="50" s="1"/>
  <c r="CQ123" i="50"/>
  <c r="CR123" i="50" s="1"/>
  <c r="CQ124" i="50"/>
  <c r="CR124" i="50" s="1"/>
  <c r="CQ125" i="50"/>
  <c r="CR125" i="50" s="1"/>
  <c r="CQ126" i="50"/>
  <c r="CR126" i="50" s="1"/>
  <c r="CQ127" i="50"/>
  <c r="CR127" i="50" s="1"/>
  <c r="CQ128" i="50"/>
  <c r="CR128" i="50" s="1"/>
  <c r="CQ129" i="50"/>
  <c r="CR129" i="50" s="1"/>
  <c r="CQ130" i="50"/>
  <c r="CR130" i="50" s="1"/>
  <c r="CQ131" i="50"/>
  <c r="CR131" i="50" s="1"/>
  <c r="CQ132" i="50"/>
  <c r="CR132" i="50" s="1"/>
  <c r="CQ133" i="50"/>
  <c r="CR133" i="50" s="1"/>
  <c r="CQ134" i="50"/>
  <c r="CR134" i="50" s="1"/>
  <c r="CQ135" i="50"/>
  <c r="CR135" i="50" s="1"/>
  <c r="CQ136" i="50"/>
  <c r="CR136" i="50" s="1"/>
  <c r="CQ137" i="50"/>
  <c r="CR137" i="50" s="1"/>
  <c r="CQ138" i="50"/>
  <c r="CR138" i="50" s="1"/>
  <c r="CQ139" i="50"/>
  <c r="CR139" i="50" s="1"/>
  <c r="CQ140" i="50"/>
  <c r="CR140" i="50" s="1"/>
  <c r="CQ141" i="50"/>
  <c r="CR141" i="50" s="1"/>
  <c r="CQ142" i="50"/>
  <c r="CR142" i="50" s="1"/>
  <c r="CQ143" i="50"/>
  <c r="CR143" i="50" s="1"/>
  <c r="CQ144" i="50"/>
  <c r="CR144" i="50" s="1"/>
  <c r="CQ145" i="50"/>
  <c r="CR145" i="50" s="1"/>
  <c r="CQ146" i="50"/>
  <c r="CR146" i="50" s="1"/>
  <c r="CQ147" i="50"/>
  <c r="CR147" i="50" s="1"/>
  <c r="CQ148" i="50"/>
  <c r="CR148" i="50" s="1"/>
  <c r="CQ149" i="50"/>
  <c r="CR149" i="50" s="1"/>
  <c r="CQ150" i="50"/>
  <c r="CR150" i="50" s="1"/>
  <c r="CQ151" i="50"/>
  <c r="CR151" i="50" s="1"/>
  <c r="CQ152" i="50"/>
  <c r="CR152" i="50" s="1"/>
  <c r="CQ153" i="50"/>
  <c r="CR153" i="50" s="1"/>
  <c r="CQ154" i="50"/>
  <c r="CR154" i="50" s="1"/>
  <c r="CQ155" i="50"/>
  <c r="CR155" i="50" s="1"/>
  <c r="CQ156" i="50"/>
  <c r="CR156" i="50" s="1"/>
  <c r="CQ157" i="50"/>
  <c r="CR157" i="50" s="1"/>
  <c r="CQ158" i="50"/>
  <c r="CR158" i="50" s="1"/>
  <c r="CQ159" i="50"/>
  <c r="CR159" i="50" s="1"/>
  <c r="CQ160" i="50"/>
  <c r="CR160" i="50" s="1"/>
  <c r="CQ161" i="50"/>
  <c r="CR161" i="50" s="1"/>
  <c r="CQ162" i="50"/>
  <c r="CR162" i="50" s="1"/>
  <c r="CQ163" i="50"/>
  <c r="CR163" i="50" s="1"/>
  <c r="CQ164" i="50"/>
  <c r="CR164" i="50" s="1"/>
  <c r="CQ165" i="50"/>
  <c r="CR165" i="50" s="1"/>
  <c r="CQ166" i="50"/>
  <c r="CR166" i="50" s="1"/>
  <c r="CQ167" i="50"/>
  <c r="CQ168" i="50"/>
  <c r="CR168" i="50" s="1"/>
  <c r="CQ169" i="50"/>
  <c r="CQ170" i="50"/>
  <c r="CR170" i="50" s="1"/>
  <c r="CQ171" i="50"/>
  <c r="CR171" i="50" s="1"/>
  <c r="CQ172" i="50"/>
  <c r="CR172" i="50" s="1"/>
  <c r="CQ173" i="50"/>
  <c r="CR173" i="50" s="1"/>
  <c r="CQ174" i="50"/>
  <c r="CR174" i="50" s="1"/>
  <c r="CQ175" i="50"/>
  <c r="CR175" i="50" s="1"/>
  <c r="CQ176" i="50"/>
  <c r="CR176" i="50" s="1"/>
  <c r="CQ177" i="50"/>
  <c r="CR177" i="50" s="1"/>
  <c r="CQ179" i="50"/>
  <c r="CR179" i="50" s="1"/>
  <c r="CQ180" i="50"/>
  <c r="CR180" i="50" s="1"/>
  <c r="CQ181" i="50"/>
  <c r="CR181" i="50" s="1"/>
  <c r="CQ182" i="50"/>
  <c r="CR182" i="50" s="1"/>
  <c r="CQ183" i="50"/>
  <c r="CR183" i="50" s="1"/>
  <c r="CQ184" i="50"/>
  <c r="CR184" i="50" s="1"/>
  <c r="CQ185" i="50"/>
  <c r="CR185" i="50" s="1"/>
  <c r="CQ186" i="50"/>
  <c r="CR186" i="50" s="1"/>
  <c r="CQ187" i="50"/>
  <c r="CR187" i="50" s="1"/>
  <c r="CQ188" i="50"/>
  <c r="CR188" i="50" s="1"/>
  <c r="CQ189" i="50"/>
  <c r="CR189" i="50" s="1"/>
  <c r="CQ9" i="50"/>
  <c r="CR9" i="50" s="1"/>
  <c r="CQ51" i="50"/>
  <c r="CR51" i="50" s="1"/>
  <c r="CM38" i="50"/>
  <c r="CM39" i="50"/>
  <c r="CM40" i="50"/>
  <c r="CM41" i="50"/>
  <c r="CM42" i="50"/>
  <c r="CM43" i="50"/>
  <c r="CM44" i="50"/>
  <c r="CM45" i="50"/>
  <c r="CM46" i="50"/>
  <c r="CM47" i="50"/>
  <c r="CM48" i="50"/>
  <c r="CM49" i="50"/>
  <c r="CM50" i="50"/>
  <c r="CM52" i="50"/>
  <c r="CM53" i="50"/>
  <c r="CM54" i="50"/>
  <c r="CM55" i="50"/>
  <c r="CM56" i="50"/>
  <c r="CM57" i="50"/>
  <c r="CM58" i="50"/>
  <c r="CM59" i="50"/>
  <c r="CM60" i="50"/>
  <c r="CM61" i="50"/>
  <c r="CM62" i="50"/>
  <c r="CM63" i="50"/>
  <c r="CM64" i="50"/>
  <c r="CM65" i="50"/>
  <c r="CM66" i="50"/>
  <c r="CM67" i="50"/>
  <c r="CM68" i="50"/>
  <c r="CM69" i="50"/>
  <c r="CM70" i="50"/>
  <c r="CM71" i="50"/>
  <c r="CM72" i="50"/>
  <c r="CM73" i="50"/>
  <c r="CM74" i="50"/>
  <c r="CM75" i="50"/>
  <c r="CM76" i="50"/>
  <c r="CM77" i="50"/>
  <c r="CM78" i="50"/>
  <c r="CM79" i="50"/>
  <c r="CM80" i="50"/>
  <c r="CM81" i="50"/>
  <c r="CM82" i="50"/>
  <c r="CM83" i="50"/>
  <c r="CM84" i="50"/>
  <c r="CM85" i="50"/>
  <c r="CM86" i="50"/>
  <c r="CM87" i="50"/>
  <c r="CM88" i="50"/>
  <c r="CM89" i="50"/>
  <c r="CM90" i="50"/>
  <c r="CM91" i="50"/>
  <c r="CM92" i="50"/>
  <c r="CM93" i="50"/>
  <c r="CM94" i="50"/>
  <c r="CM95" i="50"/>
  <c r="CM96" i="50"/>
  <c r="CM97" i="50"/>
  <c r="CM98" i="50"/>
  <c r="CM99" i="50"/>
  <c r="CM100" i="50"/>
  <c r="CM101" i="50"/>
  <c r="CM102" i="50"/>
  <c r="CM103" i="50"/>
  <c r="CM104" i="50"/>
  <c r="CM105" i="50"/>
  <c r="CM106" i="50"/>
  <c r="CM107" i="50"/>
  <c r="CM108" i="50"/>
  <c r="CM109" i="50"/>
  <c r="CM110" i="50"/>
  <c r="CM111" i="50"/>
  <c r="CM112" i="50"/>
  <c r="CM113" i="50"/>
  <c r="CM114" i="50"/>
  <c r="CM115" i="50"/>
  <c r="CM116" i="50"/>
  <c r="CM117" i="50"/>
  <c r="CM118" i="50"/>
  <c r="CM119" i="50"/>
  <c r="CM120" i="50"/>
  <c r="CM121" i="50"/>
  <c r="CM122" i="50"/>
  <c r="CM123" i="50"/>
  <c r="CM124" i="50"/>
  <c r="CM125" i="50"/>
  <c r="CM126" i="50"/>
  <c r="CM127" i="50"/>
  <c r="CM128" i="50"/>
  <c r="CM129" i="50"/>
  <c r="CM130" i="50"/>
  <c r="CM131" i="50"/>
  <c r="CM132" i="50"/>
  <c r="CM133" i="50"/>
  <c r="CM134" i="50"/>
  <c r="CM135" i="50"/>
  <c r="CM136" i="50"/>
  <c r="CM137" i="50"/>
  <c r="CM138" i="50"/>
  <c r="CM139" i="50"/>
  <c r="CM140" i="50"/>
  <c r="CM141" i="50"/>
  <c r="CM142" i="50"/>
  <c r="CM143" i="50"/>
  <c r="CM144" i="50"/>
  <c r="CM145" i="50"/>
  <c r="CM146" i="50"/>
  <c r="CM147" i="50"/>
  <c r="CM148" i="50"/>
  <c r="CM149" i="50"/>
  <c r="CM150" i="50"/>
  <c r="CM151" i="50"/>
  <c r="CM152" i="50"/>
  <c r="CM153" i="50"/>
  <c r="CM154" i="50"/>
  <c r="CM155" i="50"/>
  <c r="CM156" i="50"/>
  <c r="CM157" i="50"/>
  <c r="CM158" i="50"/>
  <c r="CM159" i="50"/>
  <c r="CM160" i="50"/>
  <c r="CM161" i="50"/>
  <c r="CM162" i="50"/>
  <c r="CM163" i="50"/>
  <c r="CM164" i="50"/>
  <c r="CM165" i="50"/>
  <c r="CM166" i="50"/>
  <c r="CM167" i="50"/>
  <c r="CM168" i="50"/>
  <c r="CM169" i="50"/>
  <c r="CM170" i="50"/>
  <c r="CM171" i="50"/>
  <c r="CM172" i="50"/>
  <c r="CM173" i="50"/>
  <c r="CM174" i="50"/>
  <c r="CM175" i="50"/>
  <c r="CM176" i="50"/>
  <c r="CM177" i="50"/>
  <c r="CM178" i="50"/>
  <c r="CM179" i="50"/>
  <c r="CM180" i="50"/>
  <c r="CM181" i="50"/>
  <c r="CM182" i="50"/>
  <c r="CM183" i="50"/>
  <c r="CM184" i="50"/>
  <c r="CM185" i="50"/>
  <c r="CM186" i="50"/>
  <c r="CM187" i="50"/>
  <c r="CM188" i="50"/>
  <c r="CM189" i="50"/>
  <c r="CM9" i="50"/>
  <c r="CM3" i="50"/>
  <c r="CM4" i="50"/>
  <c r="CM5" i="50"/>
  <c r="CM6" i="50"/>
  <c r="CM7" i="50"/>
  <c r="CM8" i="50"/>
  <c r="CM10" i="50"/>
  <c r="CM11" i="50"/>
  <c r="CM12" i="50"/>
  <c r="CM13" i="50"/>
  <c r="CM14" i="50"/>
  <c r="CM15" i="50"/>
  <c r="CM16" i="50"/>
  <c r="CM17" i="50"/>
  <c r="CM18" i="50"/>
  <c r="CM19" i="50"/>
  <c r="CM20" i="50"/>
  <c r="CM21" i="50"/>
  <c r="CM22" i="50"/>
  <c r="CM23" i="50"/>
  <c r="CM24" i="50"/>
  <c r="CM25" i="50"/>
  <c r="CM26" i="50"/>
  <c r="CM27" i="50"/>
  <c r="CM28" i="50"/>
  <c r="CM29" i="50"/>
  <c r="CM30" i="50"/>
  <c r="CM31" i="50"/>
  <c r="CM32" i="50"/>
  <c r="CM33" i="50"/>
  <c r="CM34" i="50"/>
  <c r="CM35" i="50"/>
  <c r="CM36" i="50"/>
  <c r="CM37" i="50"/>
  <c r="CM51" i="50"/>
  <c r="D40" i="54" l="1"/>
  <c r="AA25" i="57"/>
  <c r="AA5" i="57"/>
  <c r="AA6" i="57"/>
  <c r="AA7" i="57"/>
  <c r="AA8" i="57"/>
  <c r="AA9" i="57"/>
  <c r="AA10" i="57"/>
  <c r="AA11" i="57"/>
  <c r="AA12" i="57"/>
  <c r="AA13" i="57"/>
  <c r="AA14" i="57"/>
  <c r="AA15" i="57"/>
  <c r="AA16" i="57"/>
  <c r="AA17" i="57"/>
  <c r="AA18" i="57"/>
  <c r="AA19" i="57"/>
  <c r="AA20" i="57"/>
  <c r="AA21" i="57"/>
  <c r="AA22" i="57"/>
  <c r="AA23" i="57"/>
  <c r="AA24" i="57"/>
  <c r="AA4" i="57"/>
  <c r="AA3" i="57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226" i="24"/>
  <c r="L225" i="24"/>
  <c r="L224" i="24"/>
  <c r="L223" i="24"/>
  <c r="L222" i="24"/>
  <c r="L221" i="24"/>
  <c r="L220" i="24"/>
  <c r="L219" i="24"/>
  <c r="L218" i="24"/>
  <c r="L217" i="24"/>
  <c r="L216" i="24"/>
  <c r="L215" i="24"/>
  <c r="L214" i="24"/>
  <c r="L213" i="24"/>
  <c r="L212" i="24"/>
  <c r="L211" i="24"/>
  <c r="L210" i="24"/>
  <c r="L209" i="24"/>
  <c r="L208" i="24"/>
  <c r="L207" i="24"/>
  <c r="L206" i="24"/>
  <c r="L205" i="24"/>
  <c r="L204" i="24"/>
  <c r="L203" i="24"/>
  <c r="L202" i="24"/>
  <c r="L201" i="24"/>
  <c r="L200" i="24"/>
  <c r="L199" i="24"/>
  <c r="L198" i="24"/>
  <c r="L197" i="24"/>
  <c r="L196" i="24"/>
  <c r="L195" i="24"/>
  <c r="L194" i="24"/>
  <c r="L193" i="24"/>
  <c r="L192" i="24"/>
  <c r="L191" i="24"/>
  <c r="L190" i="24"/>
  <c r="L189" i="24"/>
  <c r="L188" i="24"/>
  <c r="L187" i="24"/>
  <c r="L186" i="24"/>
  <c r="L185" i="24"/>
  <c r="L184" i="24"/>
  <c r="L183" i="24"/>
  <c r="L182" i="24"/>
  <c r="L181" i="24"/>
  <c r="L180" i="24"/>
  <c r="L179" i="24"/>
  <c r="L178" i="24"/>
  <c r="L177" i="24"/>
  <c r="L176" i="24"/>
  <c r="L175" i="24"/>
  <c r="L174" i="24"/>
  <c r="L173" i="24"/>
  <c r="L172" i="24"/>
  <c r="L171" i="24"/>
  <c r="L170" i="24"/>
  <c r="L169" i="24"/>
  <c r="L168" i="24"/>
  <c r="L167" i="24"/>
  <c r="L166" i="24"/>
  <c r="L165" i="24"/>
  <c r="L164" i="24"/>
  <c r="L163" i="24"/>
  <c r="L162" i="24"/>
  <c r="L161" i="24"/>
  <c r="L160" i="24"/>
  <c r="L159" i="24"/>
  <c r="L158" i="24"/>
  <c r="L157" i="24"/>
  <c r="L156" i="24"/>
  <c r="L155" i="24"/>
  <c r="L154" i="24"/>
  <c r="L153" i="24"/>
  <c r="L152" i="24"/>
  <c r="L151" i="24"/>
  <c r="L150" i="24"/>
  <c r="L149" i="24"/>
  <c r="L148" i="24"/>
  <c r="L147" i="24"/>
  <c r="L146" i="24"/>
  <c r="L145" i="24"/>
  <c r="L144" i="24"/>
  <c r="L143" i="24"/>
  <c r="L142" i="24"/>
  <c r="L141" i="24"/>
  <c r="L140" i="24"/>
  <c r="L139" i="24"/>
  <c r="L138" i="24"/>
  <c r="L137" i="24"/>
  <c r="L136" i="24"/>
  <c r="L135" i="24"/>
  <c r="L134" i="24"/>
  <c r="L133" i="24"/>
  <c r="L132" i="24"/>
  <c r="L131" i="24"/>
  <c r="L130" i="24"/>
  <c r="L129" i="24"/>
  <c r="L128" i="24"/>
  <c r="L127" i="24"/>
  <c r="L126" i="24"/>
  <c r="L125" i="24"/>
  <c r="L124" i="24"/>
  <c r="L123" i="24"/>
  <c r="L122" i="24"/>
  <c r="L121" i="24"/>
  <c r="L120" i="24"/>
  <c r="L119" i="24"/>
  <c r="L118" i="24"/>
  <c r="L117" i="24"/>
  <c r="L116" i="24"/>
  <c r="L115" i="24"/>
  <c r="L114" i="24"/>
  <c r="L113" i="24"/>
  <c r="L112" i="24"/>
  <c r="L111" i="24"/>
  <c r="L110" i="24"/>
  <c r="L109" i="24"/>
  <c r="L108" i="24"/>
  <c r="L107" i="24"/>
  <c r="L106" i="24"/>
  <c r="L105" i="24"/>
  <c r="L104" i="24"/>
  <c r="L103" i="24"/>
  <c r="L102" i="24"/>
  <c r="L101" i="24"/>
  <c r="L100" i="24"/>
  <c r="L99" i="24"/>
  <c r="L98" i="24"/>
  <c r="L97" i="24"/>
  <c r="L96" i="24"/>
  <c r="L95" i="24"/>
  <c r="L94" i="24"/>
  <c r="L93" i="24"/>
  <c r="L92" i="24"/>
  <c r="L91" i="24"/>
  <c r="L90" i="24"/>
  <c r="L89" i="24"/>
  <c r="L88" i="24"/>
  <c r="L87" i="24"/>
  <c r="L86" i="24"/>
  <c r="L85" i="24"/>
  <c r="L84" i="24"/>
  <c r="L83" i="24"/>
  <c r="L82" i="24"/>
  <c r="L81" i="24"/>
  <c r="L80" i="24"/>
  <c r="L79" i="24"/>
  <c r="L78" i="24"/>
  <c r="L77" i="24"/>
  <c r="L76" i="24"/>
  <c r="L75" i="24"/>
  <c r="L74" i="24"/>
  <c r="L73" i="24"/>
  <c r="L72" i="24"/>
  <c r="L71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15" i="24"/>
  <c r="L14" i="24"/>
  <c r="L13" i="24"/>
  <c r="L12" i="24"/>
  <c r="L11" i="24"/>
  <c r="L10" i="24"/>
  <c r="L9" i="24"/>
  <c r="L8" i="24"/>
  <c r="L7" i="24"/>
  <c r="L6" i="24"/>
  <c r="L5" i="24"/>
  <c r="L4" i="24"/>
  <c r="L3" i="24"/>
  <c r="P37" i="39" l="1"/>
  <c r="E16" i="39"/>
  <c r="O62" i="56"/>
  <c r="O50" i="56"/>
  <c r="Q34" i="56"/>
  <c r="Q52" i="56"/>
  <c r="Q53" i="56"/>
  <c r="Q54" i="56"/>
  <c r="Q55" i="56"/>
  <c r="Q56" i="56"/>
  <c r="Q57" i="56"/>
  <c r="Q58" i="56"/>
  <c r="Q59" i="56"/>
  <c r="Q60" i="56"/>
  <c r="Q61" i="56"/>
  <c r="Q51" i="56"/>
  <c r="Q37" i="56"/>
  <c r="Q38" i="56"/>
  <c r="Q39" i="56"/>
  <c r="Q40" i="56"/>
  <c r="Q41" i="56"/>
  <c r="Q42" i="56"/>
  <c r="Q43" i="56"/>
  <c r="Q44" i="56"/>
  <c r="Q45" i="56"/>
  <c r="Q46" i="56"/>
  <c r="Q47" i="56"/>
  <c r="Q48" i="56"/>
  <c r="Q49" i="56"/>
  <c r="Q36" i="56"/>
  <c r="F46" i="51"/>
  <c r="F59" i="51"/>
  <c r="F42" i="51"/>
  <c r="F54" i="51"/>
  <c r="F39" i="51"/>
  <c r="F52" i="51"/>
  <c r="F45" i="51"/>
  <c r="F44" i="51"/>
  <c r="F56" i="51"/>
  <c r="F47" i="51"/>
  <c r="F57" i="51"/>
  <c r="F50" i="51"/>
  <c r="F48" i="51"/>
  <c r="F60" i="51"/>
  <c r="F49" i="51"/>
  <c r="F58" i="51"/>
  <c r="F53" i="51"/>
  <c r="F40" i="51"/>
  <c r="F61" i="51"/>
  <c r="F55" i="51"/>
  <c r="F43" i="51"/>
  <c r="F51" i="51"/>
  <c r="F41" i="51"/>
  <c r="G55" i="51" l="1"/>
  <c r="G54" i="51"/>
  <c r="G51" i="51"/>
  <c r="G58" i="51"/>
  <c r="G59" i="51"/>
  <c r="G57" i="51"/>
  <c r="G61" i="51"/>
  <c r="G41" i="51"/>
  <c r="G49" i="51"/>
  <c r="G42" i="51"/>
  <c r="G48" i="51"/>
  <c r="G60" i="51"/>
  <c r="G50" i="51"/>
  <c r="G53" i="51"/>
  <c r="G52" i="51"/>
  <c r="G44" i="51"/>
  <c r="G45" i="51"/>
  <c r="G46" i="51"/>
  <c r="G43" i="51"/>
  <c r="G56" i="51"/>
  <c r="G39" i="51"/>
  <c r="G47" i="51"/>
  <c r="G40" i="51"/>
  <c r="B33" i="64"/>
  <c r="T30" i="39"/>
  <c r="D6" i="39"/>
  <c r="T21" i="39"/>
  <c r="T20" i="39"/>
  <c r="P32" i="39"/>
  <c r="J7" i="28"/>
  <c r="H4" i="64" s="1"/>
  <c r="B33" i="59"/>
  <c r="F32" i="59" s="1"/>
  <c r="P31" i="39"/>
  <c r="Q62" i="56"/>
  <c r="Q50" i="56"/>
  <c r="E32" i="59" l="1"/>
  <c r="H4" i="59"/>
  <c r="C32" i="59"/>
  <c r="B32" i="59"/>
  <c r="B157" i="54"/>
  <c r="B158" i="54"/>
  <c r="B159" i="54"/>
  <c r="B160" i="54"/>
  <c r="B161" i="54"/>
  <c r="B162" i="54"/>
  <c r="B163" i="54"/>
  <c r="B148" i="54"/>
  <c r="B149" i="54"/>
  <c r="B150" i="54"/>
  <c r="B151" i="54"/>
  <c r="B152" i="54"/>
  <c r="B153" i="54"/>
  <c r="B154" i="54"/>
  <c r="B139" i="54"/>
  <c r="B140" i="54"/>
  <c r="B141" i="54"/>
  <c r="B142" i="54"/>
  <c r="B143" i="54"/>
  <c r="B144" i="54"/>
  <c r="B145" i="54"/>
  <c r="D22" i="54"/>
  <c r="D21" i="54"/>
  <c r="D20" i="54"/>
  <c r="D19" i="54"/>
  <c r="D18" i="54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37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5" i="51"/>
  <c r="P32" i="48"/>
  <c r="A443" i="22"/>
  <c r="A442" i="22"/>
  <c r="A441" i="22"/>
  <c r="A440" i="22"/>
  <c r="A439" i="22"/>
  <c r="A438" i="22"/>
  <c r="AB25" i="57" l="1"/>
  <c r="T25" i="57"/>
  <c r="R25" i="57"/>
  <c r="P25" i="57"/>
  <c r="AB24" i="57"/>
  <c r="T24" i="57"/>
  <c r="AC24" i="57" s="1"/>
  <c r="AE24" i="57" s="1"/>
  <c r="R24" i="57"/>
  <c r="P24" i="57"/>
  <c r="AB23" i="57"/>
  <c r="T23" i="57"/>
  <c r="R23" i="57"/>
  <c r="P23" i="57"/>
  <c r="AB22" i="57"/>
  <c r="T22" i="57"/>
  <c r="R22" i="57"/>
  <c r="P22" i="57"/>
  <c r="AB21" i="57"/>
  <c r="T21" i="57"/>
  <c r="R21" i="57"/>
  <c r="P21" i="57"/>
  <c r="AB20" i="57"/>
  <c r="T20" i="57"/>
  <c r="R20" i="57"/>
  <c r="P20" i="57"/>
  <c r="AC20" i="57"/>
  <c r="AE20" i="57" s="1"/>
  <c r="AB19" i="57"/>
  <c r="T19" i="57"/>
  <c r="R19" i="57"/>
  <c r="P19" i="57"/>
  <c r="AB18" i="57"/>
  <c r="T18" i="57"/>
  <c r="R18" i="57"/>
  <c r="P18" i="57"/>
  <c r="AB17" i="57"/>
  <c r="T17" i="57"/>
  <c r="R17" i="57"/>
  <c r="P17" i="57"/>
  <c r="AC16" i="57"/>
  <c r="AE16" i="57" s="1"/>
  <c r="AB16" i="57"/>
  <c r="T16" i="57"/>
  <c r="R16" i="57"/>
  <c r="P16" i="57"/>
  <c r="AB15" i="57"/>
  <c r="T15" i="57"/>
  <c r="R15" i="57"/>
  <c r="P15" i="57"/>
  <c r="AB14" i="57"/>
  <c r="T14" i="57"/>
  <c r="R14" i="57"/>
  <c r="P14" i="57"/>
  <c r="AC14" i="57"/>
  <c r="AE14" i="57" s="1"/>
  <c r="AB13" i="57"/>
  <c r="T13" i="57"/>
  <c r="R13" i="57"/>
  <c r="P13" i="57"/>
  <c r="AB12" i="57"/>
  <c r="T12" i="57"/>
  <c r="R12" i="57"/>
  <c r="P12" i="57"/>
  <c r="I12" i="57"/>
  <c r="AB11" i="57"/>
  <c r="T11" i="57"/>
  <c r="R11" i="57"/>
  <c r="P11" i="57"/>
  <c r="AB10" i="57"/>
  <c r="AE10" i="57" s="1"/>
  <c r="T10" i="57"/>
  <c r="R10" i="57"/>
  <c r="P10" i="57"/>
  <c r="AB9" i="57"/>
  <c r="AE9" i="57" s="1"/>
  <c r="T9" i="57"/>
  <c r="R9" i="57"/>
  <c r="P9" i="57"/>
  <c r="AB8" i="57"/>
  <c r="AE8" i="57" s="1"/>
  <c r="T8" i="57"/>
  <c r="R8" i="57"/>
  <c r="P8" i="57"/>
  <c r="AC8" i="57"/>
  <c r="AB7" i="57"/>
  <c r="AE7" i="57" s="1"/>
  <c r="T7" i="57"/>
  <c r="R7" i="57"/>
  <c r="P7" i="57"/>
  <c r="AB6" i="57"/>
  <c r="AE6" i="57" s="1"/>
  <c r="T6" i="57"/>
  <c r="R6" i="57"/>
  <c r="P6" i="57"/>
  <c r="AB5" i="57"/>
  <c r="T5" i="57"/>
  <c r="R5" i="57"/>
  <c r="P5" i="57"/>
  <c r="Y5" i="57" s="1"/>
  <c r="AB4" i="57"/>
  <c r="AE4" i="57" s="1"/>
  <c r="T4" i="57"/>
  <c r="R4" i="57"/>
  <c r="P4" i="57"/>
  <c r="AB3" i="57"/>
  <c r="AE3" i="57" s="1"/>
  <c r="T3" i="57"/>
  <c r="R3" i="57"/>
  <c r="P3" i="57"/>
  <c r="Y3" i="57" l="1"/>
  <c r="AC19" i="57"/>
  <c r="AE19" i="57" s="1"/>
  <c r="AC13" i="57"/>
  <c r="AE13" i="57" s="1"/>
  <c r="AC12" i="57"/>
  <c r="AE12" i="57" s="1"/>
  <c r="AC18" i="57"/>
  <c r="AE18" i="57" s="1"/>
  <c r="AC6" i="57"/>
  <c r="AC22" i="57"/>
  <c r="AE22" i="57" s="1"/>
  <c r="AC25" i="57"/>
  <c r="AE25" i="57" s="1"/>
  <c r="AC9" i="57"/>
  <c r="AC17" i="57"/>
  <c r="AE17" i="57" s="1"/>
  <c r="AC10" i="57"/>
  <c r="AC15" i="57"/>
  <c r="AE15" i="57" s="1"/>
  <c r="AC23" i="57"/>
  <c r="AE23" i="57" s="1"/>
  <c r="AC3" i="57"/>
  <c r="AC7" i="57"/>
  <c r="AC4" i="57"/>
  <c r="AC21" i="57"/>
  <c r="AE21" i="57" s="1"/>
  <c r="AC11" i="57"/>
  <c r="AC5" i="57"/>
  <c r="AE5" i="57" s="1"/>
  <c r="AE11" i="57"/>
  <c r="J19" i="54" l="1"/>
  <c r="J20" i="54"/>
  <c r="J21" i="54"/>
  <c r="J22" i="54"/>
  <c r="J17" i="46" l="1"/>
  <c r="E32" i="55"/>
  <c r="F32" i="55"/>
  <c r="G32" i="55"/>
  <c r="H32" i="55"/>
  <c r="I32" i="55"/>
  <c r="J32" i="55"/>
  <c r="K32" i="55"/>
  <c r="L32" i="55"/>
  <c r="M32" i="55"/>
  <c r="N32" i="55"/>
  <c r="O32" i="55"/>
  <c r="E33" i="55"/>
  <c r="F33" i="55"/>
  <c r="G33" i="55"/>
  <c r="H33" i="55"/>
  <c r="I33" i="55"/>
  <c r="J33" i="55"/>
  <c r="K33" i="55"/>
  <c r="L33" i="55"/>
  <c r="M33" i="55"/>
  <c r="N33" i="55"/>
  <c r="O33" i="55"/>
  <c r="D33" i="55"/>
  <c r="D32" i="55"/>
  <c r="F47" i="54"/>
  <c r="F46" i="54"/>
  <c r="F63" i="54"/>
  <c r="O11" i="51" l="1"/>
  <c r="P11" i="51" s="1"/>
  <c r="O12" i="51"/>
  <c r="P12" i="51" s="1"/>
  <c r="O13" i="51"/>
  <c r="P13" i="51" s="1"/>
  <c r="O14" i="51"/>
  <c r="P14" i="51" s="1"/>
  <c r="O15" i="51"/>
  <c r="P15" i="51" s="1"/>
  <c r="O16" i="51"/>
  <c r="P16" i="51" s="1"/>
  <c r="O17" i="51"/>
  <c r="P17" i="51" s="1"/>
  <c r="O18" i="51"/>
  <c r="P18" i="51" s="1"/>
  <c r="O19" i="51"/>
  <c r="P19" i="51" s="1"/>
  <c r="O20" i="51"/>
  <c r="P20" i="51" s="1"/>
  <c r="O21" i="51"/>
  <c r="P21" i="51" s="1"/>
  <c r="O22" i="51"/>
  <c r="P22" i="51" s="1"/>
  <c r="O23" i="51"/>
  <c r="P23" i="51" s="1"/>
  <c r="O24" i="51"/>
  <c r="P24" i="51" s="1"/>
  <c r="O25" i="51"/>
  <c r="P25" i="51" s="1"/>
  <c r="O26" i="51"/>
  <c r="P26" i="51" s="1"/>
  <c r="O27" i="51"/>
  <c r="P27" i="51" s="1"/>
  <c r="O28" i="51"/>
  <c r="P28" i="51" s="1"/>
  <c r="O29" i="51"/>
  <c r="P29" i="51" s="1"/>
  <c r="O30" i="51"/>
  <c r="P30" i="51" s="1"/>
  <c r="B147" i="54" l="1"/>
  <c r="A437" i="22" l="1"/>
  <c r="D32" i="39"/>
  <c r="A436" i="22"/>
  <c r="A435" i="22"/>
  <c r="A434" i="22"/>
  <c r="I63" i="51"/>
  <c r="D63" i="51"/>
  <c r="D22" i="39" l="1"/>
  <c r="D23" i="39"/>
  <c r="D24" i="39"/>
  <c r="D26" i="39"/>
  <c r="D27" i="39"/>
  <c r="D28" i="39"/>
  <c r="D29" i="39"/>
  <c r="D30" i="39"/>
  <c r="D21" i="39"/>
  <c r="AT12" i="24"/>
  <c r="Z63" i="51"/>
  <c r="Y63" i="51"/>
  <c r="M35" i="48"/>
  <c r="V11" i="50"/>
  <c r="V10" i="50"/>
  <c r="V9" i="50"/>
  <c r="V8" i="50"/>
  <c r="V6" i="50"/>
  <c r="V7" i="50"/>
  <c r="V14" i="50"/>
  <c r="V15" i="50"/>
  <c r="V16" i="50"/>
  <c r="A433" i="22"/>
  <c r="T35" i="51"/>
  <c r="T3" i="51"/>
  <c r="L14" i="39"/>
  <c r="D46" i="54" s="1"/>
  <c r="D63" i="54"/>
  <c r="J22" i="39" l="1"/>
  <c r="J23" i="39"/>
  <c r="J24" i="39"/>
  <c r="J25" i="39"/>
  <c r="J26" i="39"/>
  <c r="J27" i="39"/>
  <c r="J28" i="39"/>
  <c r="J29" i="39"/>
  <c r="J30" i="39"/>
  <c r="J31" i="39"/>
  <c r="J32" i="39"/>
  <c r="J21" i="39"/>
  <c r="D7" i="62" l="1"/>
  <c r="D9" i="62" s="1"/>
  <c r="E9" i="62" s="1"/>
  <c r="F9" i="62" s="1"/>
  <c r="C6" i="64"/>
  <c r="J18" i="46"/>
  <c r="C6" i="59"/>
  <c r="AT4" i="24"/>
  <c r="AT5" i="24"/>
  <c r="AT6" i="24"/>
  <c r="AT7" i="24"/>
  <c r="AT8" i="24"/>
  <c r="AT9" i="24"/>
  <c r="AT10" i="24"/>
  <c r="AT11" i="24"/>
  <c r="AT13" i="24"/>
  <c r="AT14" i="24"/>
  <c r="AT15" i="24"/>
  <c r="AT16" i="24"/>
  <c r="AT17" i="24"/>
  <c r="AT18" i="24"/>
  <c r="AT19" i="24"/>
  <c r="AT20" i="24"/>
  <c r="AT21" i="24"/>
  <c r="AT22" i="24"/>
  <c r="AT23" i="24"/>
  <c r="AT24" i="24"/>
  <c r="AT25" i="24"/>
  <c r="AT26" i="24"/>
  <c r="AT27" i="24"/>
  <c r="AT28" i="24"/>
  <c r="AT29" i="24"/>
  <c r="AT30" i="24"/>
  <c r="AT31" i="24"/>
  <c r="AT32" i="24"/>
  <c r="AT33" i="24"/>
  <c r="AT34" i="24"/>
  <c r="AT35" i="24"/>
  <c r="AT36" i="24"/>
  <c r="AT37" i="24"/>
  <c r="AT38" i="24"/>
  <c r="AT39" i="24"/>
  <c r="AT40" i="24"/>
  <c r="AT41" i="24"/>
  <c r="AT42" i="24"/>
  <c r="AT43" i="24"/>
  <c r="AT44" i="24"/>
  <c r="AT45" i="24"/>
  <c r="AT46" i="24"/>
  <c r="AT47" i="24"/>
  <c r="AT48" i="24"/>
  <c r="AT49" i="24"/>
  <c r="AT50" i="24"/>
  <c r="AT51" i="24"/>
  <c r="AT52" i="24"/>
  <c r="AT53" i="24"/>
  <c r="AT54" i="24"/>
  <c r="AT55" i="24"/>
  <c r="AT56" i="24"/>
  <c r="AT57" i="24"/>
  <c r="AT58" i="24"/>
  <c r="AT59" i="24"/>
  <c r="AT60" i="24"/>
  <c r="AT61" i="24"/>
  <c r="AT62" i="24"/>
  <c r="AT63" i="24"/>
  <c r="AT64" i="24"/>
  <c r="AT65" i="24"/>
  <c r="AT66" i="24"/>
  <c r="AT67" i="24"/>
  <c r="AT68" i="24"/>
  <c r="AT69" i="24"/>
  <c r="AT70" i="24"/>
  <c r="AT71" i="24"/>
  <c r="AT72" i="24"/>
  <c r="AT73" i="24"/>
  <c r="AT74" i="24"/>
  <c r="AT75" i="24"/>
  <c r="AT76" i="24"/>
  <c r="AT77" i="24"/>
  <c r="AT78" i="24"/>
  <c r="AT79" i="24"/>
  <c r="AT80" i="24"/>
  <c r="AT81" i="24"/>
  <c r="AT82" i="24"/>
  <c r="AT83" i="24"/>
  <c r="AT84" i="24"/>
  <c r="AT85" i="24"/>
  <c r="AT86" i="24"/>
  <c r="AT87" i="24"/>
  <c r="AT88" i="24"/>
  <c r="AT89" i="24"/>
  <c r="AT90" i="24"/>
  <c r="AT91" i="24"/>
  <c r="AT92" i="24"/>
  <c r="AT93" i="24"/>
  <c r="AT94" i="24"/>
  <c r="AT95" i="24"/>
  <c r="AT96" i="24"/>
  <c r="AT97" i="24"/>
  <c r="AT98" i="24"/>
  <c r="AT99" i="24"/>
  <c r="AT100" i="24"/>
  <c r="AT101" i="24"/>
  <c r="AT102" i="24"/>
  <c r="AT103" i="24"/>
  <c r="AT104" i="24"/>
  <c r="AT105" i="24"/>
  <c r="AT106" i="24"/>
  <c r="AT107" i="24"/>
  <c r="AT108" i="24"/>
  <c r="AT109" i="24"/>
  <c r="AT110" i="24"/>
  <c r="AT111" i="24"/>
  <c r="AT112" i="24"/>
  <c r="AT113" i="24"/>
  <c r="AT114" i="24"/>
  <c r="AT115" i="24"/>
  <c r="AT116" i="24"/>
  <c r="AT117" i="24"/>
  <c r="AT118" i="24"/>
  <c r="AT119" i="24"/>
  <c r="AT120" i="24"/>
  <c r="AT121" i="24"/>
  <c r="AT122" i="24"/>
  <c r="AT123" i="24"/>
  <c r="AT124" i="24"/>
  <c r="AT125" i="24"/>
  <c r="AT126" i="24"/>
  <c r="AT127" i="24"/>
  <c r="AT128" i="24"/>
  <c r="AT129" i="24"/>
  <c r="AT130" i="24"/>
  <c r="AT131" i="24"/>
  <c r="AT132" i="24"/>
  <c r="AT133" i="24"/>
  <c r="AT134" i="24"/>
  <c r="AT135" i="24"/>
  <c r="AT136" i="24"/>
  <c r="AT137" i="24"/>
  <c r="AT138" i="24"/>
  <c r="AT139" i="24"/>
  <c r="AT140" i="24"/>
  <c r="AT141" i="24"/>
  <c r="AT142" i="24"/>
  <c r="AT143" i="24"/>
  <c r="AT144" i="24"/>
  <c r="AT145" i="24"/>
  <c r="AT146" i="24"/>
  <c r="AT147" i="24"/>
  <c r="AT148" i="24"/>
  <c r="AT149" i="24"/>
  <c r="AT150" i="24"/>
  <c r="AT151" i="24"/>
  <c r="AT152" i="24"/>
  <c r="AT153" i="24"/>
  <c r="AT154" i="24"/>
  <c r="AT155" i="24"/>
  <c r="AT156" i="24"/>
  <c r="AT157" i="24"/>
  <c r="AT158" i="24"/>
  <c r="AT159" i="24"/>
  <c r="AT160" i="24"/>
  <c r="AT161" i="24"/>
  <c r="AT162" i="24"/>
  <c r="AT163" i="24"/>
  <c r="AT164" i="24"/>
  <c r="AT165" i="24"/>
  <c r="AT166" i="24"/>
  <c r="AT167" i="24"/>
  <c r="AT168" i="24"/>
  <c r="AT169" i="24"/>
  <c r="AT170" i="24"/>
  <c r="AT171" i="24"/>
  <c r="AT172" i="24"/>
  <c r="AT173" i="24"/>
  <c r="AT174" i="24"/>
  <c r="AT175" i="24"/>
  <c r="AT176" i="24"/>
  <c r="AT177" i="24"/>
  <c r="AT178" i="24"/>
  <c r="AT179" i="24"/>
  <c r="AT180" i="24"/>
  <c r="AT181" i="24"/>
  <c r="AT182" i="24"/>
  <c r="AT183" i="24"/>
  <c r="AT184" i="24"/>
  <c r="AT185" i="24"/>
  <c r="AT186" i="24"/>
  <c r="AT187" i="24"/>
  <c r="AT188" i="24"/>
  <c r="AT189" i="24"/>
  <c r="AT190" i="24"/>
  <c r="AT191" i="24"/>
  <c r="AT192" i="24"/>
  <c r="AT193" i="24"/>
  <c r="AT194" i="24"/>
  <c r="AT195" i="24"/>
  <c r="AT196" i="24"/>
  <c r="AT197" i="24"/>
  <c r="AT198" i="24"/>
  <c r="AT199" i="24"/>
  <c r="AT200" i="24"/>
  <c r="AT201" i="24"/>
  <c r="AT202" i="24"/>
  <c r="AT203" i="24"/>
  <c r="AT204" i="24"/>
  <c r="AT205" i="24"/>
  <c r="AT206" i="24"/>
  <c r="AT207" i="24"/>
  <c r="AT208" i="24"/>
  <c r="AT209" i="24"/>
  <c r="AT210" i="24"/>
  <c r="AT211" i="24"/>
  <c r="AT212" i="24"/>
  <c r="AT213" i="24"/>
  <c r="AT214" i="24"/>
  <c r="AT215" i="24"/>
  <c r="AT216" i="24"/>
  <c r="AT217" i="24"/>
  <c r="AT218" i="24"/>
  <c r="AT219" i="24"/>
  <c r="AT220" i="24"/>
  <c r="AT221" i="24"/>
  <c r="AT222" i="24"/>
  <c r="AT223" i="24"/>
  <c r="AT224" i="24"/>
  <c r="AT225" i="24"/>
  <c r="AT226" i="24"/>
  <c r="AT3" i="24"/>
  <c r="AL14" i="24"/>
  <c r="AR14" i="24" s="1"/>
  <c r="AN15" i="24"/>
  <c r="D15" i="62" l="1"/>
  <c r="E15" i="62" s="1"/>
  <c r="F15" i="62" s="1"/>
  <c r="D13" i="62"/>
  <c r="E13" i="62" s="1"/>
  <c r="F13" i="62" s="1"/>
  <c r="D11" i="62"/>
  <c r="E11" i="62" s="1"/>
  <c r="F11" i="62" s="1"/>
  <c r="E7" i="62"/>
  <c r="F7" i="62" s="1"/>
  <c r="AV14" i="24"/>
  <c r="L15" i="39"/>
  <c r="D13" i="54"/>
  <c r="J13" i="54" s="1"/>
  <c r="A432" i="22"/>
  <c r="A431" i="22"/>
  <c r="A430" i="22"/>
  <c r="A429" i="22"/>
  <c r="D89" i="54"/>
  <c r="F89" i="54"/>
  <c r="F12" i="51"/>
  <c r="F18" i="51"/>
  <c r="F8" i="51"/>
  <c r="F20" i="51"/>
  <c r="F13" i="51"/>
  <c r="F19" i="51"/>
  <c r="F10" i="51"/>
  <c r="F16" i="51"/>
  <c r="F30" i="51"/>
  <c r="F27" i="51"/>
  <c r="F6" i="51"/>
  <c r="F14" i="51"/>
  <c r="F5" i="51"/>
  <c r="F22" i="51"/>
  <c r="F15" i="51"/>
  <c r="F24" i="51"/>
  <c r="F25" i="51"/>
  <c r="F23" i="51"/>
  <c r="F11" i="51"/>
  <c r="F21" i="51"/>
  <c r="F26" i="51"/>
  <c r="F7" i="51"/>
  <c r="F9" i="51"/>
  <c r="F17" i="51"/>
  <c r="F29" i="51"/>
  <c r="F28" i="51"/>
  <c r="F32" i="51" l="1"/>
  <c r="G20" i="51"/>
  <c r="G14" i="51"/>
  <c r="G10" i="51"/>
  <c r="G29" i="51"/>
  <c r="G11" i="51"/>
  <c r="G24" i="51"/>
  <c r="G8" i="51"/>
  <c r="G26" i="51"/>
  <c r="G13" i="51"/>
  <c r="G27" i="51"/>
  <c r="G30" i="51"/>
  <c r="G6" i="51"/>
  <c r="G15" i="51"/>
  <c r="G25" i="51"/>
  <c r="G22" i="51"/>
  <c r="G18" i="51"/>
  <c r="G9" i="51"/>
  <c r="G12" i="51"/>
  <c r="G16" i="51"/>
  <c r="G17" i="51"/>
  <c r="G21" i="51"/>
  <c r="G19" i="51"/>
  <c r="G28" i="51"/>
  <c r="G7" i="51"/>
  <c r="G23" i="51"/>
  <c r="G5" i="51"/>
  <c r="AQ3" i="51"/>
  <c r="AD3" i="51"/>
  <c r="J6" i="28"/>
  <c r="D10" i="28"/>
  <c r="D18" i="60" l="1"/>
  <c r="G32" i="51"/>
  <c r="H27" i="28" s="1"/>
  <c r="G31" i="51"/>
  <c r="X73" i="54"/>
  <c r="X74" i="54"/>
  <c r="X75" i="54"/>
  <c r="X76" i="54"/>
  <c r="X77" i="54"/>
  <c r="X78" i="54"/>
  <c r="X79" i="54"/>
  <c r="X80" i="54"/>
  <c r="X81" i="54"/>
  <c r="X82" i="54"/>
  <c r="X83" i="54"/>
  <c r="X126" i="54"/>
  <c r="X127" i="54"/>
  <c r="X128" i="54"/>
  <c r="X129" i="54"/>
  <c r="X130" i="54"/>
  <c r="X131" i="54"/>
  <c r="X132" i="54"/>
  <c r="X117" i="54"/>
  <c r="X118" i="54"/>
  <c r="X119" i="54"/>
  <c r="X120" i="54"/>
  <c r="X121" i="54"/>
  <c r="X122" i="54"/>
  <c r="X123" i="54"/>
  <c r="X108" i="54"/>
  <c r="X109" i="54"/>
  <c r="X110" i="54"/>
  <c r="X111" i="54"/>
  <c r="X112" i="54"/>
  <c r="X113" i="54"/>
  <c r="X114" i="54"/>
  <c r="F163" i="54" l="1"/>
  <c r="F162" i="54"/>
  <c r="F161" i="54"/>
  <c r="F160" i="54"/>
  <c r="F159" i="54"/>
  <c r="F158" i="54"/>
  <c r="F157" i="54"/>
  <c r="F156" i="54"/>
  <c r="F154" i="54"/>
  <c r="F153" i="54"/>
  <c r="F152" i="54"/>
  <c r="F151" i="54"/>
  <c r="F150" i="54"/>
  <c r="F149" i="54"/>
  <c r="F148" i="54"/>
  <c r="F147" i="54"/>
  <c r="F139" i="54"/>
  <c r="F140" i="54"/>
  <c r="F141" i="54"/>
  <c r="F142" i="54"/>
  <c r="F143" i="54"/>
  <c r="F144" i="54"/>
  <c r="F145" i="54"/>
  <c r="F138" i="54"/>
  <c r="D8" i="54"/>
  <c r="J8" i="54" s="1"/>
  <c r="D9" i="54"/>
  <c r="J9" i="54" s="1"/>
  <c r="D10" i="54"/>
  <c r="J10" i="54" s="1"/>
  <c r="D11" i="54"/>
  <c r="J11" i="54" s="1"/>
  <c r="D12" i="54"/>
  <c r="J12" i="54" s="1"/>
  <c r="D14" i="54"/>
  <c r="J14" i="54" s="1"/>
  <c r="D15" i="54"/>
  <c r="J15" i="54" s="1"/>
  <c r="D16" i="54"/>
  <c r="J16" i="54" s="1"/>
  <c r="D17" i="54"/>
  <c r="J17" i="54" s="1"/>
  <c r="H46" i="54"/>
  <c r="B47" i="54"/>
  <c r="B46" i="54"/>
  <c r="D45" i="54"/>
  <c r="B5" i="55"/>
  <c r="B3" i="55"/>
  <c r="D3" i="55"/>
  <c r="D31" i="51"/>
  <c r="AL132" i="54"/>
  <c r="AL131" i="54"/>
  <c r="AL130" i="54"/>
  <c r="AL129" i="54"/>
  <c r="AL128" i="54"/>
  <c r="AL127" i="54"/>
  <c r="AL126" i="54"/>
  <c r="AL125" i="54"/>
  <c r="AL123" i="54"/>
  <c r="AL122" i="54"/>
  <c r="AL121" i="54"/>
  <c r="AL120" i="54"/>
  <c r="AL119" i="54"/>
  <c r="AL118" i="54"/>
  <c r="AL117" i="54"/>
  <c r="AL116" i="54"/>
  <c r="AL114" i="54"/>
  <c r="AL113" i="54"/>
  <c r="AL112" i="54"/>
  <c r="AL111" i="54"/>
  <c r="AL110" i="54"/>
  <c r="AL109" i="54"/>
  <c r="AL108" i="54"/>
  <c r="AL107" i="54"/>
  <c r="AA133" i="54"/>
  <c r="AB133" i="54"/>
  <c r="AC133" i="54"/>
  <c r="AD133" i="54"/>
  <c r="AE133" i="54"/>
  <c r="AF133" i="54"/>
  <c r="AG133" i="54"/>
  <c r="AH133" i="54"/>
  <c r="AI133" i="54"/>
  <c r="AJ133" i="54"/>
  <c r="AK133" i="54"/>
  <c r="Z133" i="54"/>
  <c r="AK2" i="54"/>
  <c r="AJ2" i="54"/>
  <c r="AI2" i="54"/>
  <c r="AH2" i="54"/>
  <c r="AG2" i="54"/>
  <c r="AF2" i="54"/>
  <c r="AE2" i="54"/>
  <c r="AD2" i="54"/>
  <c r="AC2" i="54"/>
  <c r="AB2" i="54"/>
  <c r="AA2" i="54"/>
  <c r="Z2" i="54"/>
  <c r="H132" i="54"/>
  <c r="H131" i="54"/>
  <c r="H130" i="54"/>
  <c r="H129" i="54"/>
  <c r="H128" i="54"/>
  <c r="H127" i="54"/>
  <c r="H126" i="54"/>
  <c r="H125" i="54"/>
  <c r="H123" i="54"/>
  <c r="H122" i="54"/>
  <c r="H121" i="54"/>
  <c r="H120" i="54"/>
  <c r="H119" i="54"/>
  <c r="H118" i="54"/>
  <c r="H117" i="54"/>
  <c r="H116" i="54"/>
  <c r="H108" i="54"/>
  <c r="H109" i="54"/>
  <c r="H110" i="54"/>
  <c r="H111" i="54"/>
  <c r="H112" i="54"/>
  <c r="H113" i="54"/>
  <c r="H114" i="54"/>
  <c r="H107" i="54"/>
  <c r="D157" i="54"/>
  <c r="D158" i="54"/>
  <c r="D159" i="54"/>
  <c r="D160" i="54"/>
  <c r="D161" i="54"/>
  <c r="D162" i="54"/>
  <c r="D163" i="54"/>
  <c r="D148" i="54"/>
  <c r="D149" i="54"/>
  <c r="D150" i="54"/>
  <c r="D151" i="54"/>
  <c r="D152" i="54"/>
  <c r="D153" i="54"/>
  <c r="D154" i="54"/>
  <c r="D139" i="54"/>
  <c r="D140" i="54"/>
  <c r="D141" i="54"/>
  <c r="D142" i="54"/>
  <c r="D143" i="54"/>
  <c r="D144" i="54"/>
  <c r="D145" i="54"/>
  <c r="H59" i="51"/>
  <c r="H46" i="51"/>
  <c r="H51" i="51"/>
  <c r="H55" i="51"/>
  <c r="H60" i="51"/>
  <c r="H45" i="51"/>
  <c r="H62" i="51"/>
  <c r="H43" i="51"/>
  <c r="H47" i="51"/>
  <c r="H54" i="51"/>
  <c r="H56" i="51"/>
  <c r="H58" i="51"/>
  <c r="H61" i="51"/>
  <c r="H44" i="51"/>
  <c r="H53" i="51"/>
  <c r="H57" i="51"/>
  <c r="H48" i="51"/>
  <c r="H50" i="51"/>
  <c r="H52" i="51"/>
  <c r="H49" i="51"/>
  <c r="H154" i="54" l="1"/>
  <c r="J154" i="54" s="1"/>
  <c r="H139" i="54"/>
  <c r="J139" i="54" s="1"/>
  <c r="D8" i="60"/>
  <c r="D6" i="60"/>
  <c r="D7" i="60"/>
  <c r="H32" i="28"/>
  <c r="H31" i="28"/>
  <c r="H33" i="28"/>
  <c r="J133" i="54"/>
  <c r="H160" i="54"/>
  <c r="J160" i="54" s="1"/>
  <c r="H161" i="54"/>
  <c r="J161" i="54" s="1"/>
  <c r="H152" i="54"/>
  <c r="J152" i="54" s="1"/>
  <c r="E31" i="51"/>
  <c r="K24" i="46" s="1"/>
  <c r="H163" i="54"/>
  <c r="J163" i="54" s="1"/>
  <c r="H150" i="54"/>
  <c r="J150" i="54" s="1"/>
  <c r="H151" i="54"/>
  <c r="J151" i="54" s="1"/>
  <c r="H47" i="54"/>
  <c r="F164" i="54"/>
  <c r="H140" i="54"/>
  <c r="J140" i="54" s="1"/>
  <c r="H144" i="54"/>
  <c r="J144" i="54" s="1"/>
  <c r="H145" i="54"/>
  <c r="J145" i="54" s="1"/>
  <c r="H148" i="54"/>
  <c r="J148" i="54" s="1"/>
  <c r="AL133" i="54"/>
  <c r="H158" i="54"/>
  <c r="J158" i="54" s="1"/>
  <c r="H162" i="54"/>
  <c r="J162" i="54" s="1"/>
  <c r="H157" i="54"/>
  <c r="J157" i="54" s="1"/>
  <c r="H149" i="54"/>
  <c r="J149" i="54" s="1"/>
  <c r="H142" i="54"/>
  <c r="J142" i="54" s="1"/>
  <c r="H141" i="54"/>
  <c r="J141" i="54" s="1"/>
  <c r="H159" i="54"/>
  <c r="J159" i="54" s="1"/>
  <c r="H153" i="54"/>
  <c r="J153" i="54" s="1"/>
  <c r="H143" i="54"/>
  <c r="J143" i="54" s="1"/>
  <c r="D71" i="54" l="1"/>
  <c r="D72" i="54"/>
  <c r="D73" i="54"/>
  <c r="D74" i="54"/>
  <c r="D75" i="54"/>
  <c r="D76" i="54"/>
  <c r="D77" i="54"/>
  <c r="D78" i="54"/>
  <c r="D79" i="54"/>
  <c r="D80" i="54"/>
  <c r="D81" i="54"/>
  <c r="D82" i="54"/>
  <c r="D83" i="54"/>
  <c r="D70" i="54"/>
  <c r="J46" i="51" l="1"/>
  <c r="L46" i="51" s="1"/>
  <c r="J43" i="51"/>
  <c r="L43" i="51" s="1"/>
  <c r="J39" i="51"/>
  <c r="J49" i="51"/>
  <c r="L49" i="51" s="1"/>
  <c r="J56" i="51"/>
  <c r="L56" i="51" s="1"/>
  <c r="J47" i="51"/>
  <c r="L47" i="51" s="1"/>
  <c r="J53" i="51"/>
  <c r="L53" i="51" s="1"/>
  <c r="J40" i="51"/>
  <c r="J51" i="51"/>
  <c r="L51" i="51" s="1"/>
  <c r="J60" i="51"/>
  <c r="L60" i="51" s="1"/>
  <c r="J55" i="51"/>
  <c r="L55" i="51" s="1"/>
  <c r="J42" i="51"/>
  <c r="J50" i="51"/>
  <c r="L50" i="51" s="1"/>
  <c r="J48" i="51"/>
  <c r="L48" i="51" s="1"/>
  <c r="J54" i="51"/>
  <c r="L54" i="51" s="1"/>
  <c r="J41" i="51"/>
  <c r="J52" i="51"/>
  <c r="L52" i="51" s="1"/>
  <c r="J58" i="51"/>
  <c r="L58" i="51" s="1"/>
  <c r="J59" i="51"/>
  <c r="L59" i="51" s="1"/>
  <c r="J44" i="51"/>
  <c r="L44" i="51" s="1"/>
  <c r="J61" i="51"/>
  <c r="L61" i="51" s="1"/>
  <c r="J45" i="51"/>
  <c r="L45" i="51" s="1"/>
  <c r="J57" i="51"/>
  <c r="L57" i="51" s="1"/>
  <c r="J62" i="51"/>
  <c r="M101" i="54"/>
  <c r="E31" i="55" s="1"/>
  <c r="N101" i="54"/>
  <c r="O101" i="54"/>
  <c r="G31" i="55" s="1"/>
  <c r="P101" i="54"/>
  <c r="H31" i="55" s="1"/>
  <c r="Q101" i="54"/>
  <c r="I31" i="55" s="1"/>
  <c r="R101" i="54"/>
  <c r="J31" i="55" s="1"/>
  <c r="S101" i="54"/>
  <c r="K31" i="55" s="1"/>
  <c r="T101" i="54"/>
  <c r="L31" i="55" s="1"/>
  <c r="U101" i="54"/>
  <c r="M31" i="55" s="1"/>
  <c r="V101" i="54"/>
  <c r="N31" i="55" s="1"/>
  <c r="W101" i="54"/>
  <c r="O31" i="55" s="1"/>
  <c r="L101" i="54"/>
  <c r="D31" i="55" s="1"/>
  <c r="H90" i="54"/>
  <c r="J90" i="54" s="1"/>
  <c r="H91" i="54"/>
  <c r="J91" i="54" s="1"/>
  <c r="H92" i="54"/>
  <c r="J92" i="54" s="1"/>
  <c r="H93" i="54"/>
  <c r="J93" i="54" s="1"/>
  <c r="H94" i="54"/>
  <c r="J94" i="54" s="1"/>
  <c r="H95" i="54"/>
  <c r="J95" i="54" s="1"/>
  <c r="H96" i="54"/>
  <c r="J96" i="54" s="1"/>
  <c r="H97" i="54"/>
  <c r="J97" i="54" s="1"/>
  <c r="H98" i="54"/>
  <c r="J98" i="54" s="1"/>
  <c r="H99" i="54"/>
  <c r="J99" i="54" s="1"/>
  <c r="H100" i="54"/>
  <c r="J100" i="54" s="1"/>
  <c r="J89" i="54"/>
  <c r="B156" i="54"/>
  <c r="B146" i="54"/>
  <c r="B155" i="54"/>
  <c r="B138" i="54"/>
  <c r="E25" i="55"/>
  <c r="F25" i="55"/>
  <c r="G25" i="55"/>
  <c r="H25" i="55"/>
  <c r="I25" i="55"/>
  <c r="J25" i="55"/>
  <c r="K25" i="55"/>
  <c r="L25" i="55"/>
  <c r="M25" i="55"/>
  <c r="N25" i="55"/>
  <c r="O25" i="55"/>
  <c r="D25" i="55"/>
  <c r="Z105" i="54"/>
  <c r="M65" i="54"/>
  <c r="E29" i="55" s="1"/>
  <c r="N65" i="54"/>
  <c r="F29" i="55" s="1"/>
  <c r="O65" i="54"/>
  <c r="G29" i="55" s="1"/>
  <c r="P65" i="54"/>
  <c r="H29" i="55" s="1"/>
  <c r="Q65" i="54"/>
  <c r="R65" i="54"/>
  <c r="J29" i="55" s="1"/>
  <c r="S65" i="54"/>
  <c r="K29" i="55" s="1"/>
  <c r="T65" i="54"/>
  <c r="L29" i="55" s="1"/>
  <c r="U65" i="54"/>
  <c r="M29" i="55" s="1"/>
  <c r="V65" i="54"/>
  <c r="N29" i="55" s="1"/>
  <c r="W65" i="54"/>
  <c r="O29" i="55" s="1"/>
  <c r="L65" i="54"/>
  <c r="D29" i="55" s="1"/>
  <c r="X49" i="54"/>
  <c r="X50" i="54"/>
  <c r="X51" i="54"/>
  <c r="X52" i="54"/>
  <c r="X53" i="54"/>
  <c r="X54" i="54"/>
  <c r="X55" i="54"/>
  <c r="X56" i="54"/>
  <c r="X57" i="54"/>
  <c r="X58" i="54"/>
  <c r="X59" i="54"/>
  <c r="X60" i="54"/>
  <c r="X61" i="54"/>
  <c r="X62" i="54"/>
  <c r="X63" i="54"/>
  <c r="D20" i="60" s="1"/>
  <c r="X64" i="54"/>
  <c r="J61" i="54"/>
  <c r="J62" i="54"/>
  <c r="P11" i="55"/>
  <c r="P15" i="55"/>
  <c r="P19" i="55"/>
  <c r="P23" i="55"/>
  <c r="P27" i="55"/>
  <c r="P32" i="55"/>
  <c r="P33" i="55"/>
  <c r="K3" i="55" s="1"/>
  <c r="AG31" i="51"/>
  <c r="AH31" i="51"/>
  <c r="AI31" i="51"/>
  <c r="AJ31" i="51"/>
  <c r="AK31" i="51"/>
  <c r="AL31" i="51"/>
  <c r="AM31" i="51"/>
  <c r="AN31" i="51"/>
  <c r="AO31" i="51"/>
  <c r="AP31" i="51"/>
  <c r="AQ31" i="51"/>
  <c r="E9" i="55"/>
  <c r="F9" i="55"/>
  <c r="G9" i="55"/>
  <c r="H9" i="55"/>
  <c r="I9" i="55"/>
  <c r="J9" i="55"/>
  <c r="K9" i="55"/>
  <c r="L9" i="55"/>
  <c r="M9" i="55"/>
  <c r="N9" i="55"/>
  <c r="O9" i="55"/>
  <c r="D9" i="55"/>
  <c r="D8" i="55"/>
  <c r="J41" i="54"/>
  <c r="AZ30" i="50"/>
  <c r="D43" i="54" s="1"/>
  <c r="D42" i="54"/>
  <c r="D39" i="54"/>
  <c r="J39" i="54" s="1"/>
  <c r="D38" i="54"/>
  <c r="J38" i="54" s="1"/>
  <c r="D26" i="60" l="1"/>
  <c r="D25" i="60" s="1"/>
  <c r="F31" i="55"/>
  <c r="P31" i="55" s="1"/>
  <c r="J101" i="54"/>
  <c r="I29" i="55"/>
  <c r="J65" i="54"/>
  <c r="H147" i="54"/>
  <c r="J147" i="54" s="1"/>
  <c r="D164" i="54"/>
  <c r="H138" i="54"/>
  <c r="D44" i="54"/>
  <c r="X101" i="54"/>
  <c r="H156" i="54"/>
  <c r="J156" i="54" s="1"/>
  <c r="P25" i="55"/>
  <c r="N20" i="46" s="1"/>
  <c r="P9" i="55"/>
  <c r="X65" i="54"/>
  <c r="P29" i="55" s="1"/>
  <c r="D33" i="28" l="1"/>
  <c r="O28" i="28" s="1"/>
  <c r="J20" i="46"/>
  <c r="S63" i="51"/>
  <c r="U63" i="51"/>
  <c r="AB63" i="51"/>
  <c r="H164" i="54"/>
  <c r="J164" i="54" s="1"/>
  <c r="J138" i="54"/>
  <c r="A31" i="51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29" i="54"/>
  <c r="X30" i="54"/>
  <c r="X31" i="54"/>
  <c r="J28" i="54"/>
  <c r="J29" i="54"/>
  <c r="J30" i="54"/>
  <c r="J31" i="54"/>
  <c r="D6" i="54"/>
  <c r="J6" i="54" s="1"/>
  <c r="D7" i="54"/>
  <c r="J7" i="54" s="1"/>
  <c r="J18" i="54"/>
  <c r="J23" i="54"/>
  <c r="J24" i="54"/>
  <c r="J25" i="54"/>
  <c r="J26" i="54"/>
  <c r="J27" i="54"/>
  <c r="D5" i="54"/>
  <c r="J5" i="54" s="1"/>
  <c r="L105" i="54"/>
  <c r="X36" i="54"/>
  <c r="X68" i="54"/>
  <c r="X87" i="54"/>
  <c r="L87" i="54"/>
  <c r="L68" i="54"/>
  <c r="L36" i="54"/>
  <c r="X48" i="54"/>
  <c r="D30" i="60" s="1"/>
  <c r="X47" i="54"/>
  <c r="X46" i="54"/>
  <c r="X45" i="54"/>
  <c r="D32" i="60" s="1"/>
  <c r="X44" i="54"/>
  <c r="X43" i="54"/>
  <c r="X42" i="54"/>
  <c r="D13" i="60" s="1"/>
  <c r="X41" i="54"/>
  <c r="X40" i="54"/>
  <c r="D29" i="60" s="1"/>
  <c r="X39" i="54"/>
  <c r="X38" i="54"/>
  <c r="X15" i="54"/>
  <c r="X14" i="54"/>
  <c r="X13" i="54"/>
  <c r="X12" i="54"/>
  <c r="X11" i="54"/>
  <c r="X10" i="54"/>
  <c r="X9" i="54"/>
  <c r="X8" i="54"/>
  <c r="X7" i="54"/>
  <c r="X6" i="54"/>
  <c r="X5" i="54"/>
  <c r="L3" i="54"/>
  <c r="W2" i="54"/>
  <c r="V2" i="54"/>
  <c r="U2" i="54"/>
  <c r="T2" i="54"/>
  <c r="S2" i="54"/>
  <c r="R2" i="54"/>
  <c r="Q2" i="54"/>
  <c r="P2" i="54"/>
  <c r="O2" i="54"/>
  <c r="N2" i="54"/>
  <c r="M2" i="54"/>
  <c r="L2" i="54"/>
  <c r="K2" i="48"/>
  <c r="V16" i="48"/>
  <c r="V15" i="48"/>
  <c r="V14" i="48"/>
  <c r="V13" i="48"/>
  <c r="V12" i="48"/>
  <c r="V11" i="48"/>
  <c r="V10" i="48"/>
  <c r="V9" i="48"/>
  <c r="V8" i="48"/>
  <c r="V7" i="48"/>
  <c r="V6" i="48"/>
  <c r="V5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AF35" i="51"/>
  <c r="AD35" i="51"/>
  <c r="AC35" i="51"/>
  <c r="AB35" i="51"/>
  <c r="AA35" i="51"/>
  <c r="Z35" i="51"/>
  <c r="Y35" i="51"/>
  <c r="X35" i="51"/>
  <c r="W35" i="51"/>
  <c r="V35" i="51"/>
  <c r="U35" i="51"/>
  <c r="S35" i="51"/>
  <c r="AP3" i="51"/>
  <c r="AO3" i="51"/>
  <c r="AN3" i="51"/>
  <c r="AM3" i="51"/>
  <c r="AL3" i="51"/>
  <c r="AK3" i="51"/>
  <c r="AJ3" i="51"/>
  <c r="AI3" i="51"/>
  <c r="AH3" i="51"/>
  <c r="AG3" i="51"/>
  <c r="AF3" i="51"/>
  <c r="AC3" i="51"/>
  <c r="AB3" i="51"/>
  <c r="AA3" i="51"/>
  <c r="Z3" i="51"/>
  <c r="Y3" i="51"/>
  <c r="X3" i="51"/>
  <c r="W3" i="51"/>
  <c r="V3" i="51"/>
  <c r="U3" i="51"/>
  <c r="S3" i="51"/>
  <c r="AF4" i="51"/>
  <c r="AF36" i="51" s="1"/>
  <c r="AF31" i="51"/>
  <c r="D17" i="55" s="1" a="1"/>
  <c r="S4" i="51"/>
  <c r="S36" i="51" s="1"/>
  <c r="AD31" i="51"/>
  <c r="AC31" i="51"/>
  <c r="AB31" i="51"/>
  <c r="AA31" i="51"/>
  <c r="Z31" i="51"/>
  <c r="Y31" i="51"/>
  <c r="X31" i="51"/>
  <c r="W31" i="51"/>
  <c r="V31" i="51"/>
  <c r="U31" i="51"/>
  <c r="T31" i="51"/>
  <c r="S31" i="51"/>
  <c r="AB226" i="24"/>
  <c r="AB225" i="24"/>
  <c r="AB224" i="24"/>
  <c r="AB223" i="24"/>
  <c r="AB222" i="24"/>
  <c r="AB221" i="24"/>
  <c r="AB220" i="24"/>
  <c r="AB219" i="24"/>
  <c r="AB218" i="24"/>
  <c r="AB217" i="24"/>
  <c r="AB216" i="24"/>
  <c r="AB215" i="24"/>
  <c r="AB214" i="24"/>
  <c r="AB213" i="24"/>
  <c r="AB212" i="24"/>
  <c r="AB211" i="24"/>
  <c r="AB210" i="24"/>
  <c r="AB209" i="24"/>
  <c r="AB208" i="24"/>
  <c r="AB207" i="24"/>
  <c r="AB206" i="24"/>
  <c r="AB205" i="24"/>
  <c r="AB204" i="24"/>
  <c r="AB203" i="24"/>
  <c r="AB202" i="24"/>
  <c r="AB201" i="24"/>
  <c r="AB200" i="24"/>
  <c r="AB199" i="24"/>
  <c r="AB198" i="24"/>
  <c r="AB197" i="24"/>
  <c r="AB196" i="24"/>
  <c r="AB195" i="24"/>
  <c r="AB194" i="24"/>
  <c r="AB193" i="24"/>
  <c r="AB192" i="24"/>
  <c r="AB191" i="24"/>
  <c r="AB190" i="24"/>
  <c r="AB189" i="24"/>
  <c r="AB188" i="24"/>
  <c r="AB187" i="24"/>
  <c r="AB186" i="24"/>
  <c r="AB185" i="24"/>
  <c r="AB184" i="24"/>
  <c r="AB183" i="24"/>
  <c r="AB182" i="24"/>
  <c r="AB181" i="24"/>
  <c r="AB180" i="24"/>
  <c r="AB179" i="24"/>
  <c r="AB178" i="24"/>
  <c r="AB177" i="24"/>
  <c r="AB176" i="24"/>
  <c r="AB175" i="24"/>
  <c r="AB174" i="24"/>
  <c r="AB173" i="24"/>
  <c r="AB172" i="24"/>
  <c r="AB171" i="24"/>
  <c r="AB170" i="24"/>
  <c r="AB169" i="24"/>
  <c r="AB168" i="24"/>
  <c r="AB167" i="24"/>
  <c r="AB166" i="24"/>
  <c r="AB165" i="24"/>
  <c r="AB164" i="24"/>
  <c r="AB163" i="24"/>
  <c r="AB162" i="24"/>
  <c r="AB161" i="24"/>
  <c r="AB160" i="24"/>
  <c r="AB159" i="24"/>
  <c r="AB158" i="24"/>
  <c r="AB157" i="24"/>
  <c r="AB156" i="24"/>
  <c r="AB155" i="24"/>
  <c r="AB154" i="24"/>
  <c r="AB153" i="24"/>
  <c r="AB152" i="24"/>
  <c r="AB151" i="24"/>
  <c r="AB150" i="24"/>
  <c r="AB149" i="24"/>
  <c r="AB148" i="24"/>
  <c r="AB147" i="24"/>
  <c r="AB146" i="24"/>
  <c r="AB145" i="24"/>
  <c r="AB144" i="24"/>
  <c r="AB143" i="24"/>
  <c r="AB142" i="24"/>
  <c r="AB141" i="24"/>
  <c r="AB140" i="24"/>
  <c r="AB139" i="24"/>
  <c r="AB138" i="24"/>
  <c r="AB137" i="24"/>
  <c r="AB136" i="24"/>
  <c r="AB135" i="24"/>
  <c r="AB134" i="24"/>
  <c r="AB133" i="24"/>
  <c r="AB132" i="24"/>
  <c r="AB131" i="24"/>
  <c r="AB130" i="24"/>
  <c r="AB129" i="24"/>
  <c r="AB128" i="24"/>
  <c r="AB127" i="24"/>
  <c r="AB126" i="24"/>
  <c r="AB125" i="24"/>
  <c r="AB124" i="24"/>
  <c r="AB123" i="24"/>
  <c r="AB122" i="24"/>
  <c r="AB121" i="24"/>
  <c r="AB120" i="24"/>
  <c r="AB119" i="24"/>
  <c r="AB118" i="24"/>
  <c r="AB117" i="24"/>
  <c r="AB116" i="24"/>
  <c r="AB115" i="24"/>
  <c r="AB114" i="24"/>
  <c r="AB113" i="24"/>
  <c r="AB112" i="24"/>
  <c r="AB111" i="24"/>
  <c r="AB110" i="24"/>
  <c r="AB109" i="24"/>
  <c r="AB108" i="24"/>
  <c r="AB107" i="24"/>
  <c r="AB106" i="24"/>
  <c r="AB105" i="24"/>
  <c r="AB104" i="24"/>
  <c r="AB103" i="24"/>
  <c r="AB102" i="24"/>
  <c r="AB101" i="24"/>
  <c r="AB100" i="24"/>
  <c r="AB99" i="24"/>
  <c r="AB98" i="24"/>
  <c r="AB97" i="24"/>
  <c r="AB96" i="24"/>
  <c r="AB95" i="24"/>
  <c r="AB94" i="24"/>
  <c r="AB93" i="24"/>
  <c r="AB92" i="24"/>
  <c r="AB91" i="24"/>
  <c r="AB90" i="24"/>
  <c r="AB89" i="24"/>
  <c r="AB88" i="24"/>
  <c r="AB87" i="24"/>
  <c r="AB86" i="24"/>
  <c r="AB85" i="24"/>
  <c r="AB84" i="24"/>
  <c r="AB83" i="24"/>
  <c r="AB82" i="24"/>
  <c r="AB81" i="24"/>
  <c r="AB80" i="24"/>
  <c r="AB79" i="24"/>
  <c r="AB78" i="24"/>
  <c r="AB77" i="24"/>
  <c r="AB76" i="24"/>
  <c r="AB75" i="24"/>
  <c r="AB74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60" i="24"/>
  <c r="AB59" i="24"/>
  <c r="AB58" i="24"/>
  <c r="AB57" i="24"/>
  <c r="AB56" i="24"/>
  <c r="AB55" i="24"/>
  <c r="AB54" i="24"/>
  <c r="AB53" i="24"/>
  <c r="AB52" i="24"/>
  <c r="AB51" i="24"/>
  <c r="AB50" i="24"/>
  <c r="AB49" i="24"/>
  <c r="AB48" i="24"/>
  <c r="AB47" i="24"/>
  <c r="AB46" i="24"/>
  <c r="AB45" i="24"/>
  <c r="AB44" i="24"/>
  <c r="AB43" i="24"/>
  <c r="AB42" i="24"/>
  <c r="AB41" i="24"/>
  <c r="AB40" i="24"/>
  <c r="AB39" i="24"/>
  <c r="AB38" i="24"/>
  <c r="AB37" i="24"/>
  <c r="AB36" i="24"/>
  <c r="AB35" i="24"/>
  <c r="AB34" i="24"/>
  <c r="AB33" i="24"/>
  <c r="AB32" i="24"/>
  <c r="AB31" i="24"/>
  <c r="AB30" i="24"/>
  <c r="AB29" i="24"/>
  <c r="AP14" i="24"/>
  <c r="AN3" i="24"/>
  <c r="AL4" i="24"/>
  <c r="AR4" i="24" s="1"/>
  <c r="AN4" i="24"/>
  <c r="AL5" i="24"/>
  <c r="AR5" i="24" s="1"/>
  <c r="AN5" i="24"/>
  <c r="AL6" i="24"/>
  <c r="AV6" i="24" s="1"/>
  <c r="AN6" i="24"/>
  <c r="AL7" i="24"/>
  <c r="AV7" i="24" s="1"/>
  <c r="AN7" i="24"/>
  <c r="AL8" i="24"/>
  <c r="AR8" i="24" s="1"/>
  <c r="AN8" i="24"/>
  <c r="AL9" i="24"/>
  <c r="AV9" i="24" s="1"/>
  <c r="AN9" i="24"/>
  <c r="AL10" i="24"/>
  <c r="AV10" i="24" s="1"/>
  <c r="AN10" i="24"/>
  <c r="AL11" i="24"/>
  <c r="AV11" i="24" s="1"/>
  <c r="AN11" i="24"/>
  <c r="AL12" i="24"/>
  <c r="AR12" i="24" s="1"/>
  <c r="AN12" i="24"/>
  <c r="AL13" i="24"/>
  <c r="AR13" i="24" s="1"/>
  <c r="AN13" i="24"/>
  <c r="AN14" i="24"/>
  <c r="AL15" i="24"/>
  <c r="AV15" i="24" s="1"/>
  <c r="AL16" i="24"/>
  <c r="AV16" i="24" s="1"/>
  <c r="AN16" i="24"/>
  <c r="AL17" i="24"/>
  <c r="AV17" i="24" s="1"/>
  <c r="AN17" i="24"/>
  <c r="AL18" i="24"/>
  <c r="AV18" i="24" s="1"/>
  <c r="AN18" i="24"/>
  <c r="AL19" i="24"/>
  <c r="AR19" i="24" s="1"/>
  <c r="AN19" i="24"/>
  <c r="AL20" i="24"/>
  <c r="AR20" i="24" s="1"/>
  <c r="AN20" i="24"/>
  <c r="AL21" i="24"/>
  <c r="AR21" i="24" s="1"/>
  <c r="AN21" i="24"/>
  <c r="AL22" i="24"/>
  <c r="AV22" i="24" s="1"/>
  <c r="AN22" i="24"/>
  <c r="AL23" i="24"/>
  <c r="AV23" i="24" s="1"/>
  <c r="AN23" i="24"/>
  <c r="AL24" i="24"/>
  <c r="AN24" i="24"/>
  <c r="AL25" i="24"/>
  <c r="AV25" i="24" s="1"/>
  <c r="AN25" i="24"/>
  <c r="AL26" i="24"/>
  <c r="AN26" i="24"/>
  <c r="AL27" i="24"/>
  <c r="AV27" i="24" s="1"/>
  <c r="AN27" i="24"/>
  <c r="AL28" i="24"/>
  <c r="AV28" i="24" s="1"/>
  <c r="AN28" i="24"/>
  <c r="AL29" i="24"/>
  <c r="AR29" i="24" s="1"/>
  <c r="AN29" i="24"/>
  <c r="AL30" i="24"/>
  <c r="AV30" i="24" s="1"/>
  <c r="AN30" i="24"/>
  <c r="AL31" i="24"/>
  <c r="AV31" i="24" s="1"/>
  <c r="AN31" i="24"/>
  <c r="AL32" i="24"/>
  <c r="AR32" i="24" s="1"/>
  <c r="AN32" i="24"/>
  <c r="AL33" i="24"/>
  <c r="AV33" i="24" s="1"/>
  <c r="AN33" i="24"/>
  <c r="AL34" i="24"/>
  <c r="AV34" i="24" s="1"/>
  <c r="AN34" i="24"/>
  <c r="AL35" i="24"/>
  <c r="AR35" i="24" s="1"/>
  <c r="AN35" i="24"/>
  <c r="AL36" i="24"/>
  <c r="AR36" i="24" s="1"/>
  <c r="AN36" i="24"/>
  <c r="AL37" i="24"/>
  <c r="AV37" i="24" s="1"/>
  <c r="AN37" i="24"/>
  <c r="AL38" i="24"/>
  <c r="AV38" i="24" s="1"/>
  <c r="AN38" i="24"/>
  <c r="AL39" i="24"/>
  <c r="AV39" i="24" s="1"/>
  <c r="AN39" i="24"/>
  <c r="AL40" i="24"/>
  <c r="AV40" i="24" s="1"/>
  <c r="AN40" i="24"/>
  <c r="AL41" i="24"/>
  <c r="AV41" i="24" s="1"/>
  <c r="AN41" i="24"/>
  <c r="AL42" i="24"/>
  <c r="AR42" i="24" s="1"/>
  <c r="AN42" i="24"/>
  <c r="AL43" i="24"/>
  <c r="AR43" i="24" s="1"/>
  <c r="AN43" i="24"/>
  <c r="AL44" i="24"/>
  <c r="AR44" i="24" s="1"/>
  <c r="AN44" i="24"/>
  <c r="AL45" i="24"/>
  <c r="AR45" i="24" s="1"/>
  <c r="AN45" i="24"/>
  <c r="AL46" i="24"/>
  <c r="AV46" i="24" s="1"/>
  <c r="AN46" i="24"/>
  <c r="AL47" i="24"/>
  <c r="AV47" i="24" s="1"/>
  <c r="AN47" i="24"/>
  <c r="AL48" i="24"/>
  <c r="AR48" i="24" s="1"/>
  <c r="AN48" i="24"/>
  <c r="AL49" i="24"/>
  <c r="AV49" i="24" s="1"/>
  <c r="AN49" i="24"/>
  <c r="AL50" i="24"/>
  <c r="AR50" i="24" s="1"/>
  <c r="AN50" i="24"/>
  <c r="AL51" i="24"/>
  <c r="AV51" i="24" s="1"/>
  <c r="AN51" i="24"/>
  <c r="AL52" i="24"/>
  <c r="AR52" i="24" s="1"/>
  <c r="AN52" i="24"/>
  <c r="AL53" i="24"/>
  <c r="AV53" i="24" s="1"/>
  <c r="AN53" i="24"/>
  <c r="AL54" i="24"/>
  <c r="AV54" i="24" s="1"/>
  <c r="AN54" i="24"/>
  <c r="AL55" i="24"/>
  <c r="AV55" i="24" s="1"/>
  <c r="AN55" i="24"/>
  <c r="AL56" i="24"/>
  <c r="AV56" i="24" s="1"/>
  <c r="AN56" i="24"/>
  <c r="AL57" i="24"/>
  <c r="AV57" i="24" s="1"/>
  <c r="AN57" i="24"/>
  <c r="AL58" i="24"/>
  <c r="AV58" i="24" s="1"/>
  <c r="AN58" i="24"/>
  <c r="AL59" i="24"/>
  <c r="AR59" i="24" s="1"/>
  <c r="AN59" i="24"/>
  <c r="AL60" i="24"/>
  <c r="AR60" i="24" s="1"/>
  <c r="AN60" i="24"/>
  <c r="AL61" i="24"/>
  <c r="AV61" i="24" s="1"/>
  <c r="AN61" i="24"/>
  <c r="AL62" i="24"/>
  <c r="AV62" i="24" s="1"/>
  <c r="AN62" i="24"/>
  <c r="AL63" i="24"/>
  <c r="AV63" i="24" s="1"/>
  <c r="AN63" i="24"/>
  <c r="AL64" i="24"/>
  <c r="AV64" i="24" s="1"/>
  <c r="AN64" i="24"/>
  <c r="AL65" i="24"/>
  <c r="AV65" i="24" s="1"/>
  <c r="AN65" i="24"/>
  <c r="AL66" i="24"/>
  <c r="AR66" i="24" s="1"/>
  <c r="AN66" i="24"/>
  <c r="AL67" i="24"/>
  <c r="AR67" i="24" s="1"/>
  <c r="AN67" i="24"/>
  <c r="AL68" i="24"/>
  <c r="AR68" i="24" s="1"/>
  <c r="AN68" i="24"/>
  <c r="AL69" i="24"/>
  <c r="AV69" i="24" s="1"/>
  <c r="AN69" i="24"/>
  <c r="AL70" i="24"/>
  <c r="AV70" i="24" s="1"/>
  <c r="AN70" i="24"/>
  <c r="AL71" i="24"/>
  <c r="AV71" i="24" s="1"/>
  <c r="AN71" i="24"/>
  <c r="AL72" i="24"/>
  <c r="AV72" i="24" s="1"/>
  <c r="AN72" i="24"/>
  <c r="AL73" i="24"/>
  <c r="AV73" i="24" s="1"/>
  <c r="AN73" i="24"/>
  <c r="AL74" i="24"/>
  <c r="AV74" i="24" s="1"/>
  <c r="AN74" i="24"/>
  <c r="AL75" i="24"/>
  <c r="AV75" i="24" s="1"/>
  <c r="AN75" i="24"/>
  <c r="AL76" i="24"/>
  <c r="AV76" i="24" s="1"/>
  <c r="AN76" i="24"/>
  <c r="AL77" i="24"/>
  <c r="AR77" i="24" s="1"/>
  <c r="AN77" i="24"/>
  <c r="AL78" i="24"/>
  <c r="AV78" i="24" s="1"/>
  <c r="AN78" i="24"/>
  <c r="AL79" i="24"/>
  <c r="AV79" i="24" s="1"/>
  <c r="AN79" i="24"/>
  <c r="AL80" i="24"/>
  <c r="AV80" i="24" s="1"/>
  <c r="AN80" i="24"/>
  <c r="AL81" i="24"/>
  <c r="AR81" i="24" s="1"/>
  <c r="AN81" i="24"/>
  <c r="AL82" i="24"/>
  <c r="AV82" i="24" s="1"/>
  <c r="AN82" i="24"/>
  <c r="AL83" i="24"/>
  <c r="AV83" i="24" s="1"/>
  <c r="AN83" i="24"/>
  <c r="AL84" i="24"/>
  <c r="AV84" i="24" s="1"/>
  <c r="AN84" i="24"/>
  <c r="AL85" i="24"/>
  <c r="AR85" i="24" s="1"/>
  <c r="AN85" i="24"/>
  <c r="AL86" i="24"/>
  <c r="AV86" i="24" s="1"/>
  <c r="AN86" i="24"/>
  <c r="AL87" i="24"/>
  <c r="AV87" i="24" s="1"/>
  <c r="AN87" i="24"/>
  <c r="AL88" i="24"/>
  <c r="AV88" i="24" s="1"/>
  <c r="AN88" i="24"/>
  <c r="AL89" i="24"/>
  <c r="AR89" i="24" s="1"/>
  <c r="AN89" i="24"/>
  <c r="AL90" i="24"/>
  <c r="AR90" i="24" s="1"/>
  <c r="AN90" i="24"/>
  <c r="AL91" i="24"/>
  <c r="AV91" i="24" s="1"/>
  <c r="AN91" i="24"/>
  <c r="AL92" i="24"/>
  <c r="AV92" i="24" s="1"/>
  <c r="AN92" i="24"/>
  <c r="AL93" i="24"/>
  <c r="AV93" i="24" s="1"/>
  <c r="AN93" i="24"/>
  <c r="AL94" i="24"/>
  <c r="AV94" i="24" s="1"/>
  <c r="AN94" i="24"/>
  <c r="AL95" i="24"/>
  <c r="AV95" i="24" s="1"/>
  <c r="AN95" i="24"/>
  <c r="AL96" i="24"/>
  <c r="AV96" i="24" s="1"/>
  <c r="AN96" i="24"/>
  <c r="AL97" i="24"/>
  <c r="AV97" i="24" s="1"/>
  <c r="AN97" i="24"/>
  <c r="AL98" i="24"/>
  <c r="AV98" i="24" s="1"/>
  <c r="AN98" i="24"/>
  <c r="AL99" i="24"/>
  <c r="AV99" i="24" s="1"/>
  <c r="AN99" i="24"/>
  <c r="AL100" i="24"/>
  <c r="AR100" i="24" s="1"/>
  <c r="AN100" i="24"/>
  <c r="AL101" i="24"/>
  <c r="AV101" i="24" s="1"/>
  <c r="AN101" i="24"/>
  <c r="AL102" i="24"/>
  <c r="AV102" i="24" s="1"/>
  <c r="AN102" i="24"/>
  <c r="AL103" i="24"/>
  <c r="AV103" i="24" s="1"/>
  <c r="AN103" i="24"/>
  <c r="AL104" i="24"/>
  <c r="AV104" i="24" s="1"/>
  <c r="AN104" i="24"/>
  <c r="AL105" i="24"/>
  <c r="AV105" i="24" s="1"/>
  <c r="AN105" i="24"/>
  <c r="AL106" i="24"/>
  <c r="AV106" i="24" s="1"/>
  <c r="AN106" i="24"/>
  <c r="AL107" i="24"/>
  <c r="AV107" i="24" s="1"/>
  <c r="AN107" i="24"/>
  <c r="AL108" i="24"/>
  <c r="AR108" i="24" s="1"/>
  <c r="AN108" i="24"/>
  <c r="AL109" i="24"/>
  <c r="AV109" i="24" s="1"/>
  <c r="AN109" i="24"/>
  <c r="AL110" i="24"/>
  <c r="AV110" i="24" s="1"/>
  <c r="AN110" i="24"/>
  <c r="AL111" i="24"/>
  <c r="AV111" i="24" s="1"/>
  <c r="AN111" i="24"/>
  <c r="AL112" i="24"/>
  <c r="AV112" i="24" s="1"/>
  <c r="AN112" i="24"/>
  <c r="AL113" i="24"/>
  <c r="AV113" i="24" s="1"/>
  <c r="AN113" i="24"/>
  <c r="AL114" i="24"/>
  <c r="AR114" i="24" s="1"/>
  <c r="AN114" i="24"/>
  <c r="AL115" i="24"/>
  <c r="AV115" i="24" s="1"/>
  <c r="AN115" i="24"/>
  <c r="AL116" i="24"/>
  <c r="AV116" i="24" s="1"/>
  <c r="AN116" i="24"/>
  <c r="AL117" i="24"/>
  <c r="AR117" i="24" s="1"/>
  <c r="AN117" i="24"/>
  <c r="AL118" i="24"/>
  <c r="AV118" i="24" s="1"/>
  <c r="AN118" i="24"/>
  <c r="AL119" i="24"/>
  <c r="AV119" i="24" s="1"/>
  <c r="AN119" i="24"/>
  <c r="AL120" i="24"/>
  <c r="AV120" i="24" s="1"/>
  <c r="AN120" i="24"/>
  <c r="AL121" i="24"/>
  <c r="AV121" i="24" s="1"/>
  <c r="AN121" i="24"/>
  <c r="AL122" i="24"/>
  <c r="AV122" i="24" s="1"/>
  <c r="AN122" i="24"/>
  <c r="AL123" i="24"/>
  <c r="AV123" i="24" s="1"/>
  <c r="AN123" i="24"/>
  <c r="AL124" i="24"/>
  <c r="AV124" i="24" s="1"/>
  <c r="AN124" i="24"/>
  <c r="AL125" i="24"/>
  <c r="AV125" i="24" s="1"/>
  <c r="AN125" i="24"/>
  <c r="AL126" i="24"/>
  <c r="AV126" i="24" s="1"/>
  <c r="AN126" i="24"/>
  <c r="AL127" i="24"/>
  <c r="AV127" i="24" s="1"/>
  <c r="AN127" i="24"/>
  <c r="AL128" i="24"/>
  <c r="AV128" i="24" s="1"/>
  <c r="AN128" i="24"/>
  <c r="AL129" i="24"/>
  <c r="AV129" i="24" s="1"/>
  <c r="AN129" i="24"/>
  <c r="AL130" i="24"/>
  <c r="AV130" i="24" s="1"/>
  <c r="AN130" i="24"/>
  <c r="AL131" i="24"/>
  <c r="AV131" i="24" s="1"/>
  <c r="AN131" i="24"/>
  <c r="AL132" i="24"/>
  <c r="AV132" i="24" s="1"/>
  <c r="AN132" i="24"/>
  <c r="AL133" i="24"/>
  <c r="AR133" i="24" s="1"/>
  <c r="AN133" i="24"/>
  <c r="AL134" i="24"/>
  <c r="AV134" i="24" s="1"/>
  <c r="AN134" i="24"/>
  <c r="AL135" i="24"/>
  <c r="AV135" i="24" s="1"/>
  <c r="AN135" i="24"/>
  <c r="AL136" i="24"/>
  <c r="AV136" i="24" s="1"/>
  <c r="AN136" i="24"/>
  <c r="AL137" i="24"/>
  <c r="AV137" i="24" s="1"/>
  <c r="AN137" i="24"/>
  <c r="AL138" i="24"/>
  <c r="AV138" i="24" s="1"/>
  <c r="AN138" i="24"/>
  <c r="AL139" i="24"/>
  <c r="AV139" i="24" s="1"/>
  <c r="AN139" i="24"/>
  <c r="AL140" i="24"/>
  <c r="AR140" i="24" s="1"/>
  <c r="AN140" i="24"/>
  <c r="AL141" i="24"/>
  <c r="AV141" i="24" s="1"/>
  <c r="AN141" i="24"/>
  <c r="AL142" i="24"/>
  <c r="AV142" i="24" s="1"/>
  <c r="AN142" i="24"/>
  <c r="AL143" i="24"/>
  <c r="AV143" i="24" s="1"/>
  <c r="AN143" i="24"/>
  <c r="AL144" i="24"/>
  <c r="AV144" i="24" s="1"/>
  <c r="AN144" i="24"/>
  <c r="AL145" i="24"/>
  <c r="AV145" i="24" s="1"/>
  <c r="AN145" i="24"/>
  <c r="AL146" i="24"/>
  <c r="AV146" i="24" s="1"/>
  <c r="AN146" i="24"/>
  <c r="AL147" i="24"/>
  <c r="AV147" i="24" s="1"/>
  <c r="AN147" i="24"/>
  <c r="AL148" i="24"/>
  <c r="AV148" i="24" s="1"/>
  <c r="AN148" i="24"/>
  <c r="AL149" i="24"/>
  <c r="AR149" i="24" s="1"/>
  <c r="AN149" i="24"/>
  <c r="AL150" i="24"/>
  <c r="AV150" i="24" s="1"/>
  <c r="AN150" i="24"/>
  <c r="AL151" i="24"/>
  <c r="AV151" i="24" s="1"/>
  <c r="AN151" i="24"/>
  <c r="AL152" i="24"/>
  <c r="AV152" i="24" s="1"/>
  <c r="AN152" i="24"/>
  <c r="AL153" i="24"/>
  <c r="AV153" i="24" s="1"/>
  <c r="AN153" i="24"/>
  <c r="AL154" i="24"/>
  <c r="AV154" i="24" s="1"/>
  <c r="AN154" i="24"/>
  <c r="AL155" i="24"/>
  <c r="AV155" i="24" s="1"/>
  <c r="AN155" i="24"/>
  <c r="AL156" i="24"/>
  <c r="AV156" i="24" s="1"/>
  <c r="AN156" i="24"/>
  <c r="AL157" i="24"/>
  <c r="AV157" i="24" s="1"/>
  <c r="AN157" i="24"/>
  <c r="AL158" i="24"/>
  <c r="AV158" i="24" s="1"/>
  <c r="AN158" i="24"/>
  <c r="AL159" i="24"/>
  <c r="AV159" i="24" s="1"/>
  <c r="AN159" i="24"/>
  <c r="AL160" i="24"/>
  <c r="AV160" i="24" s="1"/>
  <c r="AN160" i="24"/>
  <c r="AL161" i="24"/>
  <c r="AV161" i="24" s="1"/>
  <c r="AN161" i="24"/>
  <c r="AL162" i="24"/>
  <c r="AV162" i="24" s="1"/>
  <c r="AN162" i="24"/>
  <c r="AL163" i="24"/>
  <c r="AV163" i="24" s="1"/>
  <c r="AN163" i="24"/>
  <c r="AL164" i="24"/>
  <c r="AV164" i="24" s="1"/>
  <c r="AN164" i="24"/>
  <c r="AL165" i="24"/>
  <c r="AV165" i="24" s="1"/>
  <c r="AN165" i="24"/>
  <c r="AL166" i="24"/>
  <c r="AV166" i="24" s="1"/>
  <c r="AN166" i="24"/>
  <c r="AL167" i="24"/>
  <c r="AV167" i="24" s="1"/>
  <c r="AN167" i="24"/>
  <c r="AL168" i="24"/>
  <c r="AV168" i="24" s="1"/>
  <c r="AN168" i="24"/>
  <c r="AL169" i="24"/>
  <c r="AV169" i="24" s="1"/>
  <c r="AN169" i="24"/>
  <c r="AL170" i="24"/>
  <c r="AV170" i="24" s="1"/>
  <c r="AN170" i="24"/>
  <c r="AL171" i="24"/>
  <c r="AV171" i="24" s="1"/>
  <c r="AN171" i="24"/>
  <c r="AL172" i="24"/>
  <c r="AV172" i="24" s="1"/>
  <c r="AN172" i="24"/>
  <c r="AL173" i="24"/>
  <c r="AV173" i="24" s="1"/>
  <c r="AN173" i="24"/>
  <c r="AL174" i="24"/>
  <c r="AV174" i="24" s="1"/>
  <c r="AN174" i="24"/>
  <c r="AL175" i="24"/>
  <c r="AV175" i="24" s="1"/>
  <c r="AN175" i="24"/>
  <c r="AL176" i="24"/>
  <c r="AV176" i="24" s="1"/>
  <c r="AN176" i="24"/>
  <c r="AL177" i="24"/>
  <c r="AV177" i="24" s="1"/>
  <c r="AN177" i="24"/>
  <c r="AL178" i="24"/>
  <c r="AV178" i="24" s="1"/>
  <c r="AN178" i="24"/>
  <c r="AL179" i="24"/>
  <c r="AV179" i="24" s="1"/>
  <c r="AN179" i="24"/>
  <c r="AL180" i="24"/>
  <c r="AV180" i="24" s="1"/>
  <c r="AN180" i="24"/>
  <c r="AL181" i="24"/>
  <c r="AR181" i="24" s="1"/>
  <c r="AN181" i="24"/>
  <c r="AL182" i="24"/>
  <c r="AV182" i="24" s="1"/>
  <c r="AN182" i="24"/>
  <c r="AL183" i="24"/>
  <c r="AV183" i="24" s="1"/>
  <c r="AN183" i="24"/>
  <c r="AL184" i="24"/>
  <c r="AR184" i="24" s="1"/>
  <c r="AN184" i="24"/>
  <c r="AL185" i="24"/>
  <c r="AV185" i="24" s="1"/>
  <c r="AN185" i="24"/>
  <c r="AL186" i="24"/>
  <c r="AR186" i="24" s="1"/>
  <c r="AN186" i="24"/>
  <c r="AL187" i="24"/>
  <c r="AV187" i="24" s="1"/>
  <c r="AN187" i="24"/>
  <c r="AL188" i="24"/>
  <c r="AV188" i="24" s="1"/>
  <c r="AN188" i="24"/>
  <c r="AL189" i="24"/>
  <c r="AR189" i="24" s="1"/>
  <c r="AN189" i="24"/>
  <c r="AL190" i="24"/>
  <c r="AV190" i="24" s="1"/>
  <c r="AN190" i="24"/>
  <c r="AL191" i="24"/>
  <c r="AV191" i="24" s="1"/>
  <c r="AN191" i="24"/>
  <c r="AL192" i="24"/>
  <c r="AV192" i="24" s="1"/>
  <c r="AN192" i="24"/>
  <c r="AL193" i="24"/>
  <c r="AV193" i="24" s="1"/>
  <c r="AN193" i="24"/>
  <c r="AL194" i="24"/>
  <c r="AR194" i="24" s="1"/>
  <c r="AN194" i="24"/>
  <c r="AL195" i="24"/>
  <c r="AV195" i="24" s="1"/>
  <c r="AN195" i="24"/>
  <c r="AL196" i="24"/>
  <c r="AV196" i="24" s="1"/>
  <c r="AN196" i="24"/>
  <c r="AL197" i="24"/>
  <c r="AR197" i="24" s="1"/>
  <c r="AN197" i="24"/>
  <c r="AL198" i="24"/>
  <c r="AV198" i="24" s="1"/>
  <c r="AN198" i="24"/>
  <c r="AL199" i="24"/>
  <c r="AV199" i="24" s="1"/>
  <c r="AN199" i="24"/>
  <c r="AL200" i="24"/>
  <c r="AR200" i="24" s="1"/>
  <c r="AN200" i="24"/>
  <c r="AL201" i="24"/>
  <c r="AV201" i="24" s="1"/>
  <c r="AN201" i="24"/>
  <c r="AL202" i="24"/>
  <c r="AR202" i="24" s="1"/>
  <c r="AN202" i="24"/>
  <c r="AL203" i="24"/>
  <c r="AV203" i="24" s="1"/>
  <c r="AN203" i="24"/>
  <c r="AL204" i="24"/>
  <c r="AV204" i="24" s="1"/>
  <c r="AN204" i="24"/>
  <c r="AL205" i="24"/>
  <c r="AR205" i="24" s="1"/>
  <c r="AN205" i="24"/>
  <c r="AL206" i="24"/>
  <c r="AV206" i="24" s="1"/>
  <c r="AN206" i="24"/>
  <c r="AL207" i="24"/>
  <c r="AR207" i="24" s="1"/>
  <c r="AN207" i="24"/>
  <c r="AL208" i="24"/>
  <c r="AV208" i="24" s="1"/>
  <c r="AN208" i="24"/>
  <c r="AL209" i="24"/>
  <c r="AV209" i="24" s="1"/>
  <c r="AN209" i="24"/>
  <c r="AL210" i="24"/>
  <c r="AR210" i="24" s="1"/>
  <c r="AN210" i="24"/>
  <c r="AL211" i="24"/>
  <c r="AV211" i="24" s="1"/>
  <c r="AN211" i="24"/>
  <c r="AL212" i="24"/>
  <c r="AV212" i="24" s="1"/>
  <c r="AN212" i="24"/>
  <c r="AL213" i="24"/>
  <c r="AV213" i="24" s="1"/>
  <c r="AN213" i="24"/>
  <c r="AL214" i="24"/>
  <c r="AV214" i="24" s="1"/>
  <c r="AN214" i="24"/>
  <c r="AL215" i="24"/>
  <c r="AR215" i="24" s="1"/>
  <c r="AN215" i="24"/>
  <c r="AL216" i="24"/>
  <c r="AV216" i="24" s="1"/>
  <c r="AN216" i="24"/>
  <c r="AL217" i="24"/>
  <c r="AV217" i="24" s="1"/>
  <c r="AN217" i="24"/>
  <c r="AL218" i="24"/>
  <c r="AR218" i="24" s="1"/>
  <c r="AN218" i="24"/>
  <c r="AL219" i="24"/>
  <c r="AV219" i="24" s="1"/>
  <c r="AN219" i="24"/>
  <c r="AL220" i="24"/>
  <c r="AV220" i="24" s="1"/>
  <c r="AN220" i="24"/>
  <c r="AL221" i="24"/>
  <c r="AV221" i="24" s="1"/>
  <c r="AN221" i="24"/>
  <c r="AL222" i="24"/>
  <c r="AV222" i="24" s="1"/>
  <c r="AN222" i="24"/>
  <c r="AL223" i="24"/>
  <c r="AR223" i="24" s="1"/>
  <c r="AN223" i="24"/>
  <c r="AL224" i="24"/>
  <c r="AV224" i="24" s="1"/>
  <c r="AN224" i="24"/>
  <c r="AL225" i="24"/>
  <c r="AV225" i="24" s="1"/>
  <c r="AN225" i="24"/>
  <c r="AL226" i="24"/>
  <c r="AV226" i="24" s="1"/>
  <c r="AN226" i="24"/>
  <c r="AL3" i="24"/>
  <c r="AV3" i="24" s="1"/>
  <c r="D31" i="39"/>
  <c r="F67" i="48"/>
  <c r="F68" i="48"/>
  <c r="K31" i="48"/>
  <c r="L31" i="48"/>
  <c r="M31" i="48"/>
  <c r="N31" i="48"/>
  <c r="O31" i="48"/>
  <c r="P31" i="48"/>
  <c r="Q31" i="48"/>
  <c r="R31" i="48"/>
  <c r="S31" i="48"/>
  <c r="T31" i="48"/>
  <c r="U31" i="48"/>
  <c r="K32" i="48"/>
  <c r="L32" i="48"/>
  <c r="M32" i="48"/>
  <c r="N32" i="48"/>
  <c r="O32" i="48"/>
  <c r="Q32" i="48"/>
  <c r="R32" i="48"/>
  <c r="S32" i="48"/>
  <c r="T32" i="48"/>
  <c r="U32" i="48"/>
  <c r="K33" i="48"/>
  <c r="L33" i="48"/>
  <c r="M33" i="48"/>
  <c r="N33" i="48"/>
  <c r="O33" i="48"/>
  <c r="P33" i="48"/>
  <c r="Q33" i="48"/>
  <c r="R33" i="48"/>
  <c r="S33" i="48"/>
  <c r="T33" i="48"/>
  <c r="U33" i="48"/>
  <c r="K34" i="48"/>
  <c r="L34" i="48"/>
  <c r="M34" i="48"/>
  <c r="N34" i="48"/>
  <c r="O34" i="48"/>
  <c r="P34" i="48"/>
  <c r="Q34" i="48"/>
  <c r="R34" i="48"/>
  <c r="S34" i="48"/>
  <c r="T34" i="48"/>
  <c r="U34" i="48"/>
  <c r="K35" i="48"/>
  <c r="L35" i="48"/>
  <c r="N35" i="48"/>
  <c r="O35" i="48"/>
  <c r="P35" i="48"/>
  <c r="Q35" i="48"/>
  <c r="R35" i="48"/>
  <c r="S35" i="48"/>
  <c r="T35" i="48"/>
  <c r="U35" i="48"/>
  <c r="K36" i="48"/>
  <c r="L36" i="48"/>
  <c r="M36" i="48"/>
  <c r="N36" i="48"/>
  <c r="O36" i="48"/>
  <c r="P36" i="48"/>
  <c r="Q36" i="48"/>
  <c r="R36" i="48"/>
  <c r="S36" i="48"/>
  <c r="T36" i="48"/>
  <c r="U36" i="48"/>
  <c r="K37" i="48"/>
  <c r="L37" i="48"/>
  <c r="M37" i="48"/>
  <c r="N37" i="48"/>
  <c r="O37" i="48"/>
  <c r="P37" i="48"/>
  <c r="Q37" i="48"/>
  <c r="R37" i="48"/>
  <c r="S37" i="48"/>
  <c r="T37" i="48"/>
  <c r="U37" i="48"/>
  <c r="K38" i="48"/>
  <c r="L38" i="48"/>
  <c r="M38" i="48"/>
  <c r="N38" i="48"/>
  <c r="O38" i="48"/>
  <c r="P38" i="48"/>
  <c r="Q38" i="48"/>
  <c r="R38" i="48"/>
  <c r="S38" i="48"/>
  <c r="T38" i="48"/>
  <c r="U38" i="48"/>
  <c r="K39" i="48"/>
  <c r="L39" i="48"/>
  <c r="M39" i="48"/>
  <c r="N39" i="48"/>
  <c r="O39" i="48"/>
  <c r="P39" i="48"/>
  <c r="Q39" i="48"/>
  <c r="R39" i="48"/>
  <c r="S39" i="48"/>
  <c r="T39" i="48"/>
  <c r="U39" i="48"/>
  <c r="K40" i="48"/>
  <c r="L40" i="48"/>
  <c r="M40" i="48"/>
  <c r="N40" i="48"/>
  <c r="O40" i="48"/>
  <c r="P40" i="48"/>
  <c r="Q40" i="48"/>
  <c r="R40" i="48"/>
  <c r="S40" i="48"/>
  <c r="T40" i="48"/>
  <c r="U40" i="48"/>
  <c r="K41" i="48"/>
  <c r="L41" i="48"/>
  <c r="M41" i="48"/>
  <c r="N41" i="48"/>
  <c r="O41" i="48"/>
  <c r="P41" i="48"/>
  <c r="Q41" i="48"/>
  <c r="R41" i="48"/>
  <c r="S41" i="48"/>
  <c r="T41" i="48"/>
  <c r="U41" i="48"/>
  <c r="K42" i="48"/>
  <c r="L42" i="48"/>
  <c r="M42" i="48"/>
  <c r="N42" i="48"/>
  <c r="O42" i="48"/>
  <c r="P42" i="48"/>
  <c r="Q42" i="48"/>
  <c r="R42" i="48"/>
  <c r="S42" i="48"/>
  <c r="T42" i="48"/>
  <c r="U42" i="48"/>
  <c r="J32" i="48"/>
  <c r="J33" i="48"/>
  <c r="J34" i="48"/>
  <c r="J35" i="48"/>
  <c r="J36" i="48"/>
  <c r="J37" i="48"/>
  <c r="J38" i="48"/>
  <c r="J39" i="48"/>
  <c r="J40" i="48"/>
  <c r="J41" i="48"/>
  <c r="J42" i="48"/>
  <c r="J31" i="48"/>
  <c r="U2" i="48"/>
  <c r="T2" i="48"/>
  <c r="S2" i="48"/>
  <c r="R2" i="48"/>
  <c r="Q2" i="48"/>
  <c r="P2" i="48"/>
  <c r="O2" i="48"/>
  <c r="N2" i="48"/>
  <c r="M2" i="48"/>
  <c r="L2" i="48"/>
  <c r="J2" i="48"/>
  <c r="F28" i="48"/>
  <c r="F19" i="48"/>
  <c r="F20" i="48"/>
  <c r="F21" i="48"/>
  <c r="F22" i="48"/>
  <c r="F23" i="48"/>
  <c r="F24" i="48"/>
  <c r="F25" i="48"/>
  <c r="F26" i="48"/>
  <c r="F27" i="48"/>
  <c r="F18" i="48"/>
  <c r="B27" i="48"/>
  <c r="B28" i="48"/>
  <c r="D28" i="48"/>
  <c r="B29" i="48"/>
  <c r="D29" i="48"/>
  <c r="F41" i="48"/>
  <c r="B80" i="48"/>
  <c r="B81" i="48"/>
  <c r="B82" i="48"/>
  <c r="B66" i="48"/>
  <c r="B67" i="48"/>
  <c r="B68" i="48"/>
  <c r="B53" i="48"/>
  <c r="B54" i="48"/>
  <c r="B55" i="48"/>
  <c r="B40" i="48"/>
  <c r="B41" i="48"/>
  <c r="B42" i="48"/>
  <c r="F40" i="48"/>
  <c r="F14" i="48"/>
  <c r="D14" i="48"/>
  <c r="D40" i="48" s="1"/>
  <c r="F32" i="48"/>
  <c r="F33" i="48"/>
  <c r="F34" i="48"/>
  <c r="F35" i="48"/>
  <c r="F36" i="48"/>
  <c r="F37" i="48"/>
  <c r="F38" i="48"/>
  <c r="F39" i="48"/>
  <c r="F31" i="48"/>
  <c r="B6" i="48"/>
  <c r="B19" i="48" s="1"/>
  <c r="B7" i="48"/>
  <c r="B20" i="48" s="1"/>
  <c r="B8" i="48"/>
  <c r="B21" i="48" s="1"/>
  <c r="B9" i="48"/>
  <c r="B22" i="48" s="1"/>
  <c r="B10" i="48"/>
  <c r="F10" i="48" s="1"/>
  <c r="B11" i="48"/>
  <c r="F11" i="48" s="1"/>
  <c r="B12" i="48"/>
  <c r="F12" i="48" s="1"/>
  <c r="B13" i="48"/>
  <c r="F13" i="48" s="1"/>
  <c r="B5" i="48"/>
  <c r="B18" i="48" s="1"/>
  <c r="J3" i="48"/>
  <c r="F36" i="39"/>
  <c r="P4" i="50"/>
  <c r="H28" i="51"/>
  <c r="H15" i="51"/>
  <c r="H22" i="51"/>
  <c r="H13" i="51"/>
  <c r="H12" i="51"/>
  <c r="H11" i="51"/>
  <c r="H27" i="51"/>
  <c r="H25" i="51"/>
  <c r="H26" i="51"/>
  <c r="F38" i="51"/>
  <c r="H30" i="51"/>
  <c r="H29" i="51"/>
  <c r="H14" i="51"/>
  <c r="H19" i="51"/>
  <c r="H24" i="51"/>
  <c r="H20" i="51"/>
  <c r="H23" i="51"/>
  <c r="H17" i="51"/>
  <c r="H18" i="51"/>
  <c r="F37" i="51"/>
  <c r="H21" i="51"/>
  <c r="H16" i="51"/>
  <c r="AP44" i="24" l="1"/>
  <c r="AX44" i="24" s="1"/>
  <c r="AP52" i="24"/>
  <c r="AX52" i="24" s="1"/>
  <c r="AP60" i="24"/>
  <c r="AX60" i="24" s="1"/>
  <c r="AP68" i="24"/>
  <c r="AX68" i="24" s="1"/>
  <c r="AP76" i="24"/>
  <c r="AP84" i="24"/>
  <c r="AP92" i="24"/>
  <c r="AP100" i="24"/>
  <c r="AX100" i="24" s="1"/>
  <c r="L32" i="51"/>
  <c r="F64" i="51"/>
  <c r="G38" i="51"/>
  <c r="G37" i="51"/>
  <c r="J70" i="48"/>
  <c r="J1" i="48"/>
  <c r="AP28" i="24"/>
  <c r="AP36" i="24"/>
  <c r="AX36" i="24" s="1"/>
  <c r="AP172" i="24"/>
  <c r="AP180" i="24"/>
  <c r="AP188" i="24"/>
  <c r="AP196" i="24"/>
  <c r="AP204" i="24"/>
  <c r="AP212" i="24"/>
  <c r="AP220" i="24"/>
  <c r="AV44" i="24"/>
  <c r="AV117" i="24"/>
  <c r="AP4" i="24"/>
  <c r="AX4" i="24" s="1"/>
  <c r="AV45" i="24"/>
  <c r="AV77" i="24"/>
  <c r="AV197" i="24"/>
  <c r="AP21" i="24"/>
  <c r="AX21" i="24" s="1"/>
  <c r="AP29" i="24"/>
  <c r="AX29" i="24" s="1"/>
  <c r="AP37" i="24"/>
  <c r="AP45" i="24"/>
  <c r="AX45" i="24" s="1"/>
  <c r="AP53" i="24"/>
  <c r="AP61" i="24"/>
  <c r="AP69" i="24"/>
  <c r="AP77" i="24"/>
  <c r="AX77" i="24" s="1"/>
  <c r="AP101" i="24"/>
  <c r="AP156" i="24"/>
  <c r="AR170" i="24"/>
  <c r="AV52" i="24"/>
  <c r="AV133" i="24"/>
  <c r="AP164" i="24"/>
  <c r="AV8" i="24"/>
  <c r="AV205" i="24"/>
  <c r="AP108" i="24"/>
  <c r="AX108" i="24" s="1"/>
  <c r="AV60" i="24"/>
  <c r="AV100" i="24"/>
  <c r="AV29" i="24"/>
  <c r="AV149" i="24"/>
  <c r="AV181" i="24"/>
  <c r="AP12" i="24"/>
  <c r="AP148" i="24"/>
  <c r="AR37" i="24"/>
  <c r="AV36" i="24"/>
  <c r="AV68" i="24"/>
  <c r="AV108" i="24"/>
  <c r="AV189" i="24"/>
  <c r="AP20" i="24"/>
  <c r="AX20" i="24" s="1"/>
  <c r="J38" i="51"/>
  <c r="J37" i="51"/>
  <c r="F63" i="51"/>
  <c r="AV140" i="24"/>
  <c r="AP124" i="24"/>
  <c r="AP5" i="24"/>
  <c r="AX5" i="24" s="1"/>
  <c r="AP13" i="24"/>
  <c r="AX13" i="24" s="1"/>
  <c r="AP85" i="24"/>
  <c r="AX85" i="24" s="1"/>
  <c r="AP93" i="24"/>
  <c r="AP109" i="24"/>
  <c r="AP117" i="24"/>
  <c r="AX117" i="24" s="1"/>
  <c r="AP125" i="24"/>
  <c r="AP133" i="24"/>
  <c r="AX133" i="24" s="1"/>
  <c r="AP141" i="24"/>
  <c r="AP149" i="24"/>
  <c r="AX149" i="24" s="1"/>
  <c r="AP157" i="24"/>
  <c r="AP165" i="24"/>
  <c r="AP173" i="24"/>
  <c r="AP181" i="24"/>
  <c r="AX181" i="24" s="1"/>
  <c r="AP189" i="24"/>
  <c r="AX189" i="24" s="1"/>
  <c r="AP197" i="24"/>
  <c r="AX197" i="24" s="1"/>
  <c r="AP205" i="24"/>
  <c r="AX205" i="24" s="1"/>
  <c r="AP213" i="24"/>
  <c r="AP221" i="24"/>
  <c r="AP6" i="24"/>
  <c r="AX14" i="24"/>
  <c r="AP22" i="24"/>
  <c r="AP30" i="24"/>
  <c r="AP38" i="24"/>
  <c r="AP46" i="24"/>
  <c r="AP54" i="24"/>
  <c r="AP62" i="24"/>
  <c r="AP70" i="24"/>
  <c r="AP78" i="24"/>
  <c r="AP86" i="24"/>
  <c r="AP94" i="24"/>
  <c r="AP102" i="24"/>
  <c r="AP110" i="24"/>
  <c r="AP118" i="24"/>
  <c r="AP126" i="24"/>
  <c r="AP134" i="24"/>
  <c r="AP142" i="24"/>
  <c r="AP150" i="24"/>
  <c r="AP158" i="24"/>
  <c r="AP166" i="24"/>
  <c r="AP174" i="24"/>
  <c r="AP182" i="24"/>
  <c r="AP190" i="24"/>
  <c r="AP198" i="24"/>
  <c r="AP206" i="24"/>
  <c r="AP214" i="24"/>
  <c r="AP222" i="24"/>
  <c r="AV19" i="24"/>
  <c r="AV207" i="24"/>
  <c r="AV215" i="24"/>
  <c r="AV223" i="24"/>
  <c r="AP7" i="24"/>
  <c r="AP15" i="24"/>
  <c r="AP23" i="24"/>
  <c r="AP31" i="24"/>
  <c r="AP39" i="24"/>
  <c r="AP47" i="24"/>
  <c r="AP55" i="24"/>
  <c r="AP63" i="24"/>
  <c r="AP71" i="24"/>
  <c r="AP79" i="24"/>
  <c r="AP87" i="24"/>
  <c r="AP95" i="24"/>
  <c r="AP103" i="24"/>
  <c r="AP111" i="24"/>
  <c r="AP119" i="24"/>
  <c r="AP127" i="24"/>
  <c r="AP135" i="24"/>
  <c r="AP143" i="24"/>
  <c r="AP151" i="24"/>
  <c r="AP159" i="24"/>
  <c r="AP167" i="24"/>
  <c r="AP175" i="24"/>
  <c r="AP183" i="24"/>
  <c r="AP191" i="24"/>
  <c r="AP199" i="24"/>
  <c r="AP207" i="24"/>
  <c r="AX207" i="24" s="1"/>
  <c r="AP215" i="24"/>
  <c r="AX215" i="24" s="1"/>
  <c r="AP223" i="24"/>
  <c r="AX223" i="24" s="1"/>
  <c r="AR176" i="24"/>
  <c r="AV20" i="24"/>
  <c r="AV32" i="24"/>
  <c r="AV48" i="24"/>
  <c r="AV184" i="24"/>
  <c r="AV200" i="24"/>
  <c r="AP8" i="24"/>
  <c r="AX8" i="24" s="1"/>
  <c r="AP16" i="24"/>
  <c r="AP24" i="24"/>
  <c r="AP32" i="24"/>
  <c r="AX32" i="24" s="1"/>
  <c r="AP40" i="24"/>
  <c r="AP48" i="24"/>
  <c r="AX48" i="24" s="1"/>
  <c r="AP56" i="24"/>
  <c r="AP64" i="24"/>
  <c r="AP72" i="24"/>
  <c r="AP80" i="24"/>
  <c r="AP88" i="24"/>
  <c r="AP96" i="24"/>
  <c r="AP104" i="24"/>
  <c r="AP112" i="24"/>
  <c r="AP120" i="24"/>
  <c r="AP128" i="24"/>
  <c r="AP136" i="24"/>
  <c r="AP144" i="24"/>
  <c r="AP152" i="24"/>
  <c r="AP160" i="24"/>
  <c r="AP168" i="24"/>
  <c r="AP176" i="24"/>
  <c r="AP184" i="24"/>
  <c r="AX184" i="24" s="1"/>
  <c r="AP192" i="24"/>
  <c r="AP200" i="24"/>
  <c r="AP208" i="24"/>
  <c r="AP216" i="24"/>
  <c r="AP224" i="24"/>
  <c r="AP116" i="24"/>
  <c r="AP140" i="24"/>
  <c r="AX140" i="24" s="1"/>
  <c r="AV12" i="24"/>
  <c r="AV21" i="24"/>
  <c r="AV81" i="24"/>
  <c r="AV89" i="24"/>
  <c r="AP9" i="24"/>
  <c r="AP17" i="24"/>
  <c r="AP25" i="24"/>
  <c r="AP33" i="24"/>
  <c r="AP41" i="24"/>
  <c r="AP49" i="24"/>
  <c r="AP57" i="24"/>
  <c r="AP65" i="24"/>
  <c r="AP73" i="24"/>
  <c r="AP81" i="24"/>
  <c r="AX81" i="24" s="1"/>
  <c r="AP89" i="24"/>
  <c r="AX89" i="24" s="1"/>
  <c r="AP97" i="24"/>
  <c r="AP105" i="24"/>
  <c r="AP113" i="24"/>
  <c r="AP121" i="24"/>
  <c r="AP129" i="24"/>
  <c r="AP137" i="24"/>
  <c r="AP145" i="24"/>
  <c r="AP153" i="24"/>
  <c r="AP161" i="24"/>
  <c r="AP169" i="24"/>
  <c r="AP177" i="24"/>
  <c r="AP185" i="24"/>
  <c r="AP193" i="24"/>
  <c r="AP201" i="24"/>
  <c r="AP209" i="24"/>
  <c r="AP217" i="24"/>
  <c r="AP225" i="24"/>
  <c r="AR82" i="24"/>
  <c r="AV4" i="24"/>
  <c r="AV13" i="24"/>
  <c r="AV42" i="24"/>
  <c r="AV50" i="24"/>
  <c r="AV66" i="24"/>
  <c r="AV90" i="24"/>
  <c r="AV114" i="24"/>
  <c r="AV186" i="24"/>
  <c r="AV194" i="24"/>
  <c r="AV202" i="24"/>
  <c r="AV210" i="24"/>
  <c r="AV218" i="24"/>
  <c r="AP10" i="24"/>
  <c r="AP18" i="24"/>
  <c r="AP26" i="24"/>
  <c r="AP34" i="24"/>
  <c r="AP42" i="24"/>
  <c r="AX42" i="24" s="1"/>
  <c r="AP50" i="24"/>
  <c r="AX50" i="24" s="1"/>
  <c r="AP58" i="24"/>
  <c r="AP66" i="24"/>
  <c r="AX66" i="24" s="1"/>
  <c r="AP74" i="24"/>
  <c r="AP82" i="24"/>
  <c r="AP90" i="24"/>
  <c r="AX90" i="24" s="1"/>
  <c r="AP98" i="24"/>
  <c r="AP106" i="24"/>
  <c r="AP114" i="24"/>
  <c r="AX114" i="24" s="1"/>
  <c r="AP122" i="24"/>
  <c r="AP130" i="24"/>
  <c r="AP138" i="24"/>
  <c r="AP146" i="24"/>
  <c r="AP154" i="24"/>
  <c r="AP162" i="24"/>
  <c r="AP170" i="24"/>
  <c r="AP178" i="24"/>
  <c r="AP186" i="24"/>
  <c r="AX186" i="24" s="1"/>
  <c r="AP194" i="24"/>
  <c r="AX194" i="24" s="1"/>
  <c r="AP202" i="24"/>
  <c r="AX202" i="24" s="1"/>
  <c r="AP210" i="24"/>
  <c r="AX210" i="24" s="1"/>
  <c r="AP218" i="24"/>
  <c r="AX218" i="24" s="1"/>
  <c r="AP226" i="24"/>
  <c r="AP132" i="24"/>
  <c r="AV85" i="24"/>
  <c r="AV5" i="24"/>
  <c r="AV35" i="24"/>
  <c r="AV43" i="24"/>
  <c r="AV59" i="24"/>
  <c r="AV67" i="24"/>
  <c r="AP3" i="24"/>
  <c r="AP11" i="24"/>
  <c r="AP19" i="24"/>
  <c r="AX19" i="24" s="1"/>
  <c r="AP27" i="24"/>
  <c r="AP35" i="24"/>
  <c r="AX35" i="24" s="1"/>
  <c r="AP43" i="24"/>
  <c r="AX43" i="24" s="1"/>
  <c r="AP51" i="24"/>
  <c r="AP59" i="24"/>
  <c r="AX59" i="24" s="1"/>
  <c r="AP67" i="24"/>
  <c r="AX67" i="24" s="1"/>
  <c r="AP75" i="24"/>
  <c r="AP83" i="24"/>
  <c r="AP91" i="24"/>
  <c r="AP99" i="24"/>
  <c r="AP107" i="24"/>
  <c r="AP115" i="24"/>
  <c r="AP123" i="24"/>
  <c r="AP131" i="24"/>
  <c r="AP139" i="24"/>
  <c r="AP147" i="24"/>
  <c r="AP155" i="24"/>
  <c r="AP163" i="24"/>
  <c r="AP171" i="24"/>
  <c r="AP179" i="24"/>
  <c r="AP187" i="24"/>
  <c r="AP195" i="24"/>
  <c r="AP203" i="24"/>
  <c r="AP211" i="24"/>
  <c r="AP219" i="24"/>
  <c r="N63" i="51"/>
  <c r="N31" i="51"/>
  <c r="R19" i="39"/>
  <c r="J24" i="46"/>
  <c r="D17" i="55"/>
  <c r="AV26" i="24"/>
  <c r="AR28" i="24"/>
  <c r="AR27" i="24"/>
  <c r="AV24" i="24"/>
  <c r="P5" i="50"/>
  <c r="P6" i="50" s="1"/>
  <c r="P7" i="50" s="1"/>
  <c r="P8" i="50" s="1"/>
  <c r="P9" i="50" s="1"/>
  <c r="P10" i="50" s="1"/>
  <c r="P11" i="50" s="1"/>
  <c r="P12" i="50" s="1"/>
  <c r="P13" i="50" s="1"/>
  <c r="P14" i="50" s="1"/>
  <c r="P15" i="50" s="1"/>
  <c r="P16" i="50" s="1"/>
  <c r="P17" i="50" s="1"/>
  <c r="P18" i="50" s="1"/>
  <c r="P19" i="50" s="1"/>
  <c r="P20" i="50" s="1"/>
  <c r="P21" i="50" s="1"/>
  <c r="P22" i="50" s="1"/>
  <c r="P23" i="50" s="1"/>
  <c r="P24" i="50" s="1"/>
  <c r="P25" i="50" s="1"/>
  <c r="P26" i="50" s="1"/>
  <c r="P27" i="50" s="1"/>
  <c r="P28" i="50" s="1"/>
  <c r="P29" i="50" s="1"/>
  <c r="P30" i="50" s="1"/>
  <c r="P31" i="50" s="1"/>
  <c r="P32" i="50" s="1"/>
  <c r="P33" i="50" s="1"/>
  <c r="P34" i="50" s="1"/>
  <c r="P35" i="50" s="1"/>
  <c r="P36" i="50" s="1"/>
  <c r="P37" i="50" s="1"/>
  <c r="P38" i="50" s="1"/>
  <c r="P39" i="50" s="1"/>
  <c r="P40" i="50" s="1"/>
  <c r="P41" i="50" s="1"/>
  <c r="R133" i="54"/>
  <c r="J24" i="55" s="1"/>
  <c r="J26" i="55" s="1"/>
  <c r="Q133" i="54"/>
  <c r="I24" i="55" s="1"/>
  <c r="I26" i="55" s="1"/>
  <c r="P133" i="54"/>
  <c r="H24" i="55" s="1"/>
  <c r="H26" i="55" s="1"/>
  <c r="S133" i="54"/>
  <c r="K24" i="55" s="1"/>
  <c r="K26" i="55" s="1"/>
  <c r="U133" i="54"/>
  <c r="M24" i="55" s="1"/>
  <c r="M26" i="55" s="1"/>
  <c r="M133" i="54"/>
  <c r="E24" i="55" s="1"/>
  <c r="E26" i="55" s="1"/>
  <c r="L133" i="54"/>
  <c r="T133" i="54"/>
  <c r="L24" i="55" s="1"/>
  <c r="L26" i="55" s="1"/>
  <c r="N133" i="54"/>
  <c r="F24" i="55" s="1"/>
  <c r="F26" i="55" s="1"/>
  <c r="V133" i="54"/>
  <c r="N24" i="55" s="1"/>
  <c r="N26" i="55" s="1"/>
  <c r="O133" i="54"/>
  <c r="G24" i="55" s="1"/>
  <c r="G26" i="55" s="1"/>
  <c r="W133" i="54"/>
  <c r="O24" i="55" s="1"/>
  <c r="O26" i="55" s="1"/>
  <c r="AG4" i="51"/>
  <c r="AG36" i="51" s="1"/>
  <c r="E8" i="55"/>
  <c r="AA105" i="54"/>
  <c r="M87" i="54"/>
  <c r="M36" i="54"/>
  <c r="M68" i="54"/>
  <c r="M105" i="54"/>
  <c r="J10" i="55"/>
  <c r="V33" i="48"/>
  <c r="V41" i="48"/>
  <c r="O10" i="55"/>
  <c r="N10" i="55"/>
  <c r="H10" i="55"/>
  <c r="V32" i="48"/>
  <c r="V38" i="48"/>
  <c r="G10" i="55"/>
  <c r="V40" i="48"/>
  <c r="F10" i="55"/>
  <c r="I10" i="55"/>
  <c r="V36" i="48"/>
  <c r="M10" i="55"/>
  <c r="E10" i="55"/>
  <c r="V31" i="48"/>
  <c r="D10" i="55"/>
  <c r="V35" i="48"/>
  <c r="L10" i="55"/>
  <c r="V39" i="48"/>
  <c r="V34" i="48"/>
  <c r="K10" i="55"/>
  <c r="X2" i="54"/>
  <c r="N32" i="54"/>
  <c r="T32" i="54"/>
  <c r="S32" i="54"/>
  <c r="M32" i="54"/>
  <c r="R32" i="54"/>
  <c r="U32" i="54"/>
  <c r="Q32" i="54"/>
  <c r="L32" i="54"/>
  <c r="P32" i="54"/>
  <c r="W32" i="54"/>
  <c r="O32" i="54"/>
  <c r="V32" i="54"/>
  <c r="J32" i="54"/>
  <c r="X116" i="54"/>
  <c r="X107" i="54"/>
  <c r="X125" i="54"/>
  <c r="X93" i="54"/>
  <c r="X95" i="54"/>
  <c r="X91" i="54"/>
  <c r="X90" i="54"/>
  <c r="X94" i="54"/>
  <c r="X98" i="54"/>
  <c r="X99" i="54"/>
  <c r="X89" i="54"/>
  <c r="X97" i="54"/>
  <c r="X100" i="54"/>
  <c r="X92" i="54"/>
  <c r="X96" i="54"/>
  <c r="M3" i="54"/>
  <c r="T4" i="51"/>
  <c r="T36" i="51" s="1"/>
  <c r="O32" i="51"/>
  <c r="I31" i="51"/>
  <c r="F31" i="51"/>
  <c r="AR173" i="24"/>
  <c r="AR136" i="24"/>
  <c r="AR216" i="24"/>
  <c r="AR157" i="24"/>
  <c r="AR18" i="24"/>
  <c r="AR208" i="24"/>
  <c r="AR160" i="24"/>
  <c r="AR120" i="24"/>
  <c r="AR141" i="24"/>
  <c r="AR116" i="24"/>
  <c r="AR24" i="24"/>
  <c r="AR76" i="24"/>
  <c r="AR58" i="24"/>
  <c r="AR10" i="24"/>
  <c r="AR172" i="24"/>
  <c r="AR152" i="24"/>
  <c r="AR92" i="24"/>
  <c r="AR168" i="24"/>
  <c r="AR165" i="24"/>
  <c r="AR144" i="24"/>
  <c r="AR109" i="24"/>
  <c r="AR112" i="24"/>
  <c r="AR106" i="24"/>
  <c r="AR213" i="24"/>
  <c r="AR178" i="24"/>
  <c r="AR98" i="24"/>
  <c r="AR88" i="24"/>
  <c r="AR224" i="24"/>
  <c r="AR146" i="24"/>
  <c r="AR138" i="24"/>
  <c r="AR125" i="24"/>
  <c r="AR122" i="24"/>
  <c r="AR104" i="24"/>
  <c r="AR180" i="24"/>
  <c r="AR128" i="24"/>
  <c r="AR84" i="24"/>
  <c r="AR40" i="24"/>
  <c r="AR34" i="24"/>
  <c r="AR26" i="24"/>
  <c r="AR221" i="24"/>
  <c r="AR212" i="24"/>
  <c r="AR74" i="24"/>
  <c r="AR16" i="24"/>
  <c r="AR220" i="24"/>
  <c r="AR3" i="24"/>
  <c r="AR204" i="24"/>
  <c r="AR196" i="24"/>
  <c r="AR188" i="24"/>
  <c r="AR162" i="24"/>
  <c r="AR154" i="24"/>
  <c r="AR130" i="24"/>
  <c r="AR124" i="24"/>
  <c r="AR226" i="24"/>
  <c r="AR164" i="24"/>
  <c r="AR156" i="24"/>
  <c r="AR148" i="24"/>
  <c r="AR132" i="24"/>
  <c r="AR93" i="24"/>
  <c r="AR69" i="24"/>
  <c r="AR61" i="24"/>
  <c r="AR53" i="24"/>
  <c r="AR51" i="24"/>
  <c r="AR11" i="24"/>
  <c r="AR101" i="24"/>
  <c r="AR96" i="24"/>
  <c r="AR72" i="24"/>
  <c r="AR64" i="24"/>
  <c r="AR56" i="24"/>
  <c r="AR192" i="24"/>
  <c r="AR80" i="24"/>
  <c r="AR191" i="24"/>
  <c r="AR135" i="24"/>
  <c r="AR127" i="24"/>
  <c r="AR119" i="24"/>
  <c r="AR111" i="24"/>
  <c r="AR225" i="24"/>
  <c r="AR167" i="24"/>
  <c r="AR145" i="24"/>
  <c r="AR103" i="24"/>
  <c r="AR95" i="24"/>
  <c r="AR219" i="24"/>
  <c r="AR201" i="24"/>
  <c r="AR193" i="24"/>
  <c r="AR169" i="24"/>
  <c r="AR209" i="24"/>
  <c r="AR183" i="24"/>
  <c r="AR159" i="24"/>
  <c r="AR137" i="24"/>
  <c r="AR87" i="24"/>
  <c r="AR211" i="24"/>
  <c r="AR185" i="24"/>
  <c r="AR79" i="24"/>
  <c r="AR71" i="24"/>
  <c r="AR63" i="24"/>
  <c r="AR55" i="24"/>
  <c r="AR161" i="24"/>
  <c r="AR151" i="24"/>
  <c r="AR217" i="24"/>
  <c r="AR199" i="24"/>
  <c r="AR175" i="24"/>
  <c r="AR47" i="24"/>
  <c r="AR177" i="24"/>
  <c r="AR153" i="24"/>
  <c r="AR143" i="24"/>
  <c r="AR39" i="24"/>
  <c r="AR203" i="24"/>
  <c r="AR195" i="24"/>
  <c r="AR187" i="24"/>
  <c r="AR179" i="24"/>
  <c r="AR171" i="24"/>
  <c r="AR163" i="24"/>
  <c r="AR155" i="24"/>
  <c r="AR147" i="24"/>
  <c r="AR139" i="24"/>
  <c r="AR131" i="24"/>
  <c r="AR123" i="24"/>
  <c r="AR115" i="24"/>
  <c r="AR107" i="24"/>
  <c r="AR99" i="24"/>
  <c r="AR91" i="24"/>
  <c r="AR83" i="24"/>
  <c r="AR75" i="24"/>
  <c r="AR222" i="24"/>
  <c r="AR214" i="24"/>
  <c r="AR206" i="24"/>
  <c r="AR198" i="24"/>
  <c r="AR190" i="24"/>
  <c r="AR182" i="24"/>
  <c r="AR174" i="24"/>
  <c r="AR166" i="24"/>
  <c r="AR158" i="24"/>
  <c r="AR150" i="24"/>
  <c r="AR142" i="24"/>
  <c r="AR134" i="24"/>
  <c r="AR126" i="24"/>
  <c r="AR118" i="24"/>
  <c r="AR110" i="24"/>
  <c r="AR102" i="24"/>
  <c r="AR94" i="24"/>
  <c r="AR86" i="24"/>
  <c r="AR78" i="24"/>
  <c r="AR70" i="24"/>
  <c r="AR62" i="24"/>
  <c r="AR54" i="24"/>
  <c r="AR46" i="24"/>
  <c r="AR38" i="24"/>
  <c r="AR30" i="24"/>
  <c r="AR22" i="24"/>
  <c r="AR6" i="24"/>
  <c r="AR129" i="24"/>
  <c r="AR121" i="24"/>
  <c r="AR113" i="24"/>
  <c r="AR105" i="24"/>
  <c r="AR97" i="24"/>
  <c r="AR73" i="24"/>
  <c r="AR65" i="24"/>
  <c r="AR57" i="24"/>
  <c r="AR49" i="24"/>
  <c r="AR41" i="24"/>
  <c r="AR33" i="24"/>
  <c r="AR25" i="24"/>
  <c r="AR17" i="24"/>
  <c r="AR9" i="24"/>
  <c r="AR31" i="24"/>
  <c r="AR23" i="24"/>
  <c r="AR15" i="24"/>
  <c r="AR7" i="24"/>
  <c r="G36" i="39"/>
  <c r="G41" i="39" s="1"/>
  <c r="B26" i="48"/>
  <c r="B25" i="48"/>
  <c r="B24" i="48"/>
  <c r="D27" i="48"/>
  <c r="B23" i="48"/>
  <c r="B65" i="48"/>
  <c r="D66" i="48"/>
  <c r="B52" i="48"/>
  <c r="B39" i="48"/>
  <c r="B38" i="48"/>
  <c r="K3" i="48"/>
  <c r="K1" i="48" s="1"/>
  <c r="H41" i="51"/>
  <c r="H40" i="51"/>
  <c r="H39" i="51"/>
  <c r="H38" i="51"/>
  <c r="H7" i="51"/>
  <c r="H8" i="51"/>
  <c r="H6" i="51"/>
  <c r="H9" i="51"/>
  <c r="H10" i="51"/>
  <c r="H42" i="51"/>
  <c r="H37" i="51"/>
  <c r="H5" i="51"/>
  <c r="AX200" i="24" l="1"/>
  <c r="AX92" i="24"/>
  <c r="D30" i="28"/>
  <c r="D14" i="60"/>
  <c r="H15" i="28"/>
  <c r="M24" i="46"/>
  <c r="AX84" i="24"/>
  <c r="AX76" i="24"/>
  <c r="L40" i="51"/>
  <c r="L41" i="51"/>
  <c r="L38" i="51"/>
  <c r="L39" i="51"/>
  <c r="L42" i="51"/>
  <c r="L37" i="51"/>
  <c r="D19" i="60"/>
  <c r="G64" i="51"/>
  <c r="D22" i="60" s="1"/>
  <c r="G63" i="51"/>
  <c r="O24" i="28"/>
  <c r="F41" i="39"/>
  <c r="E41" i="39"/>
  <c r="AX12" i="24"/>
  <c r="AH1" i="51"/>
  <c r="U1" i="51"/>
  <c r="D12" i="60"/>
  <c r="D21" i="60"/>
  <c r="O17" i="28"/>
  <c r="D4" i="60"/>
  <c r="AX61" i="24"/>
  <c r="AX204" i="24"/>
  <c r="M4" i="54"/>
  <c r="M106" i="54" s="1"/>
  <c r="G37" i="39"/>
  <c r="G40" i="39" s="1"/>
  <c r="AX188" i="24"/>
  <c r="L4" i="54"/>
  <c r="AX172" i="24"/>
  <c r="AX53" i="24"/>
  <c r="AX180" i="24"/>
  <c r="AX148" i="24"/>
  <c r="AX164" i="24"/>
  <c r="AX156" i="24"/>
  <c r="H133" i="54"/>
  <c r="AX212" i="24"/>
  <c r="AX101" i="24"/>
  <c r="AX37" i="24"/>
  <c r="AX196" i="24"/>
  <c r="AX28" i="24"/>
  <c r="AX23" i="24"/>
  <c r="AX220" i="24"/>
  <c r="AX82" i="24"/>
  <c r="AX69" i="24"/>
  <c r="AX170" i="24"/>
  <c r="AX217" i="24"/>
  <c r="AX153" i="24"/>
  <c r="AX176" i="24"/>
  <c r="AX122" i="24"/>
  <c r="AX195" i="24"/>
  <c r="AX131" i="24"/>
  <c r="AX103" i="24"/>
  <c r="AX39" i="24"/>
  <c r="AX166" i="24"/>
  <c r="AX102" i="24"/>
  <c r="AX38" i="24"/>
  <c r="AX128" i="24"/>
  <c r="AX64" i="24"/>
  <c r="AX211" i="24"/>
  <c r="AX147" i="24"/>
  <c r="AX83" i="24"/>
  <c r="AX138" i="24"/>
  <c r="AX74" i="24"/>
  <c r="AX10" i="24"/>
  <c r="AX169" i="24"/>
  <c r="AX105" i="24"/>
  <c r="AX41" i="24"/>
  <c r="AX208" i="24"/>
  <c r="AX144" i="24"/>
  <c r="AX80" i="24"/>
  <c r="AX16" i="24"/>
  <c r="AX183" i="24"/>
  <c r="AX119" i="24"/>
  <c r="AX55" i="24"/>
  <c r="AX182" i="24"/>
  <c r="AX118" i="24"/>
  <c r="AX54" i="24"/>
  <c r="AX213" i="24"/>
  <c r="AX192" i="24"/>
  <c r="AX203" i="24"/>
  <c r="AX139" i="24"/>
  <c r="AX75" i="24"/>
  <c r="AX11" i="24"/>
  <c r="AX130" i="24"/>
  <c r="AX225" i="24"/>
  <c r="AX161" i="24"/>
  <c r="AX97" i="24"/>
  <c r="AX33" i="24"/>
  <c r="AX136" i="24"/>
  <c r="AX72" i="24"/>
  <c r="AX175" i="24"/>
  <c r="AX111" i="24"/>
  <c r="AX47" i="24"/>
  <c r="AX174" i="24"/>
  <c r="AX110" i="24"/>
  <c r="AX46" i="24"/>
  <c r="AX141" i="24"/>
  <c r="AX124" i="24"/>
  <c r="AX167" i="24"/>
  <c r="AX187" i="24"/>
  <c r="AX123" i="24"/>
  <c r="AX132" i="24"/>
  <c r="AX178" i="24"/>
  <c r="AX209" i="24"/>
  <c r="AX145" i="24"/>
  <c r="AX17" i="24"/>
  <c r="AX120" i="24"/>
  <c r="AX56" i="24"/>
  <c r="AX159" i="24"/>
  <c r="AX95" i="24"/>
  <c r="AX31" i="24"/>
  <c r="AX222" i="24"/>
  <c r="AX158" i="24"/>
  <c r="AX94" i="24"/>
  <c r="AX30" i="24"/>
  <c r="AX125" i="24"/>
  <c r="AX3" i="24"/>
  <c r="AX179" i="24"/>
  <c r="AX115" i="24"/>
  <c r="AX51" i="24"/>
  <c r="AX106" i="24"/>
  <c r="AX201" i="24"/>
  <c r="AX137" i="24"/>
  <c r="AX73" i="24"/>
  <c r="AX9" i="24"/>
  <c r="AX116" i="24"/>
  <c r="AX112" i="24"/>
  <c r="AX151" i="24"/>
  <c r="AX87" i="24"/>
  <c r="AX214" i="24"/>
  <c r="AX150" i="24"/>
  <c r="AX86" i="24"/>
  <c r="AX22" i="24"/>
  <c r="AX171" i="24"/>
  <c r="AX107" i="24"/>
  <c r="AX162" i="24"/>
  <c r="AX98" i="24"/>
  <c r="AX34" i="24"/>
  <c r="AX193" i="24"/>
  <c r="AX129" i="24"/>
  <c r="AX65" i="24"/>
  <c r="AX168" i="24"/>
  <c r="AX104" i="24"/>
  <c r="AX40" i="24"/>
  <c r="AX143" i="24"/>
  <c r="AX79" i="24"/>
  <c r="AX15" i="24"/>
  <c r="AX206" i="24"/>
  <c r="AX142" i="24"/>
  <c r="AX78" i="24"/>
  <c r="AX173" i="24"/>
  <c r="AX109" i="24"/>
  <c r="AX58" i="24"/>
  <c r="AX163" i="24"/>
  <c r="AX99" i="24"/>
  <c r="AX154" i="24"/>
  <c r="AX185" i="24"/>
  <c r="AX121" i="24"/>
  <c r="AX57" i="24"/>
  <c r="AX224" i="24"/>
  <c r="AX160" i="24"/>
  <c r="AX96" i="24"/>
  <c r="AX199" i="24"/>
  <c r="AX135" i="24"/>
  <c r="AX71" i="24"/>
  <c r="AX7" i="24"/>
  <c r="AX198" i="24"/>
  <c r="AX134" i="24"/>
  <c r="AX70" i="24"/>
  <c r="AX6" i="24"/>
  <c r="AX165" i="24"/>
  <c r="J63" i="51"/>
  <c r="AX219" i="24"/>
  <c r="AX155" i="24"/>
  <c r="AX91" i="24"/>
  <c r="AX146" i="24"/>
  <c r="AX18" i="24"/>
  <c r="AX177" i="24"/>
  <c r="AX113" i="24"/>
  <c r="AX49" i="24"/>
  <c r="AX216" i="24"/>
  <c r="AX152" i="24"/>
  <c r="AX88" i="24"/>
  <c r="AX191" i="24"/>
  <c r="AX127" i="24"/>
  <c r="AX63" i="24"/>
  <c r="AX190" i="24"/>
  <c r="AX126" i="24"/>
  <c r="AX62" i="24"/>
  <c r="AX221" i="24"/>
  <c r="AX157" i="24"/>
  <c r="AX93" i="24"/>
  <c r="D24" i="55"/>
  <c r="D26" i="55" s="1"/>
  <c r="P26" i="55" s="1"/>
  <c r="Q32" i="51"/>
  <c r="D28" i="55" a="1"/>
  <c r="P17" i="55"/>
  <c r="F3" i="55" s="1"/>
  <c r="H63" i="51"/>
  <c r="H64" i="51" s="1"/>
  <c r="AX26" i="24"/>
  <c r="AX25" i="24"/>
  <c r="AX24" i="24"/>
  <c r="H31" i="51"/>
  <c r="H32" i="51" s="1"/>
  <c r="AX27" i="24"/>
  <c r="F37" i="39"/>
  <c r="F40" i="39" s="1"/>
  <c r="K4" i="48" s="1"/>
  <c r="E37" i="39"/>
  <c r="E40" i="39" s="1"/>
  <c r="J4" i="48" s="1"/>
  <c r="AX226" i="24"/>
  <c r="I33" i="39"/>
  <c r="F33" i="39"/>
  <c r="H33" i="39"/>
  <c r="X133" i="54"/>
  <c r="V84" i="54"/>
  <c r="N30" i="55" s="1"/>
  <c r="N16" i="55" s="1"/>
  <c r="N18" i="55" s="1"/>
  <c r="F42" i="48"/>
  <c r="F29" i="48"/>
  <c r="N3" i="54"/>
  <c r="N4" i="54" s="1"/>
  <c r="F8" i="55"/>
  <c r="AB105" i="54"/>
  <c r="N36" i="54"/>
  <c r="N87" i="54"/>
  <c r="N105" i="54"/>
  <c r="N68" i="54"/>
  <c r="P10" i="55"/>
  <c r="X32" i="54"/>
  <c r="S84" i="54"/>
  <c r="K30" i="55" s="1"/>
  <c r="K16" i="55" s="1"/>
  <c r="K18" i="55" s="1"/>
  <c r="N84" i="54"/>
  <c r="F30" i="55" s="1"/>
  <c r="F16" i="55" s="1"/>
  <c r="F18" i="55" s="1"/>
  <c r="U84" i="54"/>
  <c r="M30" i="55" s="1"/>
  <c r="M16" i="55" s="1"/>
  <c r="M18" i="55" s="1"/>
  <c r="W84" i="54"/>
  <c r="O30" i="55" s="1"/>
  <c r="O16" i="55" s="1"/>
  <c r="O18" i="55" s="1"/>
  <c r="R84" i="54"/>
  <c r="J30" i="55" s="1"/>
  <c r="J16" i="55" s="1"/>
  <c r="J18" i="55" s="1"/>
  <c r="M84" i="54"/>
  <c r="E30" i="55" s="1"/>
  <c r="E16" i="55" s="1"/>
  <c r="E18" i="55" s="1"/>
  <c r="O84" i="54"/>
  <c r="G30" i="55" s="1"/>
  <c r="G16" i="55" s="1"/>
  <c r="G18" i="55" s="1"/>
  <c r="U4" i="51"/>
  <c r="U36" i="51" s="1"/>
  <c r="AH4" i="51"/>
  <c r="AH36" i="51" s="1"/>
  <c r="L3" i="48"/>
  <c r="H36" i="39"/>
  <c r="H41" i="39" s="1"/>
  <c r="K70" i="48"/>
  <c r="S1" i="51" l="1"/>
  <c r="AF1" i="51"/>
  <c r="T1" i="51"/>
  <c r="AG1" i="51"/>
  <c r="H37" i="39"/>
  <c r="H40" i="39" s="1"/>
  <c r="L70" i="48"/>
  <c r="L1" i="48"/>
  <c r="L4" i="48" s="1"/>
  <c r="M37" i="54"/>
  <c r="M88" i="54"/>
  <c r="M69" i="54"/>
  <c r="L37" i="54"/>
  <c r="L106" i="54"/>
  <c r="L69" i="54"/>
  <c r="L88" i="54"/>
  <c r="P24" i="55"/>
  <c r="M34" i="55"/>
  <c r="E34" i="55"/>
  <c r="N34" i="55"/>
  <c r="F34" i="55"/>
  <c r="O34" i="55"/>
  <c r="J34" i="55"/>
  <c r="K34" i="55"/>
  <c r="G34" i="55"/>
  <c r="N106" i="54"/>
  <c r="N69" i="54"/>
  <c r="N88" i="54"/>
  <c r="N37" i="54"/>
  <c r="D28" i="55"/>
  <c r="P84" i="54"/>
  <c r="H30" i="55" s="1"/>
  <c r="H16" i="55" s="1"/>
  <c r="H18" i="55" s="1"/>
  <c r="Q84" i="54"/>
  <c r="I30" i="55" s="1"/>
  <c r="I16" i="55" s="1"/>
  <c r="I18" i="55" s="1"/>
  <c r="T84" i="54"/>
  <c r="L30" i="55" s="1"/>
  <c r="L16" i="55" s="1"/>
  <c r="L18" i="55" s="1"/>
  <c r="L84" i="54"/>
  <c r="D30" i="55" s="1"/>
  <c r="D16" i="55" s="1"/>
  <c r="D18" i="55" s="1"/>
  <c r="O3" i="54"/>
  <c r="O4" i="54" s="1"/>
  <c r="O37" i="54" s="1"/>
  <c r="G8" i="55"/>
  <c r="AC105" i="54"/>
  <c r="O36" i="54"/>
  <c r="O87" i="54"/>
  <c r="O68" i="54"/>
  <c r="O105" i="54"/>
  <c r="AI4" i="51"/>
  <c r="AI36" i="51" s="1"/>
  <c r="V4" i="51"/>
  <c r="V36" i="51" s="1"/>
  <c r="I36" i="39"/>
  <c r="I41" i="39" s="1"/>
  <c r="M3" i="48"/>
  <c r="M1" i="48" s="1"/>
  <c r="M4" i="48" l="1"/>
  <c r="I37" i="39"/>
  <c r="I40" i="39" s="1"/>
  <c r="AI1" i="51"/>
  <c r="V1" i="51"/>
  <c r="D34" i="55"/>
  <c r="O69" i="54"/>
  <c r="O106" i="54"/>
  <c r="O88" i="54"/>
  <c r="L34" i="55"/>
  <c r="I34" i="55"/>
  <c r="H34" i="55"/>
  <c r="P18" i="55"/>
  <c r="P16" i="55"/>
  <c r="J3" i="55" s="1"/>
  <c r="P28" i="55"/>
  <c r="J84" i="54"/>
  <c r="H28" i="28" s="1"/>
  <c r="P30" i="55"/>
  <c r="X84" i="54"/>
  <c r="P3" i="54"/>
  <c r="P4" i="54" s="1"/>
  <c r="H8" i="55"/>
  <c r="AD105" i="54"/>
  <c r="P36" i="54"/>
  <c r="P87" i="54"/>
  <c r="P105" i="54"/>
  <c r="P68" i="54"/>
  <c r="W4" i="51"/>
  <c r="W36" i="51" s="1"/>
  <c r="AJ4" i="51"/>
  <c r="AJ36" i="51" s="1"/>
  <c r="J36" i="39"/>
  <c r="J41" i="39" s="1"/>
  <c r="N3" i="48"/>
  <c r="N1" i="48" s="1"/>
  <c r="M70" i="48"/>
  <c r="N4" i="48" l="1"/>
  <c r="J37" i="39"/>
  <c r="J40" i="39" s="1"/>
  <c r="AJ1" i="51"/>
  <c r="W1" i="51"/>
  <c r="P34" i="55"/>
  <c r="O3" i="55" s="1"/>
  <c r="P37" i="54"/>
  <c r="P69" i="54"/>
  <c r="P106" i="54"/>
  <c r="P88" i="54"/>
  <c r="F5" i="55"/>
  <c r="O26" i="28"/>
  <c r="J5" i="51"/>
  <c r="L5" i="51" s="1"/>
  <c r="J24" i="51"/>
  <c r="L24" i="51" s="1"/>
  <c r="J22" i="51"/>
  <c r="L22" i="51" s="1"/>
  <c r="J17" i="51"/>
  <c r="L17" i="51" s="1"/>
  <c r="J20" i="51"/>
  <c r="L20" i="51" s="1"/>
  <c r="J23" i="51"/>
  <c r="L23" i="51" s="1"/>
  <c r="J10" i="51"/>
  <c r="L10" i="51" s="1"/>
  <c r="J18" i="51"/>
  <c r="L18" i="51" s="1"/>
  <c r="J11" i="51"/>
  <c r="L11" i="51" s="1"/>
  <c r="J12" i="51"/>
  <c r="L12" i="51" s="1"/>
  <c r="J15" i="51"/>
  <c r="L15" i="51" s="1"/>
  <c r="J13" i="51"/>
  <c r="L13" i="51" s="1"/>
  <c r="J26" i="51"/>
  <c r="L26" i="51" s="1"/>
  <c r="J30" i="51"/>
  <c r="L30" i="51" s="1"/>
  <c r="J19" i="51"/>
  <c r="L19" i="51" s="1"/>
  <c r="J28" i="51"/>
  <c r="L28" i="51" s="1"/>
  <c r="J9" i="51"/>
  <c r="L9" i="51" s="1"/>
  <c r="J27" i="51"/>
  <c r="L27" i="51" s="1"/>
  <c r="J21" i="51"/>
  <c r="L21" i="51" s="1"/>
  <c r="J8" i="51"/>
  <c r="L8" i="51" s="1"/>
  <c r="J16" i="51"/>
  <c r="L16" i="51" s="1"/>
  <c r="J7" i="51"/>
  <c r="L7" i="51" s="1"/>
  <c r="J14" i="51"/>
  <c r="L14" i="51" s="1"/>
  <c r="J25" i="51"/>
  <c r="L25" i="51" s="1"/>
  <c r="J29" i="51"/>
  <c r="L29" i="51" s="1"/>
  <c r="J6" i="51"/>
  <c r="L6" i="51" s="1"/>
  <c r="Q3" i="54"/>
  <c r="Q4" i="54" s="1"/>
  <c r="I8" i="55"/>
  <c r="AE105" i="54"/>
  <c r="Q36" i="54"/>
  <c r="Q87" i="54"/>
  <c r="Q105" i="54"/>
  <c r="Q68" i="54"/>
  <c r="AK4" i="51"/>
  <c r="AK36" i="51" s="1"/>
  <c r="X4" i="51"/>
  <c r="X36" i="51" s="1"/>
  <c r="N70" i="48"/>
  <c r="K36" i="39"/>
  <c r="K41" i="39" s="1"/>
  <c r="O3" i="48"/>
  <c r="O1" i="48" s="1"/>
  <c r="K37" i="39" l="1"/>
  <c r="K40" i="39" s="1"/>
  <c r="X1" i="51"/>
  <c r="AK1" i="51"/>
  <c r="O4" i="48"/>
  <c r="Q88" i="54"/>
  <c r="Q37" i="54"/>
  <c r="Q106" i="54"/>
  <c r="Q69" i="54"/>
  <c r="J31" i="51"/>
  <c r="D33" i="60" s="1"/>
  <c r="R3" i="54"/>
  <c r="R4" i="54" s="1"/>
  <c r="J8" i="55"/>
  <c r="AF105" i="54"/>
  <c r="R68" i="54"/>
  <c r="R36" i="54"/>
  <c r="R87" i="54"/>
  <c r="R105" i="54"/>
  <c r="Y4" i="51"/>
  <c r="Y36" i="51" s="1"/>
  <c r="AL4" i="51"/>
  <c r="AL36" i="51" s="1"/>
  <c r="O70" i="48"/>
  <c r="L36" i="39"/>
  <c r="L41" i="39" s="1"/>
  <c r="P3" i="48"/>
  <c r="P1" i="48" s="1"/>
  <c r="P4" i="48" l="1"/>
  <c r="L37" i="39"/>
  <c r="L40" i="39" s="1"/>
  <c r="AL1" i="51"/>
  <c r="Y1" i="51"/>
  <c r="R69" i="54"/>
  <c r="R37" i="54"/>
  <c r="R106" i="54"/>
  <c r="R88" i="54"/>
  <c r="S3" i="54"/>
  <c r="S4" i="54" s="1"/>
  <c r="AG105" i="54"/>
  <c r="K8" i="55"/>
  <c r="S105" i="54"/>
  <c r="S68" i="54"/>
  <c r="S36" i="54"/>
  <c r="S87" i="54"/>
  <c r="AM4" i="51"/>
  <c r="AM36" i="51" s="1"/>
  <c r="Z4" i="51"/>
  <c r="Z36" i="51" s="1"/>
  <c r="M36" i="39"/>
  <c r="M41" i="39" s="1"/>
  <c r="AA1" i="51" s="1"/>
  <c r="Q3" i="48"/>
  <c r="Q1" i="48" s="1"/>
  <c r="P70" i="48"/>
  <c r="Q4" i="48" l="1"/>
  <c r="M37" i="39"/>
  <c r="M40" i="39" s="1"/>
  <c r="AM1" i="51"/>
  <c r="Z1" i="51"/>
  <c r="S88" i="54"/>
  <c r="S37" i="54"/>
  <c r="S69" i="54"/>
  <c r="S106" i="54"/>
  <c r="T3" i="54"/>
  <c r="T4" i="54" s="1"/>
  <c r="AH105" i="54"/>
  <c r="L8" i="55"/>
  <c r="T105" i="54"/>
  <c r="T68" i="54"/>
  <c r="T36" i="54"/>
  <c r="T87" i="54"/>
  <c r="AA4" i="51"/>
  <c r="AA36" i="51" s="1"/>
  <c r="AN4" i="51"/>
  <c r="AN36" i="51" s="1"/>
  <c r="Q70" i="48"/>
  <c r="N36" i="39"/>
  <c r="R3" i="48"/>
  <c r="R1" i="48" s="1"/>
  <c r="N37" i="39" l="1"/>
  <c r="N40" i="39" s="1"/>
  <c r="N41" i="39"/>
  <c r="AB1" i="51" s="1"/>
  <c r="AN1" i="51"/>
  <c r="R4" i="48"/>
  <c r="T69" i="54"/>
  <c r="T88" i="54"/>
  <c r="T37" i="54"/>
  <c r="T106" i="54"/>
  <c r="U3" i="54"/>
  <c r="U4" i="54" s="1"/>
  <c r="M8" i="55"/>
  <c r="AI105" i="54"/>
  <c r="U105" i="54"/>
  <c r="U68" i="54"/>
  <c r="U36" i="54"/>
  <c r="U87" i="54"/>
  <c r="AO4" i="51"/>
  <c r="AO36" i="51" s="1"/>
  <c r="AB4" i="51"/>
  <c r="AB36" i="51" s="1"/>
  <c r="R70" i="48"/>
  <c r="O36" i="39"/>
  <c r="O37" i="39" s="1"/>
  <c r="O40" i="39" s="1"/>
  <c r="S3" i="48"/>
  <c r="S1" i="48" s="1"/>
  <c r="AO1" i="51" l="1"/>
  <c r="S4" i="48"/>
  <c r="U106" i="54"/>
  <c r="U69" i="54"/>
  <c r="U88" i="54"/>
  <c r="U37" i="54"/>
  <c r="V3" i="54"/>
  <c r="V4" i="54" s="1"/>
  <c r="N8" i="55"/>
  <c r="AJ105" i="54"/>
  <c r="V36" i="54"/>
  <c r="V87" i="54"/>
  <c r="V105" i="54"/>
  <c r="V68" i="54"/>
  <c r="AC4" i="51"/>
  <c r="AC36" i="51" s="1"/>
  <c r="AP4" i="51"/>
  <c r="AP36" i="51" s="1"/>
  <c r="S70" i="48"/>
  <c r="P36" i="39"/>
  <c r="P40" i="39" s="1"/>
  <c r="T3" i="48"/>
  <c r="T1" i="48" s="1"/>
  <c r="T4" i="48" s="1"/>
  <c r="V106" i="54" l="1"/>
  <c r="V37" i="54"/>
  <c r="V69" i="54"/>
  <c r="V88" i="54"/>
  <c r="W3" i="54"/>
  <c r="W4" i="54" s="1"/>
  <c r="O8" i="55"/>
  <c r="AK105" i="54"/>
  <c r="W36" i="54"/>
  <c r="W87" i="54"/>
  <c r="W68" i="54"/>
  <c r="W105" i="54"/>
  <c r="AQ4" i="51"/>
  <c r="AQ36" i="51" s="1"/>
  <c r="AD4" i="51"/>
  <c r="AD36" i="51" s="1"/>
  <c r="T70" i="48"/>
  <c r="U3" i="48"/>
  <c r="U1" i="48" s="1"/>
  <c r="U4" i="48" s="1"/>
  <c r="W37" i="54" l="1"/>
  <c r="X37" i="54" s="1"/>
  <c r="W69" i="54"/>
  <c r="W106" i="54"/>
  <c r="W88" i="54"/>
  <c r="K13" i="39"/>
  <c r="X4" i="54"/>
  <c r="U70" i="48"/>
  <c r="H64" i="54" l="1"/>
  <c r="J64" i="54" s="1"/>
  <c r="P30" i="39"/>
  <c r="J15" i="46"/>
  <c r="N17" i="46" s="1"/>
  <c r="K28" i="46"/>
  <c r="N28" i="46" s="1"/>
  <c r="C9" i="46"/>
  <c r="D6" i="48"/>
  <c r="D7" i="48"/>
  <c r="D8" i="48"/>
  <c r="D9" i="48"/>
  <c r="D10" i="48"/>
  <c r="D11" i="48"/>
  <c r="D12" i="48"/>
  <c r="D13" i="48"/>
  <c r="D5" i="48"/>
  <c r="B72" i="48"/>
  <c r="B78" i="48"/>
  <c r="B71" i="48"/>
  <c r="F66" i="48"/>
  <c r="F65" i="48"/>
  <c r="F64" i="48"/>
  <c r="F63" i="48"/>
  <c r="F62" i="48"/>
  <c r="F61" i="48"/>
  <c r="F60" i="48"/>
  <c r="F59" i="48"/>
  <c r="L59" i="48" s="1"/>
  <c r="F58" i="48"/>
  <c r="K58" i="48" s="1"/>
  <c r="H64" i="48"/>
  <c r="H63" i="48"/>
  <c r="H62" i="48"/>
  <c r="H61" i="48"/>
  <c r="H60" i="48"/>
  <c r="H59" i="48"/>
  <c r="H58" i="48"/>
  <c r="H57" i="48"/>
  <c r="N258" i="22"/>
  <c r="K17" i="39" l="1"/>
  <c r="D35" i="28"/>
  <c r="J33" i="39"/>
  <c r="E5" i="55" s="1"/>
  <c r="F57" i="48"/>
  <c r="J57" i="48" s="1"/>
  <c r="D74" i="48"/>
  <c r="D21" i="48"/>
  <c r="D73" i="48"/>
  <c r="D20" i="48"/>
  <c r="D63" i="48"/>
  <c r="D24" i="48"/>
  <c r="D62" i="48"/>
  <c r="D23" i="48"/>
  <c r="D61" i="48"/>
  <c r="D22" i="48"/>
  <c r="D71" i="48"/>
  <c r="D18" i="48"/>
  <c r="D72" i="48"/>
  <c r="D19" i="48"/>
  <c r="D38" i="48"/>
  <c r="D25" i="48"/>
  <c r="D65" i="48"/>
  <c r="D26" i="48"/>
  <c r="J58" i="48"/>
  <c r="D82" i="48"/>
  <c r="D64" i="48"/>
  <c r="D78" i="48"/>
  <c r="D51" i="48"/>
  <c r="B76" i="48"/>
  <c r="D46" i="48"/>
  <c r="D33" i="48"/>
  <c r="D59" i="48"/>
  <c r="D79" i="48"/>
  <c r="D39" i="48"/>
  <c r="D48" i="48"/>
  <c r="D75" i="48"/>
  <c r="D35" i="48"/>
  <c r="B73" i="48"/>
  <c r="D37" i="48"/>
  <c r="D77" i="48"/>
  <c r="D50" i="48"/>
  <c r="D32" i="48"/>
  <c r="D45" i="48"/>
  <c r="D58" i="48"/>
  <c r="D34" i="48"/>
  <c r="D47" i="48"/>
  <c r="D60" i="48"/>
  <c r="D76" i="48"/>
  <c r="D36" i="48"/>
  <c r="D49" i="48"/>
  <c r="B77" i="48"/>
  <c r="B79" i="48"/>
  <c r="D57" i="48"/>
  <c r="D44" i="48"/>
  <c r="D31" i="48"/>
  <c r="B75" i="48"/>
  <c r="B74" i="48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356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55" i="22"/>
  <c r="A354" i="22"/>
  <c r="E24" i="39" l="1"/>
  <c r="G24" i="39" s="1"/>
  <c r="F47" i="48" s="1"/>
  <c r="R47" i="48" s="1"/>
  <c r="E25" i="39"/>
  <c r="G25" i="39" s="1"/>
  <c r="F48" i="48" s="1"/>
  <c r="M48" i="48" s="1"/>
  <c r="E26" i="39"/>
  <c r="G26" i="39" s="1"/>
  <c r="F49" i="48" s="1"/>
  <c r="J49" i="48" s="1"/>
  <c r="E27" i="39"/>
  <c r="G27" i="39" s="1"/>
  <c r="F50" i="48" s="1"/>
  <c r="U50" i="48" s="1"/>
  <c r="E28" i="39"/>
  <c r="G28" i="39" s="1"/>
  <c r="F51" i="48" s="1"/>
  <c r="O51" i="48" s="1"/>
  <c r="E29" i="39"/>
  <c r="G29" i="39" s="1"/>
  <c r="F52" i="48" s="1"/>
  <c r="J52" i="48" s="1"/>
  <c r="J79" i="48" s="1"/>
  <c r="E21" i="39"/>
  <c r="E30" i="39"/>
  <c r="G30" i="39" s="1"/>
  <c r="F53" i="48" s="1"/>
  <c r="U53" i="48" s="1"/>
  <c r="U80" i="48" s="1"/>
  <c r="E23" i="39"/>
  <c r="G23" i="39" s="1"/>
  <c r="F46" i="48" s="1"/>
  <c r="P46" i="48" s="1"/>
  <c r="O30" i="28"/>
  <c r="E31" i="39"/>
  <c r="G31" i="39" s="1"/>
  <c r="F54" i="48" s="1"/>
  <c r="P57" i="48"/>
  <c r="X72" i="54"/>
  <c r="X71" i="54"/>
  <c r="M68" i="48"/>
  <c r="V42" i="48"/>
  <c r="J68" i="48"/>
  <c r="L68" i="48"/>
  <c r="N68" i="48"/>
  <c r="O68" i="48"/>
  <c r="P68" i="48"/>
  <c r="R68" i="48"/>
  <c r="Q68" i="48"/>
  <c r="T68" i="48"/>
  <c r="K68" i="48"/>
  <c r="U68" i="48"/>
  <c r="S68" i="48"/>
  <c r="U58" i="48"/>
  <c r="U57" i="48"/>
  <c r="T58" i="48"/>
  <c r="T57" i="48"/>
  <c r="K57" i="48"/>
  <c r="Q57" i="48"/>
  <c r="S57" i="48"/>
  <c r="P59" i="48"/>
  <c r="S58" i="48"/>
  <c r="N58" i="48"/>
  <c r="N57" i="48"/>
  <c r="O58" i="48"/>
  <c r="M57" i="48"/>
  <c r="R58" i="48"/>
  <c r="O59" i="48"/>
  <c r="L57" i="48"/>
  <c r="L58" i="48"/>
  <c r="Q58" i="48"/>
  <c r="R57" i="48"/>
  <c r="O57" i="48"/>
  <c r="M58" i="48"/>
  <c r="P58" i="48"/>
  <c r="J61" i="48"/>
  <c r="B64" i="48"/>
  <c r="B63" i="48"/>
  <c r="B62" i="48"/>
  <c r="B61" i="48"/>
  <c r="B60" i="48"/>
  <c r="B59" i="48"/>
  <c r="B57" i="48"/>
  <c r="B51" i="48"/>
  <c r="B50" i="48"/>
  <c r="B49" i="48"/>
  <c r="B48" i="48"/>
  <c r="B47" i="48"/>
  <c r="B46" i="48"/>
  <c r="B44" i="48"/>
  <c r="B37" i="48"/>
  <c r="B36" i="48"/>
  <c r="B35" i="48"/>
  <c r="B34" i="48"/>
  <c r="B33" i="48"/>
  <c r="B31" i="48"/>
  <c r="L47" i="48" l="1"/>
  <c r="P47" i="48"/>
  <c r="Q47" i="48"/>
  <c r="T47" i="48"/>
  <c r="N47" i="48"/>
  <c r="M47" i="48"/>
  <c r="Q48" i="48"/>
  <c r="R53" i="48"/>
  <c r="R80" i="48" s="1"/>
  <c r="R48" i="48"/>
  <c r="T48" i="48"/>
  <c r="S53" i="48"/>
  <c r="S80" i="48" s="1"/>
  <c r="T53" i="48"/>
  <c r="T80" i="48" s="1"/>
  <c r="Q53" i="48"/>
  <c r="Q80" i="48" s="1"/>
  <c r="M53" i="48"/>
  <c r="M80" i="48" s="1"/>
  <c r="S47" i="48"/>
  <c r="P48" i="48"/>
  <c r="S48" i="48"/>
  <c r="L48" i="48"/>
  <c r="N48" i="48"/>
  <c r="L52" i="48"/>
  <c r="L79" i="48" s="1"/>
  <c r="P53" i="48"/>
  <c r="P80" i="48" s="1"/>
  <c r="K47" i="48"/>
  <c r="R52" i="48"/>
  <c r="R79" i="48" s="1"/>
  <c r="N52" i="48"/>
  <c r="N79" i="48" s="1"/>
  <c r="Q52" i="48"/>
  <c r="Q79" i="48" s="1"/>
  <c r="U52" i="48"/>
  <c r="U79" i="48" s="1"/>
  <c r="K52" i="48"/>
  <c r="K79" i="48" s="1"/>
  <c r="O52" i="48"/>
  <c r="O79" i="48" s="1"/>
  <c r="L53" i="48"/>
  <c r="L80" i="48" s="1"/>
  <c r="O47" i="48"/>
  <c r="O48" i="48"/>
  <c r="P52" i="48"/>
  <c r="P79" i="48" s="1"/>
  <c r="J53" i="48"/>
  <c r="J80" i="48" s="1"/>
  <c r="U47" i="48"/>
  <c r="O46" i="48"/>
  <c r="O73" i="48" s="1"/>
  <c r="P50" i="48"/>
  <c r="R46" i="48"/>
  <c r="T50" i="48"/>
  <c r="S49" i="48"/>
  <c r="S46" i="48"/>
  <c r="M50" i="48"/>
  <c r="Q49" i="48"/>
  <c r="M51" i="48"/>
  <c r="S51" i="48"/>
  <c r="U46" i="48"/>
  <c r="R50" i="48"/>
  <c r="M46" i="48"/>
  <c r="O49" i="48"/>
  <c r="R51" i="48"/>
  <c r="K50" i="48"/>
  <c r="P73" i="48"/>
  <c r="S50" i="48"/>
  <c r="O50" i="48"/>
  <c r="U49" i="48"/>
  <c r="N50" i="48"/>
  <c r="P49" i="48"/>
  <c r="K49" i="48"/>
  <c r="Q51" i="48"/>
  <c r="L50" i="48"/>
  <c r="N49" i="48"/>
  <c r="M49" i="48"/>
  <c r="K51" i="48"/>
  <c r="K46" i="48"/>
  <c r="T49" i="48"/>
  <c r="J51" i="48"/>
  <c r="Q50" i="48"/>
  <c r="Q46" i="48"/>
  <c r="L49" i="48"/>
  <c r="S52" i="48"/>
  <c r="S79" i="48" s="1"/>
  <c r="T52" i="48"/>
  <c r="T79" i="48" s="1"/>
  <c r="O53" i="48"/>
  <c r="O80" i="48" s="1"/>
  <c r="K53" i="48"/>
  <c r="K80" i="48" s="1"/>
  <c r="U51" i="48"/>
  <c r="T51" i="48"/>
  <c r="U48" i="48"/>
  <c r="R49" i="48"/>
  <c r="N46" i="48"/>
  <c r="L46" i="48"/>
  <c r="L73" i="48" s="1"/>
  <c r="P51" i="48"/>
  <c r="J50" i="48"/>
  <c r="L51" i="48"/>
  <c r="T46" i="48"/>
  <c r="K48" i="48"/>
  <c r="M52" i="48"/>
  <c r="M79" i="48" s="1"/>
  <c r="N53" i="48"/>
  <c r="N80" i="48" s="1"/>
  <c r="N51" i="48"/>
  <c r="S54" i="48"/>
  <c r="N54" i="48"/>
  <c r="M54" i="48"/>
  <c r="P54" i="48"/>
  <c r="R54" i="48"/>
  <c r="J54" i="48"/>
  <c r="Q54" i="48"/>
  <c r="L54" i="48"/>
  <c r="K54" i="48"/>
  <c r="U54" i="48"/>
  <c r="T54" i="48"/>
  <c r="O54" i="48"/>
  <c r="S14" i="39"/>
  <c r="S15" i="39"/>
  <c r="S10" i="39"/>
  <c r="S18" i="39"/>
  <c r="S9" i="39"/>
  <c r="S11" i="39"/>
  <c r="S8" i="39"/>
  <c r="S16" i="39"/>
  <c r="S17" i="39"/>
  <c r="S12" i="39"/>
  <c r="S13" i="39"/>
  <c r="S19" i="39"/>
  <c r="L7" i="60" s="1"/>
  <c r="X70" i="54"/>
  <c r="F15" i="48"/>
  <c r="F16" i="48"/>
  <c r="R67" i="48"/>
  <c r="S62" i="48"/>
  <c r="N62" i="48"/>
  <c r="T67" i="48"/>
  <c r="J64" i="48"/>
  <c r="P63" i="48"/>
  <c r="T63" i="48"/>
  <c r="R62" i="48"/>
  <c r="P67" i="48"/>
  <c r="L67" i="48"/>
  <c r="N64" i="48"/>
  <c r="O63" i="48"/>
  <c r="L63" i="48"/>
  <c r="L62" i="48"/>
  <c r="Q63" i="48"/>
  <c r="Q67" i="48"/>
  <c r="J62" i="48"/>
  <c r="J76" i="48" s="1"/>
  <c r="O67" i="48"/>
  <c r="S67" i="48"/>
  <c r="U64" i="48"/>
  <c r="R63" i="48"/>
  <c r="S63" i="48"/>
  <c r="T64" i="48"/>
  <c r="P62" i="48"/>
  <c r="P64" i="48"/>
  <c r="U62" i="48"/>
  <c r="J67" i="48"/>
  <c r="K67" i="48"/>
  <c r="Q64" i="48"/>
  <c r="N63" i="48"/>
  <c r="K63" i="48"/>
  <c r="V68" i="48"/>
  <c r="F7" i="48"/>
  <c r="F8" i="48"/>
  <c r="F6" i="48"/>
  <c r="F9" i="48"/>
  <c r="F5" i="48"/>
  <c r="K64" i="48"/>
  <c r="T62" i="48"/>
  <c r="M62" i="48"/>
  <c r="N67" i="48"/>
  <c r="L64" i="48"/>
  <c r="M64" i="48"/>
  <c r="V37" i="48"/>
  <c r="J63" i="48"/>
  <c r="Q62" i="48"/>
  <c r="S64" i="48"/>
  <c r="U67" i="48"/>
  <c r="U63" i="48"/>
  <c r="U77" i="48" s="1"/>
  <c r="K62" i="48"/>
  <c r="O62" i="48"/>
  <c r="M67" i="48"/>
  <c r="R64" i="48"/>
  <c r="O64" i="48"/>
  <c r="O78" i="48" s="1"/>
  <c r="M63" i="48"/>
  <c r="U61" i="48"/>
  <c r="U60" i="48"/>
  <c r="U59" i="48"/>
  <c r="T61" i="48"/>
  <c r="T60" i="48"/>
  <c r="T59" i="48"/>
  <c r="V58" i="48"/>
  <c r="S60" i="48"/>
  <c r="S61" i="48"/>
  <c r="N60" i="48"/>
  <c r="K60" i="48"/>
  <c r="N59" i="48"/>
  <c r="J60" i="48"/>
  <c r="Q61" i="48"/>
  <c r="R60" i="48"/>
  <c r="R74" i="48" s="1"/>
  <c r="S59" i="48"/>
  <c r="M61" i="48"/>
  <c r="M75" i="48" s="1"/>
  <c r="Q59" i="48"/>
  <c r="O61" i="48"/>
  <c r="M60" i="48"/>
  <c r="M59" i="48"/>
  <c r="L61" i="48"/>
  <c r="N61" i="48"/>
  <c r="Q60" i="48"/>
  <c r="K59" i="48"/>
  <c r="K61" i="48"/>
  <c r="P60" i="48"/>
  <c r="R59" i="48"/>
  <c r="V57" i="48"/>
  <c r="R61" i="48"/>
  <c r="O60" i="48"/>
  <c r="L60" i="48"/>
  <c r="J59" i="48"/>
  <c r="P61" i="48"/>
  <c r="J48" i="48"/>
  <c r="J75" i="48" s="1"/>
  <c r="J47" i="48"/>
  <c r="J46" i="48"/>
  <c r="C8" i="46" l="1"/>
  <c r="L6" i="60"/>
  <c r="S21" i="39"/>
  <c r="J14" i="46" s="1"/>
  <c r="J10" i="46" s="1"/>
  <c r="K78" i="48"/>
  <c r="P76" i="48"/>
  <c r="S75" i="48"/>
  <c r="L75" i="48"/>
  <c r="T74" i="48"/>
  <c r="S73" i="48"/>
  <c r="Q74" i="48"/>
  <c r="N75" i="48"/>
  <c r="Q76" i="48"/>
  <c r="R75" i="48"/>
  <c r="L74" i="48"/>
  <c r="N74" i="48"/>
  <c r="O75" i="48"/>
  <c r="K77" i="48"/>
  <c r="T78" i="48"/>
  <c r="T73" i="48"/>
  <c r="R78" i="48"/>
  <c r="J78" i="48"/>
  <c r="M74" i="48"/>
  <c r="T75" i="48"/>
  <c r="O77" i="48"/>
  <c r="M76" i="48"/>
  <c r="Q77" i="48"/>
  <c r="R77" i="48"/>
  <c r="K74" i="48"/>
  <c r="U76" i="48"/>
  <c r="T77" i="48"/>
  <c r="R73" i="48"/>
  <c r="Q75" i="48"/>
  <c r="N77" i="48"/>
  <c r="M73" i="48"/>
  <c r="S76" i="48"/>
  <c r="P78" i="48"/>
  <c r="K73" i="48"/>
  <c r="S74" i="48"/>
  <c r="U81" i="48"/>
  <c r="L76" i="48"/>
  <c r="N76" i="48"/>
  <c r="P75" i="48"/>
  <c r="T76" i="48"/>
  <c r="U73" i="48"/>
  <c r="R81" i="48"/>
  <c r="O74" i="48"/>
  <c r="N81" i="48"/>
  <c r="N73" i="48"/>
  <c r="M81" i="48"/>
  <c r="T81" i="48"/>
  <c r="K75" i="48"/>
  <c r="Q73" i="48"/>
  <c r="U75" i="48"/>
  <c r="V80" i="48"/>
  <c r="S78" i="48"/>
  <c r="S77" i="48"/>
  <c r="P77" i="48"/>
  <c r="O81" i="48"/>
  <c r="P81" i="48"/>
  <c r="V79" i="48"/>
  <c r="Q78" i="48"/>
  <c r="K81" i="48"/>
  <c r="U78" i="48"/>
  <c r="M78" i="48"/>
  <c r="S81" i="48"/>
  <c r="K76" i="48"/>
  <c r="L78" i="48"/>
  <c r="J77" i="48"/>
  <c r="L77" i="48"/>
  <c r="U74" i="48"/>
  <c r="Q81" i="48"/>
  <c r="R76" i="48"/>
  <c r="O76" i="48"/>
  <c r="J81" i="48"/>
  <c r="N78" i="48"/>
  <c r="L81" i="48"/>
  <c r="M77" i="48"/>
  <c r="S20" i="39"/>
  <c r="J72" i="54"/>
  <c r="J71" i="54"/>
  <c r="J79" i="54"/>
  <c r="J74" i="54"/>
  <c r="J80" i="54"/>
  <c r="J82" i="54"/>
  <c r="J83" i="54"/>
  <c r="J76" i="54"/>
  <c r="J77" i="54"/>
  <c r="J73" i="54"/>
  <c r="J81" i="54"/>
  <c r="J75" i="54"/>
  <c r="J78" i="54"/>
  <c r="J70" i="54"/>
  <c r="P85" i="48"/>
  <c r="K85" i="48"/>
  <c r="R85" i="48"/>
  <c r="J85" i="48"/>
  <c r="D13" i="55" s="1"/>
  <c r="O85" i="48"/>
  <c r="Q85" i="48"/>
  <c r="M85" i="48"/>
  <c r="T85" i="48"/>
  <c r="S85" i="48"/>
  <c r="N85" i="48"/>
  <c r="U85" i="48"/>
  <c r="L85" i="48"/>
  <c r="P74" i="48"/>
  <c r="J73" i="48"/>
  <c r="J74" i="48"/>
  <c r="V46" i="48"/>
  <c r="V63" i="48"/>
  <c r="V62" i="48"/>
  <c r="V49" i="48"/>
  <c r="V67" i="48"/>
  <c r="V51" i="48"/>
  <c r="V54" i="48"/>
  <c r="D28" i="28" s="1"/>
  <c r="V50" i="48"/>
  <c r="V64" i="48"/>
  <c r="V60" i="48"/>
  <c r="V61" i="48"/>
  <c r="V48" i="48"/>
  <c r="V47" i="48"/>
  <c r="V59" i="48"/>
  <c r="V4" i="48"/>
  <c r="J46" i="54"/>
  <c r="D47" i="54"/>
  <c r="J47" i="54" s="1"/>
  <c r="L4" i="60" l="1"/>
  <c r="H3" i="54"/>
  <c r="H48" i="54"/>
  <c r="J48" i="54" s="1"/>
  <c r="S22" i="39"/>
  <c r="L5" i="60"/>
  <c r="H63" i="54"/>
  <c r="J63" i="54" s="1"/>
  <c r="H40" i="54"/>
  <c r="J40" i="54" s="1"/>
  <c r="H42" i="54"/>
  <c r="J42" i="54" s="1"/>
  <c r="H43" i="54"/>
  <c r="J43" i="54" s="1"/>
  <c r="I5" i="55"/>
  <c r="C7" i="46"/>
  <c r="J44" i="54"/>
  <c r="V77" i="48"/>
  <c r="V78" i="48"/>
  <c r="V81" i="48"/>
  <c r="V76" i="48"/>
  <c r="G10" i="28"/>
  <c r="P6" i="28"/>
  <c r="O43" i="28" s="1"/>
  <c r="D5" i="55"/>
  <c r="N13" i="55"/>
  <c r="O13" i="55"/>
  <c r="K13" i="55"/>
  <c r="E13" i="55"/>
  <c r="J13" i="55"/>
  <c r="H13" i="55"/>
  <c r="M13" i="55"/>
  <c r="G13" i="55"/>
  <c r="I13" i="55"/>
  <c r="F13" i="55"/>
  <c r="L13" i="55"/>
  <c r="V85" i="48"/>
  <c r="V75" i="48"/>
  <c r="V73" i="48"/>
  <c r="V74" i="48"/>
  <c r="I25" i="60" l="1"/>
  <c r="F42" i="64"/>
  <c r="H42" i="64"/>
  <c r="H39" i="64" s="1"/>
  <c r="O40" i="28"/>
  <c r="D31" i="28"/>
  <c r="D5" i="64"/>
  <c r="D19" i="64" s="1"/>
  <c r="C39" i="64"/>
  <c r="H42" i="59"/>
  <c r="H39" i="59" s="1"/>
  <c r="D31" i="60"/>
  <c r="C39" i="59"/>
  <c r="C42" i="59" s="1"/>
  <c r="K16" i="39"/>
  <c r="D15" i="28"/>
  <c r="O16" i="28" s="1"/>
  <c r="D3" i="60"/>
  <c r="D5" i="59"/>
  <c r="J31" i="28"/>
  <c r="I37" i="28"/>
  <c r="E33" i="28"/>
  <c r="E30" i="28"/>
  <c r="E28" i="28"/>
  <c r="E35" i="28"/>
  <c r="P13" i="55"/>
  <c r="E3" i="55" s="1"/>
  <c r="G3" i="55" s="1"/>
  <c r="C32" i="64" l="1"/>
  <c r="C42" i="64"/>
  <c r="D28" i="60"/>
  <c r="I28" i="60" s="1"/>
  <c r="G102" i="22"/>
  <c r="G74" i="22"/>
  <c r="G192" i="22"/>
  <c r="E22" i="39" s="1"/>
  <c r="G22" i="39" s="1"/>
  <c r="F45" i="48" s="1"/>
  <c r="E32" i="39"/>
  <c r="G32" i="39" s="1"/>
  <c r="F55" i="48" s="1"/>
  <c r="G123" i="22"/>
  <c r="D19" i="59"/>
  <c r="Q21" i="51"/>
  <c r="K22" i="51"/>
  <c r="Q27" i="51"/>
  <c r="K25" i="51"/>
  <c r="Q19" i="51"/>
  <c r="K29" i="51"/>
  <c r="Q24" i="51"/>
  <c r="K26" i="51"/>
  <c r="Q11" i="51"/>
  <c r="Q28" i="51"/>
  <c r="K17" i="51"/>
  <c r="Q18" i="51"/>
  <c r="K12" i="51"/>
  <c r="K38" i="51"/>
  <c r="O38" i="51" s="1"/>
  <c r="P38" i="51" s="1"/>
  <c r="Q14" i="51"/>
  <c r="Q15" i="51"/>
  <c r="K23" i="51"/>
  <c r="K16" i="51"/>
  <c r="Q20" i="51"/>
  <c r="Q13" i="51"/>
  <c r="Q30" i="51"/>
  <c r="K30" i="51"/>
  <c r="N45" i="48" l="1"/>
  <c r="N72" i="48" s="1"/>
  <c r="S45" i="48"/>
  <c r="S72" i="48" s="1"/>
  <c r="T45" i="48"/>
  <c r="T72" i="48" s="1"/>
  <c r="J45" i="48"/>
  <c r="M45" i="48"/>
  <c r="M72" i="48" s="1"/>
  <c r="P45" i="48"/>
  <c r="P72" i="48" s="1"/>
  <c r="O45" i="48"/>
  <c r="O72" i="48" s="1"/>
  <c r="Q45" i="48"/>
  <c r="Q72" i="48" s="1"/>
  <c r="R45" i="48"/>
  <c r="R72" i="48" s="1"/>
  <c r="L45" i="48"/>
  <c r="L72" i="48" s="1"/>
  <c r="U45" i="48"/>
  <c r="U72" i="48" s="1"/>
  <c r="K45" i="48"/>
  <c r="K72" i="48" s="1"/>
  <c r="D32" i="28"/>
  <c r="E32" i="28" s="1"/>
  <c r="I42" i="64"/>
  <c r="O42" i="28"/>
  <c r="G21" i="39"/>
  <c r="G33" i="39" s="1"/>
  <c r="H5" i="55" s="1"/>
  <c r="E33" i="39"/>
  <c r="K55" i="48"/>
  <c r="K82" i="48" s="1"/>
  <c r="Q55" i="48"/>
  <c r="Q82" i="48" s="1"/>
  <c r="T55" i="48"/>
  <c r="T82" i="48" s="1"/>
  <c r="O55" i="48"/>
  <c r="O82" i="48" s="1"/>
  <c r="P55" i="48"/>
  <c r="P82" i="48" s="1"/>
  <c r="N55" i="48"/>
  <c r="N82" i="48" s="1"/>
  <c r="S55" i="48"/>
  <c r="S82" i="48" s="1"/>
  <c r="U55" i="48"/>
  <c r="U82" i="48" s="1"/>
  <c r="J55" i="48"/>
  <c r="M55" i="48"/>
  <c r="M82" i="48" s="1"/>
  <c r="L55" i="48"/>
  <c r="L82" i="48" s="1"/>
  <c r="R55" i="48"/>
  <c r="R82" i="48" s="1"/>
  <c r="K5" i="51"/>
  <c r="K13" i="51"/>
  <c r="Q12" i="51"/>
  <c r="Q29" i="51"/>
  <c r="K19" i="51"/>
  <c r="K10" i="51"/>
  <c r="O10" i="51" s="1"/>
  <c r="P10" i="51" s="1"/>
  <c r="Q10" i="51" s="1"/>
  <c r="K21" i="51"/>
  <c r="Q23" i="51"/>
  <c r="K11" i="51"/>
  <c r="Q26" i="51"/>
  <c r="K27" i="51"/>
  <c r="K8" i="51"/>
  <c r="O8" i="51" s="1"/>
  <c r="P8" i="51" s="1"/>
  <c r="Q8" i="51" s="1"/>
  <c r="K15" i="51"/>
  <c r="K7" i="51"/>
  <c r="O7" i="51" s="1"/>
  <c r="P7" i="51" s="1"/>
  <c r="Q7" i="51" s="1"/>
  <c r="K18" i="51"/>
  <c r="K24" i="51"/>
  <c r="K9" i="51"/>
  <c r="O9" i="51" s="1"/>
  <c r="P9" i="51" s="1"/>
  <c r="Q9" i="51" s="1"/>
  <c r="L63" i="51"/>
  <c r="L66" i="51" s="1"/>
  <c r="K37" i="51"/>
  <c r="K20" i="51"/>
  <c r="K41" i="51"/>
  <c r="Q25" i="51"/>
  <c r="Q17" i="51"/>
  <c r="Q22" i="51"/>
  <c r="K48" i="51"/>
  <c r="K60" i="51"/>
  <c r="K46" i="51"/>
  <c r="K14" i="51"/>
  <c r="K55" i="51"/>
  <c r="K44" i="51"/>
  <c r="K43" i="51"/>
  <c r="K61" i="51"/>
  <c r="K39" i="51"/>
  <c r="K53" i="51"/>
  <c r="K57" i="51"/>
  <c r="K40" i="51"/>
  <c r="Q16" i="51"/>
  <c r="K49" i="51"/>
  <c r="K52" i="51"/>
  <c r="K56" i="51"/>
  <c r="K28" i="51"/>
  <c r="K50" i="51"/>
  <c r="K54" i="51"/>
  <c r="K45" i="51"/>
  <c r="K47" i="51"/>
  <c r="K58" i="51"/>
  <c r="K51" i="51"/>
  <c r="K59" i="51"/>
  <c r="K42" i="51"/>
  <c r="K6" i="51"/>
  <c r="O6" i="51" s="1"/>
  <c r="P6" i="51" s="1"/>
  <c r="Q6" i="51" s="1"/>
  <c r="L31" i="51"/>
  <c r="O5" i="51" l="1"/>
  <c r="M31" i="51"/>
  <c r="J72" i="48"/>
  <c r="V72" i="48" s="1"/>
  <c r="V45" i="48"/>
  <c r="O27" i="28"/>
  <c r="F44" i="48"/>
  <c r="S44" i="48" s="1"/>
  <c r="J82" i="48"/>
  <c r="V82" i="48" s="1"/>
  <c r="V55" i="48"/>
  <c r="O37" i="51"/>
  <c r="P37" i="51" s="1"/>
  <c r="K31" i="51"/>
  <c r="D34" i="28"/>
  <c r="J11" i="46"/>
  <c r="C6" i="46"/>
  <c r="J7" i="46" s="1"/>
  <c r="P5" i="51" l="1"/>
  <c r="O31" i="51"/>
  <c r="D29" i="28"/>
  <c r="E29" i="28" s="1"/>
  <c r="Q44" i="48"/>
  <c r="Q71" i="48" s="1"/>
  <c r="J44" i="48"/>
  <c r="J71" i="48" s="1"/>
  <c r="N44" i="48"/>
  <c r="N71" i="48" s="1"/>
  <c r="O44" i="48"/>
  <c r="O84" i="48" s="1"/>
  <c r="U44" i="48"/>
  <c r="U84" i="48" s="1"/>
  <c r="K44" i="48"/>
  <c r="K71" i="48" s="1"/>
  <c r="M44" i="48"/>
  <c r="M84" i="48" s="1"/>
  <c r="L44" i="48"/>
  <c r="L84" i="48" s="1"/>
  <c r="P44" i="48"/>
  <c r="P71" i="48" s="1"/>
  <c r="R44" i="48"/>
  <c r="R84" i="48" s="1"/>
  <c r="T44" i="48"/>
  <c r="T71" i="48" s="1"/>
  <c r="S84" i="48"/>
  <c r="S71" i="48"/>
  <c r="O29" i="28"/>
  <c r="L62" i="51"/>
  <c r="E34" i="28"/>
  <c r="P31" i="51" l="1"/>
  <c r="Q5" i="51"/>
  <c r="J84" i="48"/>
  <c r="D12" i="55" s="1"/>
  <c r="Q84" i="48"/>
  <c r="Q86" i="48" s="1"/>
  <c r="K14" i="55" s="1"/>
  <c r="U71" i="48"/>
  <c r="O71" i="48"/>
  <c r="M71" i="48"/>
  <c r="P84" i="48"/>
  <c r="P86" i="48" s="1"/>
  <c r="J14" i="55" s="1"/>
  <c r="K84" i="48"/>
  <c r="K86" i="48" s="1"/>
  <c r="E14" i="55" s="1"/>
  <c r="T84" i="48"/>
  <c r="N12" i="55" s="1"/>
  <c r="R71" i="48"/>
  <c r="N84" i="48"/>
  <c r="H12" i="55" s="1"/>
  <c r="V44" i="48"/>
  <c r="L71" i="48"/>
  <c r="O12" i="55"/>
  <c r="U86" i="48"/>
  <c r="O14" i="55" s="1"/>
  <c r="L12" i="55"/>
  <c r="R86" i="48"/>
  <c r="L14" i="55" s="1"/>
  <c r="I12" i="55"/>
  <c r="O86" i="48"/>
  <c r="I14" i="55" s="1"/>
  <c r="G12" i="55"/>
  <c r="M86" i="48"/>
  <c r="G14" i="55" s="1"/>
  <c r="M12" i="55"/>
  <c r="S86" i="48"/>
  <c r="M14" i="55" s="1"/>
  <c r="F12" i="55"/>
  <c r="L86" i="48"/>
  <c r="F14" i="55" s="1"/>
  <c r="K62" i="51"/>
  <c r="K63" i="51" s="1"/>
  <c r="D23" i="60"/>
  <c r="D17" i="60" s="1"/>
  <c r="I17" i="60" s="1"/>
  <c r="F42" i="59" s="1"/>
  <c r="F39" i="59" s="1"/>
  <c r="H29" i="28"/>
  <c r="D9" i="28"/>
  <c r="D8" i="28"/>
  <c r="D7" i="28"/>
  <c r="D6" i="28"/>
  <c r="D27" i="28" l="1"/>
  <c r="E27" i="28" s="1"/>
  <c r="Q8" i="28" s="1"/>
  <c r="J86" i="48"/>
  <c r="D14" i="55" s="1"/>
  <c r="V84" i="48"/>
  <c r="P12" i="55" s="1"/>
  <c r="K12" i="55"/>
  <c r="J12" i="55"/>
  <c r="E12" i="55"/>
  <c r="T86" i="48"/>
  <c r="N14" i="55" s="1"/>
  <c r="N86" i="48"/>
  <c r="H14" i="55" s="1"/>
  <c r="V71" i="48"/>
  <c r="B19" i="64"/>
  <c r="B5" i="64"/>
  <c r="B19" i="59"/>
  <c r="B5" i="59"/>
  <c r="J16" i="46"/>
  <c r="N18" i="46" s="1"/>
  <c r="D11" i="60" l="1"/>
  <c r="F13" i="60" s="1"/>
  <c r="V86" i="48"/>
  <c r="P14" i="55"/>
  <c r="S14" i="55" s="1"/>
  <c r="R14" i="55"/>
  <c r="R18" i="55" s="1"/>
  <c r="S18" i="55" s="1"/>
  <c r="H3" i="55"/>
  <c r="G5" i="55"/>
  <c r="M16" i="46"/>
  <c r="C17" i="46"/>
  <c r="D10" i="60" l="1"/>
  <c r="I10" i="60" s="1"/>
  <c r="C16" i="46"/>
  <c r="E42" i="64" l="1"/>
  <c r="C19" i="59"/>
  <c r="C19" i="64"/>
  <c r="E5" i="64"/>
  <c r="E5" i="59"/>
  <c r="O23" i="28"/>
  <c r="O39" i="28" s="1"/>
  <c r="L12" i="60"/>
  <c r="C25" i="46"/>
  <c r="E39" i="64" l="1"/>
  <c r="E39" i="59"/>
  <c r="I25" i="28"/>
  <c r="C19" i="46"/>
  <c r="N24" i="46" l="1"/>
  <c r="C20" i="46" l="1"/>
  <c r="L24" i="46"/>
  <c r="I13" i="28"/>
  <c r="J37" i="28" s="1"/>
  <c r="B58" i="48" l="1"/>
  <c r="B45" i="48"/>
  <c r="B32" i="48"/>
  <c r="O39" i="51" l="1"/>
  <c r="P39" i="51" l="1"/>
  <c r="Q39" i="51" s="1"/>
  <c r="Q38" i="51"/>
  <c r="AA63" i="51"/>
  <c r="T63" i="51"/>
  <c r="AF63" i="51" l="1"/>
  <c r="AH63" i="51"/>
  <c r="AP63" i="51"/>
  <c r="AL63" i="51"/>
  <c r="AM63" i="51"/>
  <c r="AG63" i="51"/>
  <c r="AI63" i="51"/>
  <c r="AQ63" i="51"/>
  <c r="AN63" i="51"/>
  <c r="AJ63" i="51"/>
  <c r="AO63" i="51"/>
  <c r="AK63" i="51"/>
  <c r="AD63" i="51"/>
  <c r="W63" i="51"/>
  <c r="AC63" i="51"/>
  <c r="V63" i="51"/>
  <c r="O64" i="51" l="1"/>
  <c r="D21" i="55" a="1"/>
  <c r="D16" i="28" l="1"/>
  <c r="D13" i="28" s="1"/>
  <c r="D5" i="60"/>
  <c r="N35" i="55"/>
  <c r="O35" i="55"/>
  <c r="E35" i="55"/>
  <c r="G35" i="55"/>
  <c r="I35" i="55"/>
  <c r="F35" i="55"/>
  <c r="K35" i="55"/>
  <c r="J35" i="55"/>
  <c r="H35" i="55"/>
  <c r="L35" i="55"/>
  <c r="M35" i="55"/>
  <c r="L37" i="55"/>
  <c r="J37" i="55"/>
  <c r="I37" i="55"/>
  <c r="D21" i="55"/>
  <c r="E37" i="55"/>
  <c r="M37" i="55"/>
  <c r="K37" i="55"/>
  <c r="F37" i="55"/>
  <c r="H37" i="55"/>
  <c r="O37" i="55"/>
  <c r="N37" i="55"/>
  <c r="G37" i="55"/>
  <c r="C23" i="46" l="1"/>
  <c r="O18" i="28"/>
  <c r="J13" i="28"/>
  <c r="O38" i="28" s="1"/>
  <c r="D35" i="55"/>
  <c r="D37" i="55"/>
  <c r="P37" i="55" s="1"/>
  <c r="P21" i="55"/>
  <c r="N19" i="46" s="1"/>
  <c r="N21" i="46" s="1"/>
  <c r="N30" i="46" s="1"/>
  <c r="Q43" i="28" l="1"/>
  <c r="Q40" i="28"/>
  <c r="Q42" i="28"/>
  <c r="Q39" i="28"/>
  <c r="C5" i="64"/>
  <c r="C5" i="59"/>
  <c r="D40" i="28"/>
  <c r="O34" i="28" s="1"/>
  <c r="C28" i="46"/>
  <c r="P35" i="55"/>
  <c r="O41" i="28" l="1"/>
  <c r="R3" i="55"/>
  <c r="X63" i="51"/>
  <c r="D20" i="55" s="1" a="1"/>
  <c r="Q41" i="28" l="1"/>
  <c r="O44" i="28"/>
  <c r="Q44" i="28" s="1"/>
  <c r="D20" i="55"/>
  <c r="J22" i="55"/>
  <c r="K22" i="55"/>
  <c r="M22" i="55"/>
  <c r="G22" i="55"/>
  <c r="I22" i="55"/>
  <c r="L22" i="55"/>
  <c r="E22" i="55"/>
  <c r="O22" i="55"/>
  <c r="H22" i="55"/>
  <c r="F22" i="55"/>
  <c r="N22" i="55"/>
  <c r="L38" i="55"/>
  <c r="E38" i="55"/>
  <c r="N38" i="55"/>
  <c r="F38" i="55"/>
  <c r="H38" i="55"/>
  <c r="J38" i="55"/>
  <c r="O38" i="55"/>
  <c r="G38" i="55"/>
  <c r="M38" i="55"/>
  <c r="K38" i="55"/>
  <c r="I38" i="55"/>
  <c r="L64" i="51"/>
  <c r="O25" i="28" l="1"/>
  <c r="M64" i="51"/>
  <c r="D25" i="28"/>
  <c r="D37" i="28" s="1"/>
  <c r="D22" i="55"/>
  <c r="D38" i="55"/>
  <c r="D39" i="55" s="1"/>
  <c r="J19" i="46"/>
  <c r="Q64" i="51"/>
  <c r="E39" i="55"/>
  <c r="I39" i="55"/>
  <c r="J39" i="55"/>
  <c r="L39" i="55"/>
  <c r="K39" i="55"/>
  <c r="G39" i="55"/>
  <c r="M39" i="55"/>
  <c r="F39" i="55"/>
  <c r="O39" i="55"/>
  <c r="N39" i="55"/>
  <c r="H39" i="55"/>
  <c r="L11" i="60" l="1"/>
  <c r="L10" i="60" s="1"/>
  <c r="L14" i="60" s="1"/>
  <c r="E31" i="28"/>
  <c r="E25" i="28" s="1"/>
  <c r="C22" i="46"/>
  <c r="P20" i="55"/>
  <c r="S22" i="55" s="1"/>
  <c r="P22" i="55"/>
  <c r="R22" i="55" s="1"/>
  <c r="R26" i="55" s="1"/>
  <c r="S26" i="55" s="1"/>
  <c r="Q9" i="28" l="1"/>
  <c r="Q7" i="28" s="1"/>
  <c r="P10" i="28" s="1"/>
  <c r="I3" i="55"/>
  <c r="L3" i="55" s="1"/>
  <c r="M3" i="55" s="1"/>
  <c r="R34" i="55"/>
  <c r="S34" i="55" s="1"/>
  <c r="J25" i="28"/>
  <c r="F37" i="28"/>
  <c r="P38" i="55"/>
  <c r="P39" i="55"/>
  <c r="S39" i="55" s="1"/>
  <c r="D38" i="28" l="1"/>
  <c r="C31" i="46" s="1"/>
  <c r="P3" i="55"/>
  <c r="N3" i="55"/>
  <c r="Q10" i="28"/>
  <c r="C27" i="46"/>
  <c r="R35" i="55"/>
  <c r="D44" i="28" l="1"/>
  <c r="G44" i="28" s="1"/>
  <c r="O33" i="28"/>
  <c r="F38" i="28"/>
  <c r="D31" i="46" s="1"/>
  <c r="S3" i="55"/>
  <c r="Q3" i="55"/>
  <c r="O62" i="51"/>
  <c r="O40" i="51"/>
  <c r="O41" i="51"/>
  <c r="O54" i="51"/>
  <c r="O53" i="51"/>
  <c r="O43" i="51"/>
  <c r="P43" i="51" s="1"/>
  <c r="Q43" i="51" s="1"/>
  <c r="O47" i="51"/>
  <c r="O59" i="51"/>
  <c r="O46" i="51"/>
  <c r="O44" i="51"/>
  <c r="O50" i="51"/>
  <c r="O45" i="51"/>
  <c r="P45" i="51" s="1"/>
  <c r="Q45" i="51" s="1"/>
  <c r="O61" i="51"/>
  <c r="O55" i="51"/>
  <c r="O57" i="51"/>
  <c r="P57" i="51" s="1"/>
  <c r="Q57" i="51" s="1"/>
  <c r="O51" i="51"/>
  <c r="O56" i="51"/>
  <c r="P56" i="51" s="1"/>
  <c r="Q56" i="51" s="1"/>
  <c r="O52" i="51"/>
  <c r="P52" i="51" s="1"/>
  <c r="Q52" i="51" s="1"/>
  <c r="O48" i="51"/>
  <c r="P48" i="51" s="1"/>
  <c r="Q48" i="51" s="1"/>
  <c r="O58" i="51"/>
  <c r="O42" i="51"/>
  <c r="O49" i="51"/>
  <c r="O60" i="51"/>
  <c r="P60" i="51" s="1"/>
  <c r="Q60" i="51" s="1"/>
  <c r="M35" i="51"/>
  <c r="R10" i="51" l="1"/>
  <c r="R48" i="51"/>
  <c r="E17" i="39"/>
  <c r="C42" i="28"/>
  <c r="D32" i="46"/>
  <c r="O35" i="28"/>
  <c r="C46" i="28"/>
  <c r="C32" i="46"/>
  <c r="P46" i="51"/>
  <c r="Q46" i="51" s="1"/>
  <c r="P40" i="51"/>
  <c r="Q40" i="51" s="1"/>
  <c r="P59" i="51"/>
  <c r="Q59" i="51" s="1"/>
  <c r="P62" i="51"/>
  <c r="Q62" i="51" s="1"/>
  <c r="P44" i="51"/>
  <c r="Q44" i="51" s="1"/>
  <c r="P58" i="51"/>
  <c r="Q58" i="51" s="1"/>
  <c r="P47" i="51"/>
  <c r="Q47" i="51" s="1"/>
  <c r="P61" i="51"/>
  <c r="Q61" i="51" s="1"/>
  <c r="P51" i="51"/>
  <c r="Q51" i="51" s="1"/>
  <c r="P41" i="51"/>
  <c r="Q41" i="51" s="1"/>
  <c r="P55" i="51"/>
  <c r="Q55" i="51" s="1"/>
  <c r="P53" i="51"/>
  <c r="Q53" i="51" s="1"/>
  <c r="P42" i="51"/>
  <c r="Q42" i="51" s="1"/>
  <c r="P49" i="51"/>
  <c r="Q49" i="51" s="1"/>
  <c r="P50" i="51"/>
  <c r="Q50" i="51" s="1"/>
  <c r="P54" i="51"/>
  <c r="Q54" i="51" s="1"/>
  <c r="Q37" i="51"/>
  <c r="O63" i="51"/>
  <c r="Q63" i="51" l="1"/>
  <c r="P63" i="51"/>
  <c r="D2" i="60" s="1"/>
  <c r="E63" i="51"/>
  <c r="F17" i="60" l="1"/>
  <c r="F25" i="60" s="1"/>
  <c r="G25" i="60" s="1"/>
  <c r="I16" i="60"/>
  <c r="D32" i="59"/>
  <c r="H32" i="59" s="1"/>
  <c r="D39" i="64"/>
  <c r="D42" i="64" s="1"/>
  <c r="H45" i="54"/>
  <c r="J45" i="54" s="1"/>
  <c r="D37" i="60"/>
  <c r="I37" i="60" s="1"/>
  <c r="D39" i="59"/>
  <c r="F10" i="60"/>
  <c r="G10" i="60" s="1"/>
  <c r="G42" i="64" l="1"/>
  <c r="J42" i="64"/>
  <c r="D36" i="60"/>
  <c r="F28" i="60"/>
  <c r="G28" i="60" s="1"/>
  <c r="D32" i="64"/>
  <c r="G39" i="64"/>
  <c r="D42" i="59"/>
  <c r="G32" i="59"/>
  <c r="D33" i="59"/>
  <c r="I32" i="59" s="1"/>
  <c r="J32" i="59" s="1"/>
  <c r="G39" i="59" l="1"/>
  <c r="G42" i="59"/>
  <c r="F37" i="60"/>
  <c r="G37" i="60" s="1"/>
  <c r="E19" i="59"/>
  <c r="F19" i="59" s="1"/>
  <c r="G5" i="59" s="1"/>
  <c r="E19" i="64"/>
  <c r="G17" i="60"/>
  <c r="D33" i="64"/>
  <c r="I32" i="64" s="1"/>
  <c r="H32" i="64"/>
  <c r="I42" i="59"/>
  <c r="J42" i="59" s="1"/>
  <c r="L42" i="59" s="1"/>
  <c r="I39" i="59" l="1"/>
  <c r="J39" i="59" s="1"/>
  <c r="F32" i="64"/>
  <c r="F39" i="64"/>
  <c r="F19" i="64"/>
  <c r="G5" i="64" s="1"/>
  <c r="K28" i="54"/>
  <c r="K114" i="54"/>
  <c r="K76" i="54"/>
  <c r="K46" i="54"/>
  <c r="I59" i="48"/>
  <c r="I25" i="48"/>
  <c r="I39" i="64"/>
  <c r="J32" i="64" l="1"/>
  <c r="G32" i="64"/>
  <c r="B48" i="59"/>
  <c r="J39" i="64"/>
  <c r="B48" i="64" l="1"/>
  <c r="L39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S8" authorId="0" shapeId="0" xr:uid="{1D1164D0-001F-41EB-A2AC-A9B033C8C171}">
      <text>
        <r>
          <rPr>
            <b/>
            <sz val="9"/>
            <color indexed="81"/>
            <rFont val="Tahoma"/>
            <family val="2"/>
          </rPr>
          <t>INDICAR EN LA PRIMERA FILA EL COMENSAL PRIMARIO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H4" authorId="0" shapeId="0" xr:uid="{93B902F4-A195-4074-801D-A0A109BBF5D3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H36" authorId="0" shapeId="0" xr:uid="{8D9033FE-3667-4FA7-8828-B268160AEAAF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B62" authorId="0" shapeId="0" xr:uid="{C6B391C1-C913-4017-92F4-D30B1BC8909E}">
      <text>
        <r>
          <rPr>
            <b/>
            <sz val="9"/>
            <color indexed="81"/>
            <rFont val="Tahoma"/>
            <family val="2"/>
          </rPr>
          <t xml:space="preserve">Solo se calcula si hay que contratar gente para cubrir vacaciones </t>
        </r>
      </text>
    </comment>
    <comment ref="M64" authorId="0" shapeId="0" xr:uid="{F66DF307-1EE1-4020-AF11-79E5C4C71ED8}">
      <text>
        <r>
          <rPr>
            <sz val="9"/>
            <color indexed="81"/>
            <rFont val="Tahoma"/>
            <family val="2"/>
          </rPr>
          <t xml:space="preserve">FACTURACION MENSUAL. Importe de convertir 12 meses a 11 meses debido al cierre de Agosto y julio. No influye en el resultado pero es importante de cara a tener clara la facturación cuando se trabaja con empresas.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E32" authorId="0" shapeId="0" xr:uid="{0095E8F9-4268-4B1B-9DA3-61274C6D5336}">
      <text>
        <r>
          <rPr>
            <b/>
            <sz val="9"/>
            <color indexed="81"/>
            <rFont val="Tahoma"/>
            <family val="2"/>
          </rPr>
          <t xml:space="preserve">PROMEDIO DE COMPAÑÍA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P6" authorId="0" shapeId="0" xr:uid="{ED62CBAB-314F-4B6E-B5F6-91982D159AA4}">
      <text>
        <r>
          <rPr>
            <b/>
            <sz val="9"/>
            <color indexed="81"/>
            <rFont val="Tahoma"/>
            <family val="2"/>
          </rPr>
          <t>SOLO COMIDAS ALUMNOS +PROFE FACTURADOS. NO incluye becas ni meriendas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Huertas</author>
  </authors>
  <commentList>
    <comment ref="L23" authorId="0" shapeId="0" xr:uid="{F9E5E4CC-4C2B-40E1-9995-AC405825B72A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4" authorId="0" shapeId="0" xr:uid="{741AA94B-9552-4B15-9517-787FEEF588E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5" authorId="0" shapeId="0" xr:uid="{FCC8A519-5C42-4F1D-B8AB-5885508F220D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6" authorId="0" shapeId="0" xr:uid="{EF2C674B-0CC5-4112-83F7-DE02C412FAA0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7" authorId="0" shapeId="0" xr:uid="{57DE58A5-E1EF-4ABD-A05E-B428F1AC93F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8" authorId="0" shapeId="0" xr:uid="{B27599A1-45BA-428C-83FA-9F9109083D6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<sst xmlns="http://schemas.openxmlformats.org/spreadsheetml/2006/main" count="6492" uniqueCount="2349">
  <si>
    <t>cambios</t>
  </si>
  <si>
    <t>Incoporados las RA`s, Codigos de Clientes y Clientes</t>
  </si>
  <si>
    <t>Ahora, se selecciona la RA y puede acceder solo a sus clientes. El codigo del cliente se pone solo</t>
  </si>
  <si>
    <t xml:space="preserve">Facil mantenimiento para el intercambio de cliente. En la hoja listado, estan las columnas con los clientes de las RA. </t>
  </si>
  <si>
    <t>La hoja complementos ya tiene todos los botones para traspasar gastos</t>
  </si>
  <si>
    <t xml:space="preserve">Se completa parcialmente los indicadores en resumen. Faltan algunos que tengo que ver de donde cogerlo exactamente. </t>
  </si>
  <si>
    <t>Se incluye horas dia en la hoja Mano_Obra</t>
  </si>
  <si>
    <t xml:space="preserve">Las hojas están protegidas sin contraseña. Solo para simular el funcionamiento. </t>
  </si>
  <si>
    <t>dudas</t>
  </si>
  <si>
    <t>Comensales --&gt; ¿incluyo meriendas, desayunos , etc o solo comidas?</t>
  </si>
  <si>
    <t>Tener en cuenta que el precio de coste de PowerBi se obtiene del consumo de materia prima, no del precio de la minuta del menu principal</t>
  </si>
  <si>
    <t>Precios coste y venta --&gt; ¿incluyo meriendas, desayunos , etc o solo comidas?</t>
  </si>
  <si>
    <t>Podemos elegir entre meter las horas de los monitores por horas/dia o por horas/semana. ¿ Cual preferís?</t>
  </si>
  <si>
    <t>Falta</t>
  </si>
  <si>
    <t>Hoja Presupuesto_final</t>
  </si>
  <si>
    <t>HojaS Conselleria</t>
  </si>
  <si>
    <t>Sincronizar a un consolidado</t>
  </si>
  <si>
    <t>Actualizar Escandallos</t>
  </si>
  <si>
    <t>Actualizar costes adicionales de personal, uniformes, epis, reconocimientos, complementos, etc</t>
  </si>
  <si>
    <t>Comprobación de que la hoja de mano_obra calcula bien los costes</t>
  </si>
  <si>
    <t>Programar boton BORRAR para un borrada de todas las hojas</t>
  </si>
  <si>
    <t>Computar dias servicios extras</t>
  </si>
  <si>
    <t>Hoja Coeficientes IMPROVEN</t>
  </si>
  <si>
    <t>COSTES hasta ENERO</t>
  </si>
  <si>
    <t>linea</t>
  </si>
  <si>
    <t>compras</t>
  </si>
  <si>
    <t>comensales</t>
  </si>
  <si>
    <t>coste x comensal</t>
  </si>
  <si>
    <t>Fecha</t>
  </si>
  <si>
    <t>Limpieza</t>
  </si>
  <si>
    <t>Alquiler vehículos  (producción catering) (62120032)</t>
  </si>
  <si>
    <t>Catering</t>
  </si>
  <si>
    <t>Incorporado el coste de dias de limpiaza</t>
  </si>
  <si>
    <t>Arrendamientos y cánones (producción catering) (62110032)</t>
  </si>
  <si>
    <t>La hoja Presupuesto_final está ok a falta ver si reorganizamos alguna casilla pero ya es operativa</t>
  </si>
  <si>
    <t>Comisiones (producción catering) (62340032)</t>
  </si>
  <si>
    <t>Boton Borrar Ok</t>
  </si>
  <si>
    <t>Correos y mensajería (producción catering) (62930032)</t>
  </si>
  <si>
    <t xml:space="preserve">Hoja de mano obra calculo bien los costes. Falta revisar oficialmente con las novedades de las ultimas nominas. </t>
  </si>
  <si>
    <t>Gastos desplazamientos y dietas (producción catering) (62900032)</t>
  </si>
  <si>
    <t>Costes complementos personal actualizdos</t>
  </si>
  <si>
    <t>Material de oficina (producción catering) (62940032)</t>
  </si>
  <si>
    <t>Otros alquileres (producción catering) (62130032)</t>
  </si>
  <si>
    <t>Otros gastos (producción catering) (62950032)</t>
  </si>
  <si>
    <t>Otros servicios exteriores (producción catering) (62330032)</t>
  </si>
  <si>
    <t>Reparaciones y conservación (producción catering) (62200032)</t>
  </si>
  <si>
    <t>Reparaciones y conservación vehículos (producción catering) (62210032)</t>
  </si>
  <si>
    <t>% de ajuste arreglada formula</t>
  </si>
  <si>
    <t>Suministros (produción catering) (62800032)</t>
  </si>
  <si>
    <t>Quitado los acentos en el nombre de la delegacion. Si no, no aparecen los despelgable de personal</t>
  </si>
  <si>
    <t>Telefonía (producción catering) (62910032)</t>
  </si>
  <si>
    <t>se introduce material desechable</t>
  </si>
  <si>
    <t>Transporte (producción catering) (62400032)</t>
  </si>
  <si>
    <t>Total</t>
  </si>
  <si>
    <t>Alquiler vehículos  (producción autónomas) (62120031)</t>
  </si>
  <si>
    <t>Autonoma</t>
  </si>
  <si>
    <t>Actualizado costes de produccion de catering. Ha bajado de  0,72 a 0,40</t>
  </si>
  <si>
    <t>Arrendamientos y cánones (producción autónomas) (62110031)</t>
  </si>
  <si>
    <t>Comisiones (producción autónomas) (62340031)</t>
  </si>
  <si>
    <t>Correos y mensajería (producción autónomas) (62930031)</t>
  </si>
  <si>
    <t>Material de oficina (producción autónomas) (62940031)</t>
  </si>
  <si>
    <t>consolidado bi hecho</t>
  </si>
  <si>
    <t>Otros alquileres (producción autónomas) (62130031)</t>
  </si>
  <si>
    <t>reformulaacion en mano de obra</t>
  </si>
  <si>
    <t>Otros gastos (producción autónomas) (62950031)</t>
  </si>
  <si>
    <t>Otros servicios exteriores (producción autónomas) (62330031)</t>
  </si>
  <si>
    <t>Reparaciones y conservación (producción autónomas) (62200031)</t>
  </si>
  <si>
    <t>Suministros (producción autónomas) (62800031)</t>
  </si>
  <si>
    <t>Telefonía (producción autónomas) (62910031)</t>
  </si>
  <si>
    <t>Coste producción sube a 0.72</t>
  </si>
  <si>
    <t>Coste limpieza se situa en 0.025 para catering y 0.04 para autonoma</t>
  </si>
  <si>
    <t>Mantenimiento se situa en 0,04</t>
  </si>
  <si>
    <t>El menaje no se toca. NO hay compras debido a las restricciones y al stock que tenemos pero es circunstancial</t>
  </si>
  <si>
    <t>posiblidad de dias sueltos</t>
  </si>
  <si>
    <t>29-02-2023</t>
  </si>
  <si>
    <t>añadido los comensales medio del año pasado teniendo en cuenta noviembre y febrero</t>
  </si>
  <si>
    <t>aplicado un 2% a las tablas salariales</t>
  </si>
  <si>
    <t>cambio</t>
  </si>
  <si>
    <t>precio complementos actualizados</t>
  </si>
  <si>
    <t>aumento a 31.77 penalizacion contrato &lt; 1 mes</t>
  </si>
  <si>
    <t>actualizado el MP individual a cada centro</t>
  </si>
  <si>
    <t>DATOS GENERALES</t>
  </si>
  <si>
    <t>RESPONSABLE</t>
  </si>
  <si>
    <t>EMPRESA ACTUAL</t>
  </si>
  <si>
    <t>Tipo Comida</t>
  </si>
  <si>
    <t>Tipo Comensal</t>
  </si>
  <si>
    <t>Diarios</t>
  </si>
  <si>
    <t>Totales</t>
  </si>
  <si>
    <t>NOMBRE CLIENTE</t>
  </si>
  <si>
    <t>Facturar Personal cocina</t>
  </si>
  <si>
    <t>CODIGO CLIENTE</t>
  </si>
  <si>
    <t>ABSENTISMO</t>
  </si>
  <si>
    <t>ACCION</t>
  </si>
  <si>
    <t>INTERES</t>
  </si>
  <si>
    <t>PROVINCIA</t>
  </si>
  <si>
    <t>FECHA</t>
  </si>
  <si>
    <t>TIPO CLIENTE</t>
  </si>
  <si>
    <t>PAGAR VACACIONES</t>
  </si>
  <si>
    <t>NO</t>
  </si>
  <si>
    <t>TIPO SERVICIO</t>
  </si>
  <si>
    <t xml:space="preserve">DIAS </t>
  </si>
  <si>
    <t>AÑOS CONTRATO</t>
  </si>
  <si>
    <t>GESTION APPCC</t>
  </si>
  <si>
    <t>MESES FACTURACIÓN</t>
  </si>
  <si>
    <t>PLAGAS</t>
  </si>
  <si>
    <t>ID_PARTNER</t>
  </si>
  <si>
    <t>PRODUCCION</t>
  </si>
  <si>
    <t>CODIGO COTIZADOR</t>
  </si>
  <si>
    <t>TRANSPORTE</t>
  </si>
  <si>
    <t>BECAS_DIARIAS</t>
  </si>
  <si>
    <t>Escolar</t>
  </si>
  <si>
    <t>PRECIOS DE COSTE Y VENTA</t>
  </si>
  <si>
    <t>DIETAS_IRCO</t>
  </si>
  <si>
    <t>Año anterior</t>
  </si>
  <si>
    <t>coste</t>
  </si>
  <si>
    <t>Ajuste</t>
  </si>
  <si>
    <t>coste total</t>
  </si>
  <si>
    <t>Precio AA</t>
  </si>
  <si>
    <t>Incremento</t>
  </si>
  <si>
    <t>Ventatotal</t>
  </si>
  <si>
    <t>Total Cubiertos (comidas)</t>
  </si>
  <si>
    <t>Total Cubiertos Facturables (comidas)</t>
  </si>
  <si>
    <t>Comensales DIARIOS</t>
  </si>
  <si>
    <t>APROBADO</t>
  </si>
  <si>
    <t>OBSERVACIONES</t>
  </si>
  <si>
    <t xml:space="preserve"> DATOS AÑO ANTERIOR</t>
  </si>
  <si>
    <t>Datos año Anterior</t>
  </si>
  <si>
    <t>Comensales MEDIOS</t>
  </si>
  <si>
    <t>Coste MP</t>
  </si>
  <si>
    <t>Precio</t>
  </si>
  <si>
    <t>DIAS HASTA MARZO</t>
  </si>
  <si>
    <t xml:space="preserve">Margen Contri. </t>
  </si>
  <si>
    <t>PROMEDIOS</t>
  </si>
  <si>
    <t xml:space="preserve">Absentismo </t>
  </si>
  <si>
    <t>Mes inicial</t>
  </si>
  <si>
    <t>MES</t>
  </si>
  <si>
    <t xml:space="preserve">DIAS LABORABLES </t>
  </si>
  <si>
    <t>Dias Extras Limpieza</t>
  </si>
  <si>
    <t>Ajuste Dias Servicio</t>
  </si>
  <si>
    <t>Dias Habiles Servicio</t>
  </si>
  <si>
    <t>Dias Alta trabajadores</t>
  </si>
  <si>
    <t>º</t>
  </si>
  <si>
    <t>GASTOS</t>
  </si>
  <si>
    <t>INGRESOS</t>
  </si>
  <si>
    <t>Clase Trabajador</t>
  </si>
  <si>
    <t>n</t>
  </si>
  <si>
    <t>Monitores</t>
  </si>
  <si>
    <t>Dias de Alta</t>
  </si>
  <si>
    <t>Horas semana</t>
  </si>
  <si>
    <t>Horas Dia</t>
  </si>
  <si>
    <t>Salario + S.S</t>
  </si>
  <si>
    <t>Absentismo</t>
  </si>
  <si>
    <t>epis, reco</t>
  </si>
  <si>
    <t>Extra</t>
  </si>
  <si>
    <t>Proyecto Ed.</t>
  </si>
  <si>
    <t>Coste mes x monitor</t>
  </si>
  <si>
    <t>Coste Total</t>
  </si>
  <si>
    <t>Precio Vta x monitor</t>
  </si>
  <si>
    <t>Precio 24/25</t>
  </si>
  <si>
    <t>Ingreso Total mes</t>
  </si>
  <si>
    <t>Margen TOTAL</t>
  </si>
  <si>
    <t>TOTALES</t>
  </si>
  <si>
    <t>total año</t>
  </si>
  <si>
    <t>Personal Cocina</t>
  </si>
  <si>
    <t>Horas dia</t>
  </si>
  <si>
    <t>Salario + S.S.</t>
  </si>
  <si>
    <t xml:space="preserve">epis, reco, </t>
  </si>
  <si>
    <t xml:space="preserve">Extra </t>
  </si>
  <si>
    <t>Coste Dias Limpieza</t>
  </si>
  <si>
    <t>Coste mes x cocinero</t>
  </si>
  <si>
    <t>Coste Total+ S.S.</t>
  </si>
  <si>
    <t>Precio Vta.AA x cocinero</t>
  </si>
  <si>
    <t>Precio Final</t>
  </si>
  <si>
    <t>Ingreso Total x mes</t>
  </si>
  <si>
    <t>Margen MES</t>
  </si>
  <si>
    <t>incremento</t>
  </si>
  <si>
    <t>CONCEPTO</t>
  </si>
  <si>
    <t>T O T A L</t>
  </si>
  <si>
    <t>TIPO DIETA</t>
  </si>
  <si>
    <t>Comensal</t>
  </si>
  <si>
    <t>Dias</t>
  </si>
  <si>
    <t>Becas</t>
  </si>
  <si>
    <t>Dietas Irco</t>
  </si>
  <si>
    <t>SERVICIO DIA</t>
  </si>
  <si>
    <t>Menus</t>
  </si>
  <si>
    <t>SERVICIOS DIA</t>
  </si>
  <si>
    <t>MARGEN NETO</t>
  </si>
  <si>
    <t>SERVICIOS / MES</t>
  </si>
  <si>
    <t>Cantidad</t>
  </si>
  <si>
    <t>SERVICIO MES</t>
  </si>
  <si>
    <t>COSTE MP PLATO</t>
  </si>
  <si>
    <t>VENTA POR PLATO</t>
  </si>
  <si>
    <t>Beneficio</t>
  </si>
  <si>
    <t>Total Coste</t>
  </si>
  <si>
    <t>Total Ingresos</t>
  </si>
  <si>
    <t>diarios</t>
  </si>
  <si>
    <t>com.totales</t>
  </si>
  <si>
    <t>COMPLEMENTOS</t>
  </si>
  <si>
    <t>Coste</t>
  </si>
  <si>
    <t>Cos.Extra</t>
  </si>
  <si>
    <t>COMPLEMENTOS MATERIA PRIMA</t>
  </si>
  <si>
    <t>Chocolate a la Taza</t>
  </si>
  <si>
    <t>Coca Boba</t>
  </si>
  <si>
    <t>Mona</t>
  </si>
  <si>
    <t>Regalo navidad/ finde curso NIÑOS</t>
  </si>
  <si>
    <t>Menu Profesores Navidad</t>
  </si>
  <si>
    <t>Jornada Gastronomica</t>
  </si>
  <si>
    <t>Yogur artesano ( 5 al mes junto a la fruta)</t>
  </si>
  <si>
    <t>Si pulsas el boton, distribuiras el coste entre todos los meses. Posteriormente puedes borrar o colocar las cantidades en los meses que quieras</t>
  </si>
  <si>
    <t>Picnic</t>
  </si>
  <si>
    <t>Pieza Fruta</t>
  </si>
  <si>
    <t>Valencianas</t>
  </si>
  <si>
    <t>Zumo Natural en sustitucion 1 fruta</t>
  </si>
  <si>
    <t>Huevo sin Sorpresa</t>
  </si>
  <si>
    <t>Comida profesor en el centro</t>
  </si>
  <si>
    <t>Almuerzo profesores ( tostada con aceite y fiambre y fruta y café)</t>
  </si>
  <si>
    <t>total coste</t>
  </si>
  <si>
    <t>COSTES VARIABLES</t>
  </si>
  <si>
    <t>SI/NO</t>
  </si>
  <si>
    <t>CANTIDAD</t>
  </si>
  <si>
    <t>VARIABLES TECNICOS, INSTALACIONES Y OPERATIVOS</t>
  </si>
  <si>
    <t>Fuente de Agua</t>
  </si>
  <si>
    <t>Mantenimiento Fuente de Agua</t>
  </si>
  <si>
    <t>SI</t>
  </si>
  <si>
    <t>Factura Suministro de gas</t>
  </si>
  <si>
    <t>Reposición De Menaje</t>
  </si>
  <si>
    <t>REDUCIDO</t>
  </si>
  <si>
    <t>Teléfonos Móviles</t>
  </si>
  <si>
    <t>Otros Gastos</t>
  </si>
  <si>
    <t>Transporte</t>
  </si>
  <si>
    <t>Proyecto Pedagógico</t>
  </si>
  <si>
    <t>TOTAL</t>
  </si>
  <si>
    <t>Material Programa Pedagógico</t>
  </si>
  <si>
    <t>Inversion</t>
  </si>
  <si>
    <t>Meses</t>
  </si>
  <si>
    <t>interes</t>
  </si>
  <si>
    <t>amorti</t>
  </si>
  <si>
    <t>totales</t>
  </si>
  <si>
    <t>Facturacion Extra MP</t>
  </si>
  <si>
    <t>Coste total</t>
  </si>
  <si>
    <t>Precio Vta</t>
  </si>
  <si>
    <t>Facturacio Extra Variable</t>
  </si>
  <si>
    <t>Facturacion Extra Personal</t>
  </si>
  <si>
    <t>ingr. Total</t>
  </si>
  <si>
    <t>margen</t>
  </si>
  <si>
    <t>margen%</t>
  </si>
  <si>
    <t>Facturacion Extra Total</t>
  </si>
  <si>
    <t>Name</t>
  </si>
  <si>
    <t>Código</t>
  </si>
  <si>
    <t>Ventas</t>
  </si>
  <si>
    <t>Ventas Monito</t>
  </si>
  <si>
    <t>Total Fact.</t>
  </si>
  <si>
    <t>Consumos</t>
  </si>
  <si>
    <t>Coste Monitor</t>
  </si>
  <si>
    <t>COSTE DIRECTO</t>
  </si>
  <si>
    <t>M.Contribu.</t>
  </si>
  <si>
    <t>%Mar.Contri.</t>
  </si>
  <si>
    <t>CostesOpe.</t>
  </si>
  <si>
    <t>Margen Opera.</t>
  </si>
  <si>
    <t>%Mar.Opera.</t>
  </si>
  <si>
    <t>Estructura</t>
  </si>
  <si>
    <t>Ebitda</t>
  </si>
  <si>
    <t>total Cubier.</t>
  </si>
  <si>
    <t>Precio Menu</t>
  </si>
  <si>
    <t>Coste MOD</t>
  </si>
  <si>
    <t>Coste Menu</t>
  </si>
  <si>
    <t>Comen.medios</t>
  </si>
  <si>
    <t>Margen €</t>
  </si>
  <si>
    <t>Margen %</t>
  </si>
  <si>
    <t>Comensales Dia</t>
  </si>
  <si>
    <t>Comensales Mes</t>
  </si>
  <si>
    <t>Coste Total Materia Prima</t>
  </si>
  <si>
    <t>Ingresos Total Minuta</t>
  </si>
  <si>
    <t>Margen Bruto</t>
  </si>
  <si>
    <t>Beneficio MP</t>
  </si>
  <si>
    <t>Coste Monitores</t>
  </si>
  <si>
    <t>Ingresos Monitores</t>
  </si>
  <si>
    <t>Beneficio Monitores</t>
  </si>
  <si>
    <t>Coste Personal cocina</t>
  </si>
  <si>
    <t>Ingresos Personal Cocina</t>
  </si>
  <si>
    <t>Beneficio Personal Cocina</t>
  </si>
  <si>
    <t>Coste Facturacion Extra</t>
  </si>
  <si>
    <t>Ingreso Facturacion Extra</t>
  </si>
  <si>
    <t>Margen contr.</t>
  </si>
  <si>
    <t>Beneficio Facturacion Extra</t>
  </si>
  <si>
    <t>Margen contribucion</t>
  </si>
  <si>
    <t>Complementos</t>
  </si>
  <si>
    <t>Variables</t>
  </si>
  <si>
    <t>Proyecto Pedagogico</t>
  </si>
  <si>
    <t>Produccion</t>
  </si>
  <si>
    <t>Total Varios y Complementos</t>
  </si>
  <si>
    <t>Margen Operacional</t>
  </si>
  <si>
    <t>Total Gasto</t>
  </si>
  <si>
    <t>Resultado</t>
  </si>
  <si>
    <t>DESGLOSE PROPUESTA ECONOMICA</t>
  </si>
  <si>
    <t>CLIENTE</t>
  </si>
  <si>
    <t>I.V.A</t>
  </si>
  <si>
    <t xml:space="preserve">TOTAL </t>
  </si>
  <si>
    <t>PRECIO MINUTA</t>
  </si>
  <si>
    <t>por plato</t>
  </si>
  <si>
    <t>COSTE MP</t>
  </si>
  <si>
    <t>COSTES COCINA</t>
  </si>
  <si>
    <t>OTROS GASTOS EXP.</t>
  </si>
  <si>
    <t>BENEFICIO INDUSTRIAL %</t>
  </si>
  <si>
    <t>* En el desglose no se incluyen los gastos estructurales departamentales</t>
  </si>
  <si>
    <t>DATOS A RELLENAR</t>
  </si>
  <si>
    <t>NOMBRE DEL COLEGIO</t>
  </si>
  <si>
    <t>VENTAS ESPERADAS</t>
  </si>
  <si>
    <t>Nº COMENSALES</t>
  </si>
  <si>
    <t>COEF MOD</t>
  </si>
  <si>
    <t>ID PARTNER</t>
  </si>
  <si>
    <t>MOD</t>
  </si>
  <si>
    <t>AÑADIR AQUÍ MODIFICACIONES PARA SIMULAR</t>
  </si>
  <si>
    <t>RENTABILIDAD</t>
  </si>
  <si>
    <t>COEF MP</t>
  </si>
  <si>
    <t>COEF LOGIS</t>
  </si>
  <si>
    <t>SUBIDA MENU RECOMENDADA</t>
  </si>
  <si>
    <t>COEFICIENTES CONTROLLER</t>
  </si>
  <si>
    <t/>
  </si>
  <si>
    <t>COLEGIO</t>
  </si>
  <si>
    <t>COMENSALES</t>
  </si>
  <si>
    <t>VENTA</t>
  </si>
  <si>
    <t>COE.MP</t>
  </si>
  <si>
    <t>COEF. MOD</t>
  </si>
  <si>
    <t>MC</t>
  </si>
  <si>
    <t>COEF. LOGISTICA</t>
  </si>
  <si>
    <t>COE. OTROS GATOS</t>
  </si>
  <si>
    <t>COEFICIENTES COTIZADOR ACTUAL RECTIFICADO (CONSERVADOR)</t>
  </si>
  <si>
    <t>estructura</t>
  </si>
  <si>
    <t>COEFICIENTES COTIZADOR ACTUAL</t>
  </si>
  <si>
    <t>NOTAS EN CASO DE AVISOS ROJOS</t>
  </si>
  <si>
    <t>TIPO COCINA</t>
  </si>
  <si>
    <t>COEFICIENTES COTIZADOR RECTIFICADO</t>
  </si>
  <si>
    <t>RESULTADO DE LA COTIZACIÓN</t>
  </si>
  <si>
    <t>PARA CONSELLERIA</t>
  </si>
  <si>
    <t>Numeros de menu facturados</t>
  </si>
  <si>
    <t>TIPO</t>
  </si>
  <si>
    <t>Unitario menu</t>
  </si>
  <si>
    <t>Alimentacion</t>
  </si>
  <si>
    <t>incluye alimentacion, dietas, becas y complementos</t>
  </si>
  <si>
    <t>Incluye personal cocina. Ojo con la facturacion extra si es de personal cocina, no esta incluido</t>
  </si>
  <si>
    <t>AÑOS</t>
  </si>
  <si>
    <t>COMENSAL facturable</t>
  </si>
  <si>
    <t>TOTAL IVA INC</t>
  </si>
  <si>
    <t>Total Ingre.</t>
  </si>
  <si>
    <t>ALIMENTACION</t>
  </si>
  <si>
    <t>MONITORES</t>
  </si>
  <si>
    <t>PERSONAL COCINA</t>
  </si>
  <si>
    <t>ingresos EXTRA</t>
  </si>
  <si>
    <t>Variable</t>
  </si>
  <si>
    <t>Personal</t>
  </si>
  <si>
    <t>Unitario</t>
  </si>
  <si>
    <t>Total Costes</t>
  </si>
  <si>
    <t>COSTES</t>
  </si>
  <si>
    <t>PRSONAL COCINA</t>
  </si>
  <si>
    <t>PROYECTO EDUCATIVO</t>
  </si>
  <si>
    <t>VARIABLES</t>
  </si>
  <si>
    <t xml:space="preserve">BECAS </t>
  </si>
  <si>
    <t>PRO. EDUCATI</t>
  </si>
  <si>
    <t>INVERSION</t>
  </si>
  <si>
    <t>DIETAS IRCO</t>
  </si>
  <si>
    <t>VACACIONES</t>
  </si>
  <si>
    <t>costes EXTRA</t>
  </si>
  <si>
    <t>RESULTADOS</t>
  </si>
  <si>
    <t>MB BRUTO</t>
  </si>
  <si>
    <t>ESTRUCTURA</t>
  </si>
  <si>
    <t>Margen ALIMEN</t>
  </si>
  <si>
    <t>Margen MONITO</t>
  </si>
  <si>
    <t>COEFICIENTES</t>
  </si>
  <si>
    <t>Margen Operacio.</t>
  </si>
  <si>
    <t>Coeficiente INICIAL</t>
  </si>
  <si>
    <t>Coeficiente MP</t>
  </si>
  <si>
    <t>Coeficiente MOD</t>
  </si>
  <si>
    <t>Margen Contribucion</t>
  </si>
  <si>
    <t>Coeficiente VARIOS</t>
  </si>
  <si>
    <t>Coeficiente TRANSPORTE</t>
  </si>
  <si>
    <t>MARGEN NETO / EBITDA</t>
  </si>
  <si>
    <t>id</t>
  </si>
  <si>
    <t>Nombre Centro</t>
  </si>
  <si>
    <t>codigo_centro</t>
  </si>
  <si>
    <t>Comensales Teoricos</t>
  </si>
  <si>
    <t>Comensales Netos</t>
  </si>
  <si>
    <t>Comensales Facturados</t>
  </si>
  <si>
    <t>Desv_ Com</t>
  </si>
  <si>
    <t>Facturas€</t>
  </si>
  <si>
    <t>Coef. MP_</t>
  </si>
  <si>
    <t>Coef. MP teo</t>
  </si>
  <si>
    <t>Desv  MP</t>
  </si>
  <si>
    <t>Coef MOD_</t>
  </si>
  <si>
    <t>Coef. MOD teo</t>
  </si>
  <si>
    <t>Desv_ MOD</t>
  </si>
  <si>
    <t>MC_ %</t>
  </si>
  <si>
    <t>MC Teórico %</t>
  </si>
  <si>
    <t>Desv_ MC</t>
  </si>
  <si>
    <t>JUAN COMENIUS COOP. V.</t>
  </si>
  <si>
    <t>46017304</t>
  </si>
  <si>
    <t>CEIP MIGUEL DE CERVANTES</t>
  </si>
  <si>
    <t>46003652</t>
  </si>
  <si>
    <t>COLEGIO HOGAR NIÑO JESUS A.P.</t>
  </si>
  <si>
    <t>46015231</t>
  </si>
  <si>
    <t>CEIP CAMP DE TURIA</t>
  </si>
  <si>
    <t>46024096</t>
  </si>
  <si>
    <t>FESB-COLEGIO SAGRADO CORAZON GODELLA</t>
  </si>
  <si>
    <t>46004346</t>
  </si>
  <si>
    <t>CEIP FRANCISCO GINER DE LOS RIOS</t>
  </si>
  <si>
    <t>46016580</t>
  </si>
  <si>
    <t>CEIP TEODORO LLORENTE</t>
  </si>
  <si>
    <t>46012367</t>
  </si>
  <si>
    <t>CEIP MESTALLA</t>
  </si>
  <si>
    <t>46019866</t>
  </si>
  <si>
    <t>CEIP 8 DE MARÇ</t>
  </si>
  <si>
    <t>46013475</t>
  </si>
  <si>
    <t>CEIP MARIA MOLINER</t>
  </si>
  <si>
    <t>46003251</t>
  </si>
  <si>
    <t>CEIP PATACONA</t>
  </si>
  <si>
    <t>46026354</t>
  </si>
  <si>
    <t>CEIP LA SABINA (NUMERO 2)</t>
  </si>
  <si>
    <t>46033516</t>
  </si>
  <si>
    <t>CEIP VICENTE GAOS</t>
  </si>
  <si>
    <t>46017213</t>
  </si>
  <si>
    <t>CEIP JUAN ANTONIO MARTINEZ TORRES</t>
  </si>
  <si>
    <t>46000894</t>
  </si>
  <si>
    <t>PATRONATO JUVENTUD OBRERA</t>
  </si>
  <si>
    <t>46010930</t>
  </si>
  <si>
    <t>CEIP TOMAS MONTAÑANA</t>
  </si>
  <si>
    <t>46026421</t>
  </si>
  <si>
    <t>CEIP AUSIAS MARCH</t>
  </si>
  <si>
    <t>46000924</t>
  </si>
  <si>
    <t>CEIP MARE DE DÉU DEL PATROCINI</t>
  </si>
  <si>
    <t>46004000</t>
  </si>
  <si>
    <t>CEIP CAVITE ISLA DE HIERRO</t>
  </si>
  <si>
    <t>46012641</t>
  </si>
  <si>
    <t>CEIP SANT MARC</t>
  </si>
  <si>
    <t>46001783</t>
  </si>
  <si>
    <t>CEIP MIGUEL HERNANDEZ</t>
  </si>
  <si>
    <t>46012458</t>
  </si>
  <si>
    <t>CEIP MAESTRO SANCHIS ALMIÑANO</t>
  </si>
  <si>
    <t>46016117</t>
  </si>
  <si>
    <t>CEIP MAESTRO SERRANO</t>
  </si>
  <si>
    <t>46014901</t>
  </si>
  <si>
    <t>PARROQUIA DE SAN CRISTOBAL MARTIR II</t>
  </si>
  <si>
    <t>46006616-1</t>
  </si>
  <si>
    <t>CEIP JAIME I</t>
  </si>
  <si>
    <t>46015472</t>
  </si>
  <si>
    <t>CEIP ANGELINA CARNICER</t>
  </si>
  <si>
    <t>46015782</t>
  </si>
  <si>
    <t>CEIP AMPARO ALABAU</t>
  </si>
  <si>
    <t>46000158</t>
  </si>
  <si>
    <t>CEIP MIQUEL ADLERT I NOGUEROL</t>
  </si>
  <si>
    <t>46020340</t>
  </si>
  <si>
    <t>CEIP SAN ONOFRE</t>
  </si>
  <si>
    <t>46003238</t>
  </si>
  <si>
    <t>CEIP SANT ISIDRE</t>
  </si>
  <si>
    <t>46024072</t>
  </si>
  <si>
    <t>PARROQUIA-C ASUNCION DE NUESTRA SEÑORA (antiguo UNIVERSO)</t>
  </si>
  <si>
    <t>46001667_1</t>
  </si>
  <si>
    <t>CEIP VALL DE LA CASELLA</t>
  </si>
  <si>
    <t>46000730</t>
  </si>
  <si>
    <t>CEIP CARRASQUER</t>
  </si>
  <si>
    <t>46008182</t>
  </si>
  <si>
    <t>CEIP SERRERIA</t>
  </si>
  <si>
    <t>46023158</t>
  </si>
  <si>
    <t>CEIP FAUSTO MARTINEZ</t>
  </si>
  <si>
    <t>46013441</t>
  </si>
  <si>
    <t>PARROQUIA STA.CECILIA</t>
  </si>
  <si>
    <t>46003202</t>
  </si>
  <si>
    <t>CEIP PINTOR TEODORO ANDREU</t>
  </si>
  <si>
    <t>46015502</t>
  </si>
  <si>
    <t>46015927</t>
  </si>
  <si>
    <t>CEIP EXPLORADOR ANDRES</t>
  </si>
  <si>
    <t>46017602</t>
  </si>
  <si>
    <t>C SAN RAFAEL</t>
  </si>
  <si>
    <t>46006771</t>
  </si>
  <si>
    <t>CEIP SAN PEDRO</t>
  </si>
  <si>
    <t>46012631</t>
  </si>
  <si>
    <t>CEIP VERGE DELS DESAMPARATS</t>
  </si>
  <si>
    <t>46007931</t>
  </si>
  <si>
    <t>CEIP SEVERI TORRES</t>
  </si>
  <si>
    <t>46014042</t>
  </si>
  <si>
    <t>CEIP ANTONIO GARCIA LOPEZ</t>
  </si>
  <si>
    <t>46016051</t>
  </si>
  <si>
    <t>CEIP NTRA SRA DEL CARMEN</t>
  </si>
  <si>
    <t>46012598</t>
  </si>
  <si>
    <t>46012616</t>
  </si>
  <si>
    <t>EI APOSTOL SANTIAGO</t>
  </si>
  <si>
    <t>46015174</t>
  </si>
  <si>
    <t>CEIP SAN JOSE CALASANZ</t>
  </si>
  <si>
    <t>46012628</t>
  </si>
  <si>
    <t>ASOCIACION DE AYUDA A LA DIVERSIDAD EN ALFAFAR</t>
  </si>
  <si>
    <t>ESG46188041</t>
  </si>
  <si>
    <t>DIRECCION PROVINCIAL DEL INSS DE VALENCIA</t>
  </si>
  <si>
    <t>4619005</t>
  </si>
  <si>
    <t>EMPRESA MUNICIPAL DE TRANSPORTES DE VALENCIA, SAU</t>
  </si>
  <si>
    <t>ESA46318416</t>
  </si>
  <si>
    <t>46025261</t>
  </si>
  <si>
    <t>SAGRADO</t>
  </si>
  <si>
    <t>CEIP TOMAS ALBERT</t>
  </si>
  <si>
    <t>46000456</t>
  </si>
  <si>
    <t>CEIP REI EN JAUME</t>
  </si>
  <si>
    <t>46015563</t>
  </si>
  <si>
    <t>EULEN SERV.SOCIOSANITARIOS SA</t>
  </si>
  <si>
    <t>46033310</t>
  </si>
  <si>
    <t>ENSEÑANZA 2000 S.L.</t>
  </si>
  <si>
    <t>46017298</t>
  </si>
  <si>
    <t>HERMES-VALENTIA GAIA COOP.VALENC.</t>
  </si>
  <si>
    <t>46010772</t>
  </si>
  <si>
    <t>PARROQUIA DE LA PURISIMA CONCEPCIÓN</t>
  </si>
  <si>
    <t>46001989</t>
  </si>
  <si>
    <t>CEIP DOCTOR OLORIZ</t>
  </si>
  <si>
    <t>46012392</t>
  </si>
  <si>
    <t>AYUNTAMIENTO VALENCIA</t>
  </si>
  <si>
    <t>4625200C</t>
  </si>
  <si>
    <t>CONSORCI COM.SERV.SOC.L'HORTA NORD</t>
  </si>
  <si>
    <t>CDP9620102E-1</t>
  </si>
  <si>
    <t>CEIP LES ARENES</t>
  </si>
  <si>
    <t>46012604</t>
  </si>
  <si>
    <t>COLEGIO SAN MIGUEL ARCANGEL</t>
  </si>
  <si>
    <t>46002258</t>
  </si>
  <si>
    <t>COLEGIO SANTIAGO APOSTOL</t>
  </si>
  <si>
    <t>46011624</t>
  </si>
  <si>
    <t>CENTRO PRIVADO SANTO DOMINGO</t>
  </si>
  <si>
    <t>46014029</t>
  </si>
  <si>
    <t>SAN FRANCISCO Y SANTO DOMINGO</t>
  </si>
  <si>
    <t>945</t>
  </si>
  <si>
    <t>EI SAN RAFAEL</t>
  </si>
  <si>
    <t>46008261</t>
  </si>
  <si>
    <t>PARROQUIA-C SAN MARCELINO OBISPO</t>
  </si>
  <si>
    <t>46011910</t>
  </si>
  <si>
    <t>NIANMA S.COOP.V.</t>
  </si>
  <si>
    <t>46011971</t>
  </si>
  <si>
    <t>CEIP DOCTOR SANCHIS GUARNER</t>
  </si>
  <si>
    <t>46006823</t>
  </si>
  <si>
    <t>C SAGRADO CORAZON DE JESUS-ALGINET</t>
  </si>
  <si>
    <t>46001254</t>
  </si>
  <si>
    <t>NUESTRA SEÑORA DE LOS DESAMPARADOS</t>
  </si>
  <si>
    <t>46011661</t>
  </si>
  <si>
    <t>CEIP PINTOR ESTRUCH</t>
  </si>
  <si>
    <t>46005156</t>
  </si>
  <si>
    <t>Fundación de la Comunidad Valenciana Juan Ignacio Muñoz Bastide</t>
  </si>
  <si>
    <t>ESG98117062</t>
  </si>
  <si>
    <t>CEIP EL CASTELL</t>
  </si>
  <si>
    <t>46003081</t>
  </si>
  <si>
    <t>CEIP EL BRAÇAL</t>
  </si>
  <si>
    <t>46003925</t>
  </si>
  <si>
    <t>SOCIEDAD PEDAGOGICA LUZ CASANOVA SL</t>
  </si>
  <si>
    <t>46010620</t>
  </si>
  <si>
    <t>CEIP MALVARROSA</t>
  </si>
  <si>
    <t>46011533</t>
  </si>
  <si>
    <t>CRA BARONIA ALTA</t>
  </si>
  <si>
    <t>46027024-4</t>
  </si>
  <si>
    <t>UTE PATACONA</t>
  </si>
  <si>
    <t>10777100</t>
  </si>
  <si>
    <t>CRUZ ROJA ESPAÑOLA VALENCIA CEE PARALISIS CEREBRAL INFANTIL</t>
  </si>
  <si>
    <t>46020686</t>
  </si>
  <si>
    <t>SOCOLTIE COOP. VALENCIANA</t>
  </si>
  <si>
    <t>ESF46185658</t>
  </si>
  <si>
    <t>COLEGIO MERCERATOR, SL</t>
  </si>
  <si>
    <t>46010577</t>
  </si>
  <si>
    <t>INGENIERIA PLANA ALTA SA</t>
  </si>
  <si>
    <t>12321386</t>
  </si>
  <si>
    <t>LA NAVE DE ANA Y EVA SC</t>
  </si>
  <si>
    <t>46005-2</t>
  </si>
  <si>
    <t>APA C.O. LUZ VERDE</t>
  </si>
  <si>
    <t>ESG46448270</t>
  </si>
  <si>
    <t>AMPA CEE LOS SILOS</t>
  </si>
  <si>
    <t>46020741</t>
  </si>
  <si>
    <t>INSTITUTO SECULAR AUXILIARES JESUS</t>
  </si>
  <si>
    <t>46025039</t>
  </si>
  <si>
    <t>SERVALESA, S.L.U.</t>
  </si>
  <si>
    <t>ESB46164588</t>
  </si>
  <si>
    <t>ESCUELA JARDIN ATENEO SUECO DEL SOCORRO</t>
  </si>
  <si>
    <t>46008157</t>
  </si>
  <si>
    <t>SARA MARIN RODRIGUEZ</t>
  </si>
  <si>
    <t>46033577</t>
  </si>
  <si>
    <t>ASOCIACION JOSE RAMON ALONSO VIVES DE FAMILIARES DE ADULTOS/AS CON DIVERSIDAD FUNCIONAL</t>
  </si>
  <si>
    <t>ESG97162549</t>
  </si>
  <si>
    <t>ASOC.FAMILIAS PERSONAS CON DISCAPACIDAD INTELECTUAL DE ALZIRA Y COMARCA</t>
  </si>
  <si>
    <t>ESG46129060</t>
  </si>
  <si>
    <t>ARANGUREN COMERCIAL DEL EMBALAJE, SLU</t>
  </si>
  <si>
    <t>ARANCO</t>
  </si>
  <si>
    <t>AYUNTAMIENTO DE XILXES</t>
  </si>
  <si>
    <t>12005945</t>
  </si>
  <si>
    <t>SUNNY SIDE CEI SL</t>
  </si>
  <si>
    <t>98761471</t>
  </si>
  <si>
    <t>ASSOCIACIO DE DISCAPACITATS DE LA POBLA DE VALLBONA</t>
  </si>
  <si>
    <t>CO_VALLBONA</t>
  </si>
  <si>
    <t>FONT SALEM SL</t>
  </si>
  <si>
    <t>B46984290</t>
  </si>
  <si>
    <t>COOP. VALENCIANA DEL CAMP UNIO CRISTIANA</t>
  </si>
  <si>
    <t>46008133</t>
  </si>
  <si>
    <t>CRUZ ROJA ESPAÑOLA VALENCIA</t>
  </si>
  <si>
    <t>ESQ2866001G-1</t>
  </si>
  <si>
    <t>CEI CAMPAMENT SL</t>
  </si>
  <si>
    <t>46031611</t>
  </si>
  <si>
    <t>NATUREX IBERIAN PARTNERS,SLU</t>
  </si>
  <si>
    <t>ESB97728224</t>
  </si>
  <si>
    <t>ASOCIACION ALANNA</t>
  </si>
  <si>
    <t>46021-00</t>
  </si>
  <si>
    <t>4031404</t>
  </si>
  <si>
    <t>46033310-1</t>
  </si>
  <si>
    <t>AYUNTAMIENTO DE ALBUIXECH</t>
  </si>
  <si>
    <t>46032317</t>
  </si>
  <si>
    <t>46027024-1</t>
  </si>
  <si>
    <t>46011971_1</t>
  </si>
  <si>
    <t>46024461</t>
  </si>
  <si>
    <t>46013013</t>
  </si>
  <si>
    <t>46024485</t>
  </si>
  <si>
    <t>ESP9620102E</t>
  </si>
  <si>
    <t>CDP9620102E</t>
  </si>
  <si>
    <t>MAMEMIMOMU SL</t>
  </si>
  <si>
    <t>46009666</t>
  </si>
  <si>
    <t>46001989-INF</t>
  </si>
  <si>
    <t>ASOCIACION PARA LA LUCHA CONTRA LAS ENFERMEDADES DEL RIÑON</t>
  </si>
  <si>
    <t>ALCER1</t>
  </si>
  <si>
    <t>ALCER2</t>
  </si>
  <si>
    <t>ALCER3</t>
  </si>
  <si>
    <t>46027024-5</t>
  </si>
  <si>
    <t>46002258-1</t>
  </si>
  <si>
    <t>46015563-I</t>
  </si>
  <si>
    <t>46000456-I</t>
  </si>
  <si>
    <t>98117062-2</t>
  </si>
  <si>
    <t>46028892</t>
  </si>
  <si>
    <t>Fundación Manantial</t>
  </si>
  <si>
    <t>81237257</t>
  </si>
  <si>
    <t>CLIENTES VARIOS-VODAFONE</t>
  </si>
  <si>
    <t>BIOHUB VLC, S.L.</t>
  </si>
  <si>
    <t>ESB98991326</t>
  </si>
  <si>
    <t>VALENCIA BASKET CLUB SAD</t>
  </si>
  <si>
    <t>VALENCIA DISTRIBUIDORA ANGAL AUTOMOCION, SLU</t>
  </si>
  <si>
    <t>UNIVERSIDAD EUROPEA DE VALENCIA SLU</t>
  </si>
  <si>
    <t>46034740</t>
  </si>
  <si>
    <t>CEIP AZORIN</t>
  </si>
  <si>
    <t>03009683</t>
  </si>
  <si>
    <t>CEIP BAIX VINALOPO</t>
  </si>
  <si>
    <t>03009622</t>
  </si>
  <si>
    <t>CEIP COSTA BLANCA</t>
  </si>
  <si>
    <t>03015661</t>
  </si>
  <si>
    <t>CEIP LUIS VIVES</t>
  </si>
  <si>
    <t>03004651</t>
  </si>
  <si>
    <t>CEIP ANTONIO MACHADO</t>
  </si>
  <si>
    <t>03005355</t>
  </si>
  <si>
    <t>CEIP LA BAIA</t>
  </si>
  <si>
    <t>03004491</t>
  </si>
  <si>
    <t>CEIP EUGENI D'ORS</t>
  </si>
  <si>
    <t>03004600</t>
  </si>
  <si>
    <t>03009351</t>
  </si>
  <si>
    <t>CEIP AMANECER</t>
  </si>
  <si>
    <t>03017023</t>
  </si>
  <si>
    <t>CEIP RASPEIG</t>
  </si>
  <si>
    <t>03010651</t>
  </si>
  <si>
    <t>CEIP SAN ANTONIO</t>
  </si>
  <si>
    <t>03005197</t>
  </si>
  <si>
    <t>CEIP LA FOIA</t>
  </si>
  <si>
    <t>03010351</t>
  </si>
  <si>
    <t>CEIP REYES CATOLICOS</t>
  </si>
  <si>
    <t>03004715</t>
  </si>
  <si>
    <t>CEIP RAMON CUESTA</t>
  </si>
  <si>
    <t>03013212</t>
  </si>
  <si>
    <t>CEIP RAFAEL ALTAMIRA</t>
  </si>
  <si>
    <t>03002101</t>
  </si>
  <si>
    <t>CEIP ANTONIO SEQUEROS</t>
  </si>
  <si>
    <t>03002871</t>
  </si>
  <si>
    <t>CEIP MONTE BENACANTIL</t>
  </si>
  <si>
    <t>03011057</t>
  </si>
  <si>
    <t>CEIP BERNAT DE SARRIA</t>
  </si>
  <si>
    <t>03012268</t>
  </si>
  <si>
    <t>CEIP VIRGEN DEL ROSARIO</t>
  </si>
  <si>
    <t>03000138</t>
  </si>
  <si>
    <t>CEIP LA CELADA</t>
  </si>
  <si>
    <t>03012633</t>
  </si>
  <si>
    <t>CEIP JOSE GARNERO</t>
  </si>
  <si>
    <t>03011926</t>
  </si>
  <si>
    <t>CEIP SANTA ISABEL</t>
  </si>
  <si>
    <t>03008290</t>
  </si>
  <si>
    <t>CEIP EL CASTILLO</t>
  </si>
  <si>
    <t>03012244</t>
  </si>
  <si>
    <t>CEIP RUPERTO CHAPI</t>
  </si>
  <si>
    <t>03009181</t>
  </si>
  <si>
    <t>03011069</t>
  </si>
  <si>
    <t>ASOCIACION APSA</t>
  </si>
  <si>
    <t>ESG03049038</t>
  </si>
  <si>
    <t>AYUNTAMIENTO DE ELCHE</t>
  </si>
  <si>
    <t>x</t>
  </si>
  <si>
    <t>03015816</t>
  </si>
  <si>
    <t>SAGRADA FAMILIA JOSEFINAS</t>
  </si>
  <si>
    <t>03001143</t>
  </si>
  <si>
    <t>CEIP INMACULADA CONCEPCION</t>
  </si>
  <si>
    <t>03008666</t>
  </si>
  <si>
    <t>03007704</t>
  </si>
  <si>
    <t>CEIP REINA SOFIA</t>
  </si>
  <si>
    <t>03012611</t>
  </si>
  <si>
    <t>CEIP NUMERO 14</t>
  </si>
  <si>
    <t>03021661</t>
  </si>
  <si>
    <t>CANALES PEREZ, ANDRES</t>
  </si>
  <si>
    <t>03018064</t>
  </si>
  <si>
    <t>CEIP LA PALOMA</t>
  </si>
  <si>
    <t>03002664</t>
  </si>
  <si>
    <t>CEIP PARROCO FRANCISCO MAS</t>
  </si>
  <si>
    <t>03003942</t>
  </si>
  <si>
    <t>C. SANTISIMO SACRAMENTO - FEYDA</t>
  </si>
  <si>
    <t>03001726</t>
  </si>
  <si>
    <t>LOBO NUÑEZ SL</t>
  </si>
  <si>
    <t>03002721</t>
  </si>
  <si>
    <t>CEIP LA GALIA</t>
  </si>
  <si>
    <t>03004429</t>
  </si>
  <si>
    <t>03001544</t>
  </si>
  <si>
    <t>CEIP VIRREY POVEDA</t>
  </si>
  <si>
    <t>03010363</t>
  </si>
  <si>
    <t>CEIP VIRGEN DE LA SALUD</t>
  </si>
  <si>
    <t>03012074</t>
  </si>
  <si>
    <t>CEIP MARE DE DEU DE LA SALUT</t>
  </si>
  <si>
    <t>03009373</t>
  </si>
  <si>
    <t>CEIP EL GREC</t>
  </si>
  <si>
    <t>03012131</t>
  </si>
  <si>
    <t>ELIJUCE SL</t>
  </si>
  <si>
    <t>03017874</t>
  </si>
  <si>
    <t>CEIP NUESTRA SEÑORA DE LA PAZ</t>
  </si>
  <si>
    <t>03001623</t>
  </si>
  <si>
    <t>CEIP NTRA SRA DE LAS NIEVES</t>
  </si>
  <si>
    <t>03006001</t>
  </si>
  <si>
    <t>CEIP TRINITARIO SEVA</t>
  </si>
  <si>
    <t>03007893</t>
  </si>
  <si>
    <t>FUNDACION SAN JUAN Y SAN PABLO</t>
  </si>
  <si>
    <t>03006131</t>
  </si>
  <si>
    <t>NINOS GESTIO EDUC.COOP.V.UTE-MUTXAMEL</t>
  </si>
  <si>
    <t>03019147</t>
  </si>
  <si>
    <t>C SAN JOSE DE LA MONTAÑA COOP.V.-OLIVA</t>
  </si>
  <si>
    <t>46005818</t>
  </si>
  <si>
    <t>GRUPO FAMILY SCHOOL SL</t>
  </si>
  <si>
    <t>03009956</t>
  </si>
  <si>
    <t>ASOCIACION CAPAZ</t>
  </si>
  <si>
    <t>ESG03975034</t>
  </si>
  <si>
    <t>VINALOPÓ ALUMINIO COLOR, SL</t>
  </si>
  <si>
    <t>ESB54947783</t>
  </si>
  <si>
    <t>AYUNTAMIENTO DE ASPE</t>
  </si>
  <si>
    <t>AY_ASPE</t>
  </si>
  <si>
    <t>03014356</t>
  </si>
  <si>
    <t>CEIP GAETA HUGUET</t>
  </si>
  <si>
    <t>12004242</t>
  </si>
  <si>
    <t>CEIP PIO XII</t>
  </si>
  <si>
    <t>12002014</t>
  </si>
  <si>
    <t>IES LA VALL D'ALBA</t>
  </si>
  <si>
    <t>12000728</t>
  </si>
  <si>
    <t>CEIP MESTRE CABALLERO</t>
  </si>
  <si>
    <t>12004345</t>
  </si>
  <si>
    <t>CEIP BOQUERES</t>
  </si>
  <si>
    <t>12000224</t>
  </si>
  <si>
    <t>12001666</t>
  </si>
  <si>
    <t>CEIP HERRERO</t>
  </si>
  <si>
    <t>12001368</t>
  </si>
  <si>
    <t>FUNDACION FLORS</t>
  </si>
  <si>
    <t>12002993</t>
  </si>
  <si>
    <t>CEIP LOPE DE VEGA</t>
  </si>
  <si>
    <t>12001964</t>
  </si>
  <si>
    <t>IES RAMON CID</t>
  </si>
  <si>
    <t>12000480</t>
  </si>
  <si>
    <t>CEIP COMTESSA LUCENA</t>
  </si>
  <si>
    <t>12001794</t>
  </si>
  <si>
    <t>CEIP HISTORIADOR DIAGO</t>
  </si>
  <si>
    <t>12003183</t>
  </si>
  <si>
    <t>AJUNTAMENT DE VALL D'ALBA</t>
  </si>
  <si>
    <t>12007395</t>
  </si>
  <si>
    <t>ASOCIACION AFANIAS CASTELLON</t>
  </si>
  <si>
    <t>ESG12014965-2</t>
  </si>
  <si>
    <t>APMP VIRGEN DE LA ESPERANZA</t>
  </si>
  <si>
    <t>ESG12028452</t>
  </si>
  <si>
    <t>ESG12014965</t>
  </si>
  <si>
    <t>12005519</t>
  </si>
  <si>
    <t>12001794-1</t>
  </si>
  <si>
    <t>CEIP CARLES SALVADOR</t>
  </si>
  <si>
    <t>12003547</t>
  </si>
  <si>
    <t>LOPE CASTELLON SL</t>
  </si>
  <si>
    <t>12001204</t>
  </si>
  <si>
    <t>LA MILAGROSA</t>
  </si>
  <si>
    <t>12002282</t>
  </si>
  <si>
    <t>CEIP SAN AGUSTIN</t>
  </si>
  <si>
    <t>12000777</t>
  </si>
  <si>
    <t>PROEDUCA GESTION, SL</t>
  </si>
  <si>
    <t>12007498</t>
  </si>
  <si>
    <t>CRA PALANCIA-MIJARES (JERICA)</t>
  </si>
  <si>
    <t>12006639-2</t>
  </si>
  <si>
    <t>CEIP VIRGEN DE GRACIA</t>
  </si>
  <si>
    <t>12000303</t>
  </si>
  <si>
    <t>PARROQUIA SAN BARTOLOME</t>
  </si>
  <si>
    <t>ESR1200174I</t>
  </si>
  <si>
    <t>CEIP FELICINDA COLLELL</t>
  </si>
  <si>
    <t>12000731</t>
  </si>
  <si>
    <t>CEIP MESTRE FRANCESC CATALA</t>
  </si>
  <si>
    <t>12003407</t>
  </si>
  <si>
    <t>CEIP SAN MIGUEL ARCANGEL</t>
  </si>
  <si>
    <t>12002351</t>
  </si>
  <si>
    <t>C.R.A. SOT DE FERRER</t>
  </si>
  <si>
    <t>12005490-2</t>
  </si>
  <si>
    <t>FROST TROL, S.A.</t>
  </si>
  <si>
    <t>FROST</t>
  </si>
  <si>
    <t>UTE-GEIM</t>
  </si>
  <si>
    <t>12007267</t>
  </si>
  <si>
    <t>CEIP VERGE FONT DE LA SALUT</t>
  </si>
  <si>
    <t>12002506</t>
  </si>
  <si>
    <t>AYUNTAMIENTO DE SEGORBE</t>
  </si>
  <si>
    <t>ESP1210400F</t>
  </si>
  <si>
    <t>AYUNTAMIENTO ONDA</t>
  </si>
  <si>
    <t>ESP1208400J</t>
  </si>
  <si>
    <t>GEROCLEOP SL</t>
  </si>
  <si>
    <t>FOMENTO DE CENTROS DE ENSEÑANZA, SA</t>
  </si>
  <si>
    <t>12007760</t>
  </si>
  <si>
    <t>CRA PALANCIA-ESPADAN</t>
  </si>
  <si>
    <t>12006627-3</t>
  </si>
  <si>
    <t>12007863</t>
  </si>
  <si>
    <t>12006627-2</t>
  </si>
  <si>
    <t>12006627-1</t>
  </si>
  <si>
    <t>12006627</t>
  </si>
  <si>
    <t>12006669</t>
  </si>
  <si>
    <t>12006639b</t>
  </si>
  <si>
    <t>12005490</t>
  </si>
  <si>
    <t>12005490-1</t>
  </si>
  <si>
    <t>12006639-3</t>
  </si>
  <si>
    <t>COLEGIO NATIVIDAD DE NUESTRA SEÑORA</t>
  </si>
  <si>
    <t>281780</t>
  </si>
  <si>
    <t>FUNDACION ST3</t>
  </si>
  <si>
    <t>86771714</t>
  </si>
  <si>
    <t>CSIC CLIENTES VARIOS</t>
  </si>
  <si>
    <t>Q2818002D1</t>
  </si>
  <si>
    <t>Q2818002D</t>
  </si>
  <si>
    <t>INSTITUTO CALASANCIO RR HIJAS DE LA DIVINA PASTORA</t>
  </si>
  <si>
    <t>41005713</t>
  </si>
  <si>
    <t>CENTROS COMERCIALES CARREFOUR, S.A.</t>
  </si>
  <si>
    <t>JUAN FORNES FORNES, SA</t>
  </si>
  <si>
    <t>MERCADONA,S.A.</t>
  </si>
  <si>
    <t>PANADERIA CONFITERIA SALVADOR SL</t>
  </si>
  <si>
    <t>RECICLACEITE 2012, SLU</t>
  </si>
  <si>
    <t>VIAJES EL CORTE INGLES,S.A.</t>
  </si>
  <si>
    <t>46011961</t>
  </si>
  <si>
    <t>CEIP JAIME I-NULES</t>
  </si>
  <si>
    <t>12003432</t>
  </si>
  <si>
    <t>CEIP JAUME I (VINAROS)</t>
  </si>
  <si>
    <t>12006779</t>
  </si>
  <si>
    <t>CONSUM S.COOP.V.</t>
  </si>
  <si>
    <t>SANGOSSE IBERICA, S.L.U.</t>
  </si>
  <si>
    <t>SANGOSSE</t>
  </si>
  <si>
    <t>COLEGIO DIVINA PASTORA</t>
  </si>
  <si>
    <t>ESR2300119A</t>
  </si>
  <si>
    <t>AYUNTAMIENTO DE PUZOL</t>
  </si>
  <si>
    <t>52</t>
  </si>
  <si>
    <t>AMPA CP MAESTRO SANCHIS ALMIÑANO</t>
  </si>
  <si>
    <t>812</t>
  </si>
  <si>
    <t>AKOE EDUCACIO COOP.V.</t>
  </si>
  <si>
    <t>1241</t>
  </si>
  <si>
    <t>AMPA EI APOSTOL SANTIAGO</t>
  </si>
  <si>
    <t>40532814</t>
  </si>
  <si>
    <t>AMPA CP NTRA.SRA.DE LAS NIEVES</t>
  </si>
  <si>
    <t>03006001-2</t>
  </si>
  <si>
    <t>AMPA CP REYES CATOLICOS (PETRER)</t>
  </si>
  <si>
    <t>975</t>
  </si>
  <si>
    <t>COOPERACION INTERNACIONAL ONG</t>
  </si>
  <si>
    <t>1623</t>
  </si>
  <si>
    <t>FAPA GABRIEL MIRO</t>
  </si>
  <si>
    <t>RECICLADOS LA ESTRELLA SL</t>
  </si>
  <si>
    <t>1239</t>
  </si>
  <si>
    <t>TARECA VENDING SL</t>
  </si>
  <si>
    <t>813</t>
  </si>
  <si>
    <t>CLIENTES VARIOS-FROST TROL</t>
  </si>
  <si>
    <t>ESG86771714</t>
  </si>
  <si>
    <t>46006616-2</t>
  </si>
  <si>
    <t>AMPA CEIP LUIS VIVES</t>
  </si>
  <si>
    <t>AUTOMATIC DISPENSING SERVICE, S.L.</t>
  </si>
  <si>
    <t>AYUNTAMIENTO DE CALIG</t>
  </si>
  <si>
    <t>BIOLOGICA NATURE, SLU</t>
  </si>
  <si>
    <t>NATURE</t>
  </si>
  <si>
    <t>CLIENTES VARIOS - SAMBOO</t>
  </si>
  <si>
    <t>COMERCIAL PIEDRA TRUJILLO, SLU</t>
  </si>
  <si>
    <t>PARROQUIA-C ASUNCION DE NUESTRA SEÑORA</t>
  </si>
  <si>
    <t>46001667</t>
  </si>
  <si>
    <t>CLIENTES VARIOS-SERVALESA</t>
  </si>
  <si>
    <t>03001143-2</t>
  </si>
  <si>
    <t>CLIENTES VARIOS - JUAN COMENIUS</t>
  </si>
  <si>
    <t>AMPA COL.LEGI PUBLIC SANT MARC</t>
  </si>
  <si>
    <t>ERALOGISTICS PERSONAL SL</t>
  </si>
  <si>
    <t>ESB82368564</t>
  </si>
  <si>
    <t>OROYES, SL</t>
  </si>
  <si>
    <t>THE HUB VALENCIA SL</t>
  </si>
  <si>
    <t>MEDITERRANEA GESTION SOCIAL Y CULTURAL, SA</t>
  </si>
  <si>
    <t>ESA12641080</t>
  </si>
  <si>
    <t>CLIENTES VARIOS - INMACULADA CONCEPCION</t>
  </si>
  <si>
    <t>CLIENTES VARIOS - CEIP RASPEIG</t>
  </si>
  <si>
    <t>AGROZONO, SLU</t>
  </si>
  <si>
    <t>ESB98824964</t>
  </si>
  <si>
    <t>CLIENTES VARIOS - INSS</t>
  </si>
  <si>
    <t>46630752</t>
  </si>
  <si>
    <t>ASOCIACION PARA LA LUCHA CONTRA LAS ENFERMEDADES DEL RIÑON ALCER TURIA</t>
  </si>
  <si>
    <t>ASOCIACION ANTIGUOS ALUMNOS SAGRADO CORAZON</t>
  </si>
  <si>
    <t>46004346-1</t>
  </si>
  <si>
    <t>AMPA ALFARA DE LA BARONIA</t>
  </si>
  <si>
    <t>46027024-6</t>
  </si>
  <si>
    <t>APA CEIP REINA SOFIA</t>
  </si>
  <si>
    <t>03012611-1</t>
  </si>
  <si>
    <t>AYUNTAMIENTO DE TORRES TORRES</t>
  </si>
  <si>
    <t>AMPA COLEGIO HOGAR NIÑO JESUS</t>
  </si>
  <si>
    <t>46015231-2</t>
  </si>
  <si>
    <t>CLIENTES VARIOS - EMT</t>
  </si>
  <si>
    <t>AMPA CEIP MESTRE FRANCESC CATALA</t>
  </si>
  <si>
    <t>AYUNTAMIENTO DE MISLATA</t>
  </si>
  <si>
    <t>4617100-1</t>
  </si>
  <si>
    <t>CLIENTES VARIOS COLEGIO MAYOR MURCIA</t>
  </si>
  <si>
    <t>SEHRVENPA SL</t>
  </si>
  <si>
    <t>98341654</t>
  </si>
  <si>
    <t>Universidad de Murcia</t>
  </si>
  <si>
    <t>COLEGIO OFICIAL DE QUIMICOS DE MURCIA</t>
  </si>
  <si>
    <t>CONSEJO SUPERIOR DE INVESTIGACIONES CIENTIFICAS</t>
  </si>
  <si>
    <t>INSTITUTO CALASANCIO HIJAS DE LA DIVINA PASTORA CURIA GENERAL</t>
  </si>
  <si>
    <t>UNIVERSIDAD EUROPEA DE VALENCIA, SLU</t>
  </si>
  <si>
    <t>R &amp; O REPRESENTACION Y ORGANIZACIONDE EVENTOS DEPORTIVOS SL</t>
  </si>
  <si>
    <t>97062285</t>
  </si>
  <si>
    <t>DEZA Calidad SA</t>
  </si>
  <si>
    <t>14051585</t>
  </si>
  <si>
    <t>Quality Life Sports SL</t>
  </si>
  <si>
    <t>99145419</t>
  </si>
  <si>
    <t>GESTION DE ACEITES VEGETALES S.L.</t>
  </si>
  <si>
    <t>REAL SOCIEDAD ESPAÑOLA DE QUIMICA</t>
  </si>
  <si>
    <t>VODAFONE INTELLIGENT SOLUTIONS ESPAÑA, SL</t>
  </si>
  <si>
    <t>CLIENTES VARIOS-VALDISA</t>
  </si>
  <si>
    <t>FUNDACION ESPAÑOLA PARA LA CIENCIA Y LA TECNOLOGIA F.S.P.</t>
  </si>
  <si>
    <t>CLIENTES VARIOS - FUNDACION ST3</t>
  </si>
  <si>
    <t>CLIENTES VARIOS - L'ALQUERIA</t>
  </si>
  <si>
    <t>LEDELVEN, SL</t>
  </si>
  <si>
    <t>CLIENTES VARIOS - IPLA</t>
  </si>
  <si>
    <t>ESB46630752</t>
  </si>
  <si>
    <t>LICAMPA 1617, SL</t>
  </si>
  <si>
    <t>PAVASAL EMPRESA CONSTRUCTORA, SA</t>
  </si>
  <si>
    <t>FROST TROL SA</t>
  </si>
  <si>
    <t>12039772</t>
  </si>
  <si>
    <t>NATICA CAFE, S.L.</t>
  </si>
  <si>
    <t>CLUB DEPORTIVO ELEMENTAL BALONCESTO LEGANES</t>
  </si>
  <si>
    <t>FRIMAR PANADEROS, SL</t>
  </si>
  <si>
    <t>SONOVIDEO, SL</t>
  </si>
  <si>
    <t>MOLCAWORLD, SLU</t>
  </si>
  <si>
    <t>BIOVAL, SL</t>
  </si>
  <si>
    <t>INSTITUTO DE CIENCIA Y TECNOLOGIA DE POLIMEROS (CSIC)</t>
  </si>
  <si>
    <t>CASA HOGAR RELIGIOSAS CALASANCIAS</t>
  </si>
  <si>
    <t>281780-1</t>
  </si>
  <si>
    <t>CONSTRUCCIONES J.C.DURO, SL</t>
  </si>
  <si>
    <t>FEDERACION DE GIMNASIA DE LA COMUNIDAD VALENCIANA</t>
  </si>
  <si>
    <t>NOVED PARTNER, S.L.</t>
  </si>
  <si>
    <t>ASOCIACION EL CLUB DE LAS 25</t>
  </si>
  <si>
    <t>LIVE EXPERIENCE ETAL, SL</t>
  </si>
  <si>
    <t>CAMARA COMERCIO, INDUSTRIA, TURISMO Y SERVIDOS DE VALENCIA</t>
  </si>
  <si>
    <t>TALADROS HERRERA, S.L.</t>
  </si>
  <si>
    <t>BERNAGUS, SL</t>
  </si>
  <si>
    <t>AMPA CEIP BERNAT DE SARRIA</t>
  </si>
  <si>
    <t>AMPA CEIP AMANECER</t>
  </si>
  <si>
    <t>AMPA CEIP EL CASTELL</t>
  </si>
  <si>
    <t>AFA CEIP 8 DE MARÇ</t>
  </si>
  <si>
    <t>DS SOLUCIONES AGRICOLAS MODERNAS, SLU</t>
  </si>
  <si>
    <t>AYUNTAMIENTO DE CASTELLO</t>
  </si>
  <si>
    <t>4625900</t>
  </si>
  <si>
    <t>COCEDA, SL</t>
  </si>
  <si>
    <t>65325680</t>
  </si>
  <si>
    <t>FUNDACION SENECA AGENCIA DE CIENCIA Y TECNOLOGIA DE LA REGION DE MURCIA</t>
  </si>
  <si>
    <t>APA CEIP PINTOR ESTRUCH</t>
  </si>
  <si>
    <t>AMPA ESCOLA JARDI DE L'ATENEU SUECO DEL SOCORRO</t>
  </si>
  <si>
    <t>LOPEZ SANCHEZ, GUILLERMO FELIPE</t>
  </si>
  <si>
    <t>COLEGIO SANTA MARIA DEL CARMEN EN ELDA</t>
  </si>
  <si>
    <t>CLIENTES VARIOS CENTRO SOCIAL UNIVERSIDAD MURCIA</t>
  </si>
  <si>
    <t>ESQ3018001B</t>
  </si>
  <si>
    <t>VENTAS</t>
  </si>
  <si>
    <t>MARGEN</t>
  </si>
  <si>
    <t>MARGEN %</t>
  </si>
  <si>
    <t>NOMBRE</t>
  </si>
  <si>
    <t>coeficiente</t>
  </si>
  <si>
    <t>OTROS DATOS</t>
  </si>
  <si>
    <t>Monitor</t>
  </si>
  <si>
    <t>COMENSALES PRODUCIDOS</t>
  </si>
  <si>
    <t>Cocina</t>
  </si>
  <si>
    <t>COMENSALES FACTURADOS</t>
  </si>
  <si>
    <t>Alimentacion extra</t>
  </si>
  <si>
    <t>BECAS</t>
  </si>
  <si>
    <t>Personal Extra</t>
  </si>
  <si>
    <t>Variables Extra</t>
  </si>
  <si>
    <t>APROVISIONAMIENTOS</t>
  </si>
  <si>
    <t>COSTE UNITARIO MENU</t>
  </si>
  <si>
    <t>Materia Prima</t>
  </si>
  <si>
    <t>COSTE PERSONAL COCINA</t>
  </si>
  <si>
    <t>Materia Prima Extra</t>
  </si>
  <si>
    <t>COSTE UNITARIO ALIMENTACION</t>
  </si>
  <si>
    <t>TOTAL COSTE MENU</t>
  </si>
  <si>
    <t>Otros</t>
  </si>
  <si>
    <t>COSTE PERSONAL -MOD</t>
  </si>
  <si>
    <t>Personal Produccion</t>
  </si>
  <si>
    <t>Personal extra</t>
  </si>
  <si>
    <t>Vacaciones personal (11 -12 meses)</t>
  </si>
  <si>
    <t>COSTE LOGISTICO</t>
  </si>
  <si>
    <t>Logistica</t>
  </si>
  <si>
    <t>OTROS GASTOS</t>
  </si>
  <si>
    <t>Margen operacional</t>
  </si>
  <si>
    <t>Suministros</t>
  </si>
  <si>
    <t>Mantenimientos</t>
  </si>
  <si>
    <t>Fuentes , menaje, plagas…</t>
  </si>
  <si>
    <t>Otros Gastos fijos 2%</t>
  </si>
  <si>
    <t>Epis, reco, etc</t>
  </si>
  <si>
    <t>EBITDA</t>
  </si>
  <si>
    <t>RESUMEN</t>
  </si>
  <si>
    <t>RESUMEN Conselleria</t>
  </si>
  <si>
    <t>Cliente</t>
  </si>
  <si>
    <t>CURSO</t>
  </si>
  <si>
    <t>22/23</t>
  </si>
  <si>
    <t>Comensales</t>
  </si>
  <si>
    <t>CENTRO</t>
  </si>
  <si>
    <t>Dias comedor</t>
  </si>
  <si>
    <t>Cuota Familia</t>
  </si>
  <si>
    <t>Aportación Conselleria</t>
  </si>
  <si>
    <t>Almuerzo</t>
  </si>
  <si>
    <t>Comida</t>
  </si>
  <si>
    <t>Merienda</t>
  </si>
  <si>
    <t>Ingreso por Comensal</t>
  </si>
  <si>
    <t>Precio Coste menu</t>
  </si>
  <si>
    <t>Precio Venta menu</t>
  </si>
  <si>
    <t>Comensales/dia</t>
  </si>
  <si>
    <t>Dias (oct-may)</t>
  </si>
  <si>
    <t>Coste Materia Prima</t>
  </si>
  <si>
    <t>COMENSALES CURSO</t>
  </si>
  <si>
    <t>Venta Materia Prima</t>
  </si>
  <si>
    <t>Beca</t>
  </si>
  <si>
    <t>Coste Monitores +Proye. Educa.</t>
  </si>
  <si>
    <t>Personal cocina</t>
  </si>
  <si>
    <t>Venta Monitores</t>
  </si>
  <si>
    <t>Otros Gastos Facturados</t>
  </si>
  <si>
    <t>Total Facturación Minuta</t>
  </si>
  <si>
    <t>Coste Cocineros</t>
  </si>
  <si>
    <t>Venta Cocineros</t>
  </si>
  <si>
    <t>Nº monitor</t>
  </si>
  <si>
    <t>Horas/dia</t>
  </si>
  <si>
    <t>coste monitor</t>
  </si>
  <si>
    <t>coste curso</t>
  </si>
  <si>
    <t>CUIDADORES</t>
  </si>
  <si>
    <t>Coste Pro.Educat</t>
  </si>
  <si>
    <t>TOTAL GASTOS</t>
  </si>
  <si>
    <t>Cant</t>
  </si>
  <si>
    <t>Coste Dia</t>
  </si>
  <si>
    <t>TOTAL INGRESOS</t>
  </si>
  <si>
    <t>EQUIPO DIRECTIVO</t>
  </si>
  <si>
    <t>SALDO:</t>
  </si>
  <si>
    <t>MARGEN BRUTO</t>
  </si>
  <si>
    <t>AÑO</t>
  </si>
  <si>
    <t>INCREMENTO</t>
  </si>
  <si>
    <t>H/AÑO</t>
  </si>
  <si>
    <t>CATEGORIA</t>
  </si>
  <si>
    <t>HORAS SEM.</t>
  </si>
  <si>
    <t>HORAS DIA</t>
  </si>
  <si>
    <t>SALARIO BASE act.</t>
  </si>
  <si>
    <t>SALARIO BASE</t>
  </si>
  <si>
    <t>Nº PAGAS</t>
  </si>
  <si>
    <t>PRORRATA PAGAS EXTRAS</t>
  </si>
  <si>
    <t>PLUS TTE.</t>
  </si>
  <si>
    <t>MANUTENCIÓN</t>
  </si>
  <si>
    <t>VIGILANCIA DE LA SALUD</t>
  </si>
  <si>
    <t>UNIFORMIDAD COMPLETA</t>
  </si>
  <si>
    <t>S.S. EMPRESA</t>
  </si>
  <si>
    <t>CONTRATO &lt; 1 MES</t>
  </si>
  <si>
    <t>COSTE HORA</t>
  </si>
  <si>
    <t>COSTE HORA COMPLEMENTOS</t>
  </si>
  <si>
    <t>HORAS CONTRATO</t>
  </si>
  <si>
    <t>COSTE HORA TOTAL</t>
  </si>
  <si>
    <t>VALENCIA</t>
  </si>
  <si>
    <t>JEFE DE COCINA</t>
  </si>
  <si>
    <t>I</t>
  </si>
  <si>
    <t>2º DE COCINA</t>
  </si>
  <si>
    <t>II</t>
  </si>
  <si>
    <t>COCINERO</t>
  </si>
  <si>
    <t>III</t>
  </si>
  <si>
    <t>AYUDANTE DE COCINA / CAT.</t>
  </si>
  <si>
    <t>IV</t>
  </si>
  <si>
    <t>ASL</t>
  </si>
  <si>
    <t>V</t>
  </si>
  <si>
    <t>MONITOR</t>
  </si>
  <si>
    <t>CASTELLÓN</t>
  </si>
  <si>
    <t>IIa</t>
  </si>
  <si>
    <t>IIIa</t>
  </si>
  <si>
    <t>IVb</t>
  </si>
  <si>
    <t>Va</t>
  </si>
  <si>
    <t>MONITOR HORAS</t>
  </si>
  <si>
    <t>ALICANTE</t>
  </si>
  <si>
    <t>1</t>
  </si>
  <si>
    <t>2</t>
  </si>
  <si>
    <t>4</t>
  </si>
  <si>
    <t>CAMARERO</t>
  </si>
  <si>
    <t>5</t>
  </si>
  <si>
    <t>6</t>
  </si>
  <si>
    <t>MURCIA</t>
  </si>
  <si>
    <t>personal rangos</t>
  </si>
  <si>
    <t>sostenible</t>
  </si>
  <si>
    <t>Nombre</t>
  </si>
  <si>
    <t>Rango</t>
  </si>
  <si>
    <t>Tipo_Dieta</t>
  </si>
  <si>
    <t>Tipo_Comensal</t>
  </si>
  <si>
    <t>Provincia</t>
  </si>
  <si>
    <t>Competencia</t>
  </si>
  <si>
    <t>Responsable</t>
  </si>
  <si>
    <t>col_privado</t>
  </si>
  <si>
    <t>col_publico</t>
  </si>
  <si>
    <t>residencia 354</t>
  </si>
  <si>
    <t>empresa</t>
  </si>
  <si>
    <t>365-sd</t>
  </si>
  <si>
    <t>365-VSD</t>
  </si>
  <si>
    <t>dias alta</t>
  </si>
  <si>
    <t>Tipo_Cliente</t>
  </si>
  <si>
    <t>col</t>
  </si>
  <si>
    <t>Alicante</t>
  </si>
  <si>
    <t>Castellon</t>
  </si>
  <si>
    <t>Madrid</t>
  </si>
  <si>
    <t>Murcia</t>
  </si>
  <si>
    <t>Valencia</t>
  </si>
  <si>
    <t>Producto</t>
  </si>
  <si>
    <t>precio</t>
  </si>
  <si>
    <t>Actividad</t>
  </si>
  <si>
    <t>Elvira Serrano</t>
  </si>
  <si>
    <t>Amparo Gisbert</t>
  </si>
  <si>
    <t>Eva Patricia Villoldo</t>
  </si>
  <si>
    <t>Hugo Torre</t>
  </si>
  <si>
    <t>Jose Carlos Martin</t>
  </si>
  <si>
    <t>Laura Cucarella</t>
  </si>
  <si>
    <t>Joan Avella</t>
  </si>
  <si>
    <t>Maria Jose Sanchez</t>
  </si>
  <si>
    <t>Paula Garcia</t>
  </si>
  <si>
    <t>Pilar Olivar</t>
  </si>
  <si>
    <t>Rosa Maria Tabares</t>
  </si>
  <si>
    <t>Silvia Payan</t>
  </si>
  <si>
    <t>Yolanda Alvarez</t>
  </si>
  <si>
    <t>Yolanda Real Alcaide</t>
  </si>
  <si>
    <t>CODIGO</t>
  </si>
  <si>
    <t>COMENSALES MEDIOS</t>
  </si>
  <si>
    <t>Precio A/A</t>
  </si>
  <si>
    <t>Margen A/A</t>
  </si>
  <si>
    <t>Comensales totales</t>
  </si>
  <si>
    <t>Compras</t>
  </si>
  <si>
    <t>Traspasos</t>
  </si>
  <si>
    <t>servicio</t>
  </si>
  <si>
    <t>transporte</t>
  </si>
  <si>
    <t>base MMPP</t>
  </si>
  <si>
    <t>base mod</t>
  </si>
  <si>
    <t>Proyecto Educativo</t>
  </si>
  <si>
    <t>L70:W81</t>
  </si>
  <si>
    <t>Adulto</t>
  </si>
  <si>
    <t>alicante_Personal</t>
  </si>
  <si>
    <t>Andover</t>
  </si>
  <si>
    <t>Amparo_Gisbert</t>
  </si>
  <si>
    <t>Colegio Publico</t>
  </si>
  <si>
    <t>AUX. SERVICIO</t>
  </si>
  <si>
    <t>Aceite de oliva para cocinar ( las frituras con girasol)</t>
  </si>
  <si>
    <t>Bolsa Basura Pack (4G + 2P)</t>
  </si>
  <si>
    <t>ACTIVIDAD ESPECIAL</t>
  </si>
  <si>
    <t>AMPA CEE LOS SILOS (LOS SILOS CEE - MASIAS)</t>
  </si>
  <si>
    <t>AADISA -ASOC.DE AYUDA AL DISMINUIDO PSQUICO DE ALFAFAR</t>
  </si>
  <si>
    <t>CEIP 8 DE MARÇ (VALENCIA)</t>
  </si>
  <si>
    <t>CEIP ANTONIO SEQUEROS (ALMORADI)</t>
  </si>
  <si>
    <t>AJUNTAMENT DE VALL D'ALBA (VALL D´ALBA EIM)</t>
  </si>
  <si>
    <t>C. SANTISIMO SACRAMENTO - FEYDA (ALICANTE)</t>
  </si>
  <si>
    <t>C SAN JOSE DE LA MONTAÑA COOP.V.-OLIVA (OLIVA)</t>
  </si>
  <si>
    <t>APOSTOL SANTIAGO (APOSTOL SANTIAGO EI - VALENCIA)</t>
  </si>
  <si>
    <t>ARANGUREN COMERCIAL DEL EMBALAJE, SLU (ARANCO)</t>
  </si>
  <si>
    <t>Catering Valencia</t>
  </si>
  <si>
    <t>Cocina Central (Delinatur)</t>
  </si>
  <si>
    <t>L89:W100</t>
  </si>
  <si>
    <t>Cena</t>
  </si>
  <si>
    <t>Adulto Sanitario</t>
  </si>
  <si>
    <t>castellon_Personal</t>
  </si>
  <si>
    <t>Aramark</t>
  </si>
  <si>
    <t>Elvira_Serrano</t>
  </si>
  <si>
    <t>Colegio Privado</t>
  </si>
  <si>
    <t>AUXILIAR DE LIMPIEZA</t>
  </si>
  <si>
    <t>Agua embotellada ( 1,5l) Adulto</t>
  </si>
  <si>
    <t>Consultoría/ Formación (Plagas, Calidad, Prl, Nutrición)</t>
  </si>
  <si>
    <t>Magia y juego</t>
  </si>
  <si>
    <t>APA DEL C.O. LUZ VERDE (LUZ VERDE CO - LLOMBAI)</t>
  </si>
  <si>
    <t>ASOCIACION AFANIAS CASTELLON PENYETA ROJA</t>
  </si>
  <si>
    <t>ASSOCIACIO DE DISCAPACITATS DE LA POBLA DE VALLBONA (ASDISP-COM TRENCADIS)</t>
  </si>
  <si>
    <t>CEIP AUSIAS MARCH (ALBORAYA)</t>
  </si>
  <si>
    <t>CEIP AMANECER (TORREVIEJA)</t>
  </si>
  <si>
    <t>CEIP AUSIAS MARCH (ALICANTE)</t>
  </si>
  <si>
    <t>AYUNTAMIENTO DE SEGORBE (Alto Palancia CO)</t>
  </si>
  <si>
    <t>CEIP ANTONIO MACHADO (TORRELLANO ELCHE)</t>
  </si>
  <si>
    <t>CEIP CARRASQUER (SUECA)</t>
  </si>
  <si>
    <t>CEIP AMPARO ALABAU (ALAQUAS)</t>
  </si>
  <si>
    <t>CEIP FRANCISCO GINER DE LOS RIOS (VALENCIA)</t>
  </si>
  <si>
    <t>Autónoma Valencia</t>
  </si>
  <si>
    <t>Cocina Central Valencia</t>
  </si>
  <si>
    <t>L38:W64</t>
  </si>
  <si>
    <t>Alergias_Env</t>
  </si>
  <si>
    <t>Córdoba</t>
  </si>
  <si>
    <t>cordoba_Personal</t>
  </si>
  <si>
    <t>Ausolan</t>
  </si>
  <si>
    <t>Eva_Villoldo</t>
  </si>
  <si>
    <t>Residencia</t>
  </si>
  <si>
    <t>Agua embotellada ( 1,5l) Escolar</t>
  </si>
  <si>
    <t>Locos por la ciencia</t>
  </si>
  <si>
    <t>ASOCIACION DE FAMILIARES DE ADULTOS DISCAPACITADOS (GODAYLA CD- GODELLA)</t>
  </si>
  <si>
    <t>ASOCIACION DE MENORES MONTEALEGRE ST3</t>
  </si>
  <si>
    <t>AYUNTAMIENTO DE CASTELLON (CENTRE OCUPACIONAL MUNICIPAL EL CASTELLET)</t>
  </si>
  <si>
    <t>CEIP CAMP DE TURIA (BETERA)</t>
  </si>
  <si>
    <t>CEIP JOSE GARNERO (SANTA POLA)</t>
  </si>
  <si>
    <t>CEIP EL GREC (VILLENA)</t>
  </si>
  <si>
    <t>CEIP AZORIN (ALICANTE)</t>
  </si>
  <si>
    <t>CEIP CAVITE ISLA DE HIERRO (CAVITE ISLA DE HIERRO - VALENCIA)</t>
  </si>
  <si>
    <t>CEIP ANGELINA CARNICER (VALENCIA)</t>
  </si>
  <si>
    <t>CEIP JAIME I (PUÇOL)</t>
  </si>
  <si>
    <t>sin dato</t>
  </si>
  <si>
    <t>Catering_Frio</t>
  </si>
  <si>
    <t>Cocina Central Alicante</t>
  </si>
  <si>
    <t>L5:W31</t>
  </si>
  <si>
    <t>Desayuno</t>
  </si>
  <si>
    <t>Alergias_sin_envasar</t>
  </si>
  <si>
    <t>madrid_Personal</t>
  </si>
  <si>
    <t>Caps</t>
  </si>
  <si>
    <t>Empresa</t>
  </si>
  <si>
    <t>Agua embotellada ( 33cl)</t>
  </si>
  <si>
    <t>Formacion Y Cursos</t>
  </si>
  <si>
    <t>Juegos nómadas gigantes</t>
  </si>
  <si>
    <t>AYUNTAMIENTO ONDA (Centro de Día De Onda)</t>
  </si>
  <si>
    <t>AYUNTAMIENTO DE XILXES (EIM ISABEL GONZALEZ)</t>
  </si>
  <si>
    <t>C SAGRADO CORAZON DE JESUS-ALGINET (ALGINET)</t>
  </si>
  <si>
    <t>CEIP CARLES SALVADOR (CASTELLON)</t>
  </si>
  <si>
    <t>CEIP LA GALIA (ALTABIX ELCHE)</t>
  </si>
  <si>
    <t>CEIP INMACULADA CONCEPCION (TORREVIEJA)</t>
  </si>
  <si>
    <t>CEIP BOQUERES (ALMASSORA)</t>
  </si>
  <si>
    <t>CEIP AZORIN (SAN VICENTE)</t>
  </si>
  <si>
    <t>CEIP EL CASTELL (CORBERA)</t>
  </si>
  <si>
    <t>CEIP ANTONIO GARCIA LOPEZ (VALENCIA)</t>
  </si>
  <si>
    <t>CEIP MAESTRO SERRANO (MISLATA)</t>
  </si>
  <si>
    <t>Catering Alicante</t>
  </si>
  <si>
    <t>CSIC CLIENTES VARIOS (SERRANO 117)</t>
  </si>
  <si>
    <t>Facturacion coste</t>
  </si>
  <si>
    <t>L107:W132</t>
  </si>
  <si>
    <t>Evento</t>
  </si>
  <si>
    <t>Málaga</t>
  </si>
  <si>
    <t>malaga_Personal</t>
  </si>
  <si>
    <t>Caterguay</t>
  </si>
  <si>
    <t>Joan_Avella</t>
  </si>
  <si>
    <t>LIMPIADOR/A</t>
  </si>
  <si>
    <t>Agua embotellada ( 500ml)</t>
  </si>
  <si>
    <t>Cuenta cuentos</t>
  </si>
  <si>
    <t>C.R.A. PALANCIA-ESPADAN</t>
  </si>
  <si>
    <t>C.R.A. PALANCIA-MIJARES</t>
  </si>
  <si>
    <t>C SAN RAFAEL (SAN RAFAEL - LA POBLA DE VALLBONA)</t>
  </si>
  <si>
    <t>CEIP GAETA HUGUET (CASTELLON)</t>
  </si>
  <si>
    <t>CEIP MIGUEL HERNANDEZ (ELCHE)</t>
  </si>
  <si>
    <t>CEIP LA BAIA (LA BAIA -  ELCHE)</t>
  </si>
  <si>
    <t>CEIP COMTESSA LUCENA (LUCENA DEL CID)</t>
  </si>
  <si>
    <t>CEIP BAIX VINALOPO (ELCHE)</t>
  </si>
  <si>
    <t>CEIP MIQUEL ADLERT I NOGUEROL (VALENCIA)</t>
  </si>
  <si>
    <t>CEIP AUSIAS MARCH (ALDAIA)</t>
  </si>
  <si>
    <t>CEIP MIGUEL HERNANDEZ (VALENCIA)</t>
  </si>
  <si>
    <t>Catering Castellon</t>
  </si>
  <si>
    <t>DIRECCION PROVINCIAL DEL INSS DE VALENCIA (INSS)</t>
  </si>
  <si>
    <t>Facturacion ingre</t>
  </si>
  <si>
    <t>Z107:AK132</t>
  </si>
  <si>
    <t>Medio Menu</t>
  </si>
  <si>
    <t>Gratuidades</t>
  </si>
  <si>
    <t>murcia_Personal</t>
  </si>
  <si>
    <t>Catering45</t>
  </si>
  <si>
    <t>Laura_Cucarella</t>
  </si>
  <si>
    <t>Agua Embotellada Catering</t>
  </si>
  <si>
    <t>Gtos. Prevencion Accidentes</t>
  </si>
  <si>
    <t>Baila con foody</t>
  </si>
  <si>
    <t>CEI CAMPAMENT SL (BENIMAMET)</t>
  </si>
  <si>
    <t>CEIP EL BRAÇAL (ESTIVELLA)</t>
  </si>
  <si>
    <t>CEIP DOCTOR SANCHIS GUARNER (LA POBLA LLARGA)</t>
  </si>
  <si>
    <t>CEIP HERRERO (CASTELLON)</t>
  </si>
  <si>
    <t>CEIP MONTE BENACANTIL (ALICANTE)</t>
  </si>
  <si>
    <t>CEIP LA CELADA (VILLENA)</t>
  </si>
  <si>
    <t>CEIP FELICINDA COLLELL (CALIG)</t>
  </si>
  <si>
    <t>CEIP BERNAT DE SARRIA (CALLOSA D'EN SARRIA)</t>
  </si>
  <si>
    <t>CEIP PINTOR TEODORO ANDREU (ALZIRA)</t>
  </si>
  <si>
    <t>CEIP DOCTOR OLORIZ (VALENCIA)</t>
  </si>
  <si>
    <t>CEIP SERRERIA (VALENCIA)</t>
  </si>
  <si>
    <t>Catering Malaga</t>
  </si>
  <si>
    <t>JUAN COMENIUS COOP. V. (VALENCIA)</t>
  </si>
  <si>
    <t>Infantil</t>
  </si>
  <si>
    <t>valencia_Personal</t>
  </si>
  <si>
    <t>Coes</t>
  </si>
  <si>
    <t>Mari_Carmen_Valencia</t>
  </si>
  <si>
    <t>MONITOR 10 HORAS</t>
  </si>
  <si>
    <t>Almuerzo profesores ( tostada con aceite y café) 1 / semana</t>
  </si>
  <si>
    <t>Impresión De Menús ( Agendas, Calendarios,…)</t>
  </si>
  <si>
    <t>Scape school</t>
  </si>
  <si>
    <t>EIM OROPESA DEL MAR</t>
  </si>
  <si>
    <t>CEIP EL BRAÇAL EI EL GARBÍ</t>
  </si>
  <si>
    <t>CEIP MARIA MOLINER (QUART DE POBLET)</t>
  </si>
  <si>
    <t>CEIP JAIME I (VALENCIA)</t>
  </si>
  <si>
    <t>CEIP PARROCO FRANCISCO MAS (CREVILLENTE)</t>
  </si>
  <si>
    <t>CEIP LA FOIA (PETRER)</t>
  </si>
  <si>
    <t>CEIP HISTORIADOR DIAGO (Viver)</t>
  </si>
  <si>
    <t>CEIP COSTA BLANCA (ALICANTE)</t>
  </si>
  <si>
    <t>CEIP SANT MARC (BENIARJO)</t>
  </si>
  <si>
    <t>CEIP EXPLORADOR ANDRES (VALENCIA)</t>
  </si>
  <si>
    <t>CEIP TOMAS ALBERT (ALBUIXECH)</t>
  </si>
  <si>
    <t>Autónoma Alicante</t>
  </si>
  <si>
    <t>Universidad de Murcia (COLEGIO MAYOR AZARBE)</t>
  </si>
  <si>
    <t>Minuta</t>
  </si>
  <si>
    <t>Profesor</t>
  </si>
  <si>
    <t>Colectividad Levante</t>
  </si>
  <si>
    <t>Maria_Jose_Sanchez</t>
  </si>
  <si>
    <t>MONITOR 12,5 HORAS</t>
  </si>
  <si>
    <t>Kilometraje personal cocina</t>
  </si>
  <si>
    <t>Castillos hinchables</t>
  </si>
  <si>
    <t>CEIP LUIS VIVES (XILXES)</t>
  </si>
  <si>
    <t>CEIP PATACONA (ALBORAYA)</t>
  </si>
  <si>
    <t>CEIP LA SABINA (NUMERO 2) (SAN ANTONIO DE BENAGEBER)</t>
  </si>
  <si>
    <t>CEIP SANTA ISABEL (SAN VICENTE)</t>
  </si>
  <si>
    <t>CEIP LA PALOMA (ASPE)</t>
  </si>
  <si>
    <t>CEIP LOPE DE VEGA (LOPE DE VEGA - NULES)</t>
  </si>
  <si>
    <t>CEIP EL CASTILLO (ASPE)</t>
  </si>
  <si>
    <t>CEIP VALL DE LA CASELLA (ALZIRA)</t>
  </si>
  <si>
    <t>CEIP FAUSTO MARTINEZ (VALENCIA)</t>
  </si>
  <si>
    <t>CEIP VIRGEN DEL PATROCINIO (FOIOS)</t>
  </si>
  <si>
    <t>Autónoma Castellon</t>
  </si>
  <si>
    <t>CSIC CLIENTES VARIOS (CLIENTES VARIOS CSIC SERRANO 150)</t>
  </si>
  <si>
    <t>Pension Completa</t>
  </si>
  <si>
    <t>Personal Externo</t>
  </si>
  <si>
    <t>Colevisa</t>
  </si>
  <si>
    <t>Nandy_Mesado</t>
  </si>
  <si>
    <t>MONITOR 15 HORAS</t>
  </si>
  <si>
    <t>Bizcocho</t>
  </si>
  <si>
    <t>Limpieza Alicante Autónoma</t>
  </si>
  <si>
    <t>Actividades de circo</t>
  </si>
  <si>
    <t>CEIP NTRA SRA DEL CARMEN (VALENCIA)</t>
  </si>
  <si>
    <t>CEIP PINTOR ESTRUCH (MANUEL)</t>
  </si>
  <si>
    <t>CEIP LES ARENES (VALENCIA)</t>
  </si>
  <si>
    <t>CEIP VIRGEN DEL ROSARIO (ALBATERA)</t>
  </si>
  <si>
    <t>CEIP MARE DE DEU DE LA SALUT (ONIL)</t>
  </si>
  <si>
    <t>CEIP MESTRE FRANCESC CATALA (BENICARLO)</t>
  </si>
  <si>
    <t>CEIP EUGENI D'ORS (ELCHE)</t>
  </si>
  <si>
    <t>COOP. VALENCIANA DEL CAMP UNIO CRISTIANA (UNIO CRISTIANA - SUECA)</t>
  </si>
  <si>
    <t>CEIP JUAN ANTONIO MARTINEZ TORRES (ALDAIA)</t>
  </si>
  <si>
    <t>COCEDA</t>
  </si>
  <si>
    <t>VALENCIA BASKET LA ALQUERIA</t>
  </si>
  <si>
    <t>Comesco</t>
  </si>
  <si>
    <t>Paula_Garcia</t>
  </si>
  <si>
    <t>MONITOR 17,50 HORAS</t>
  </si>
  <si>
    <t>Bolleria casera distinta cada dia ( coca boba)</t>
  </si>
  <si>
    <t>Limpieza Alicante Catering</t>
  </si>
  <si>
    <t>Actuación batucadas :</t>
  </si>
  <si>
    <t>GEROCLEOP SL (NOVAEDAT)</t>
  </si>
  <si>
    <t>CEIP SAN JOSE CALASANZ (Valencia)</t>
  </si>
  <si>
    <t>CEIP SEVERI TORRES (VILLANUEVA DE CASTELLON)</t>
  </si>
  <si>
    <t>CEIP MALVARROSA (MALVARROSA - VALENCIA)</t>
  </si>
  <si>
    <t>ELIJUCE SL (MUNTORI - CASTALLA)</t>
  </si>
  <si>
    <t>CEIP NTRA SRA DE LAS NIEVES (HONDON)</t>
  </si>
  <si>
    <t>CEIP NTRA SRA BUEN SUCESO (CABANES)</t>
  </si>
  <si>
    <t>CEIP LUIS VIVES (ELCHE)</t>
  </si>
  <si>
    <t>EIM JOAN DE MONTACA</t>
  </si>
  <si>
    <t>CEIP MAESTRO SANCHIS ALMIÑANO (ALAQUAS)</t>
  </si>
  <si>
    <t>CONSORCI COM.SERV.SOC.L'HORTA NORD (MASSAMAGRELL)</t>
  </si>
  <si>
    <t>SAGRADO CORAZON JESUS (GODELLA)</t>
  </si>
  <si>
    <t>Comicole</t>
  </si>
  <si>
    <t>Pilar_Olivar</t>
  </si>
  <si>
    <t>MONITOR 20 HORAS</t>
  </si>
  <si>
    <t>Café con leche</t>
  </si>
  <si>
    <t>Limpieza Castellon Autónoma</t>
  </si>
  <si>
    <t>Actuación cuarteto :música clascia</t>
  </si>
  <si>
    <t>CEIP SAN PEDRO (VALENCIA)</t>
  </si>
  <si>
    <t>CEIP VERGE DELS DESEMPARATS (SILLA)</t>
  </si>
  <si>
    <t>CEIP MESTRE CABALLERO (ONDA)</t>
  </si>
  <si>
    <t>GRUPO FAMILY SCHOOL SL (FAMILY SCHOOL - ALICANTE)</t>
  </si>
  <si>
    <t>CEIP NUESTRA SEÑORA DE LA PAZ (ALICANTE)</t>
  </si>
  <si>
    <t>CEIP SAN AGUSTIN (CASTELLON)</t>
  </si>
  <si>
    <t>CEIP RAFAEL ALTAMIRA (ALICANTE)</t>
  </si>
  <si>
    <t>ENSEÑANZA 2000 S.L. (EL PUIG)</t>
  </si>
  <si>
    <t>CEIP MESTALLA (VALENCIA)</t>
  </si>
  <si>
    <t>EI SAN RAFAEL (TAVERNES BLANQUES)</t>
  </si>
  <si>
    <t>ASOCIACION AFANIAS CASTELLON (AFANIAS PENYETA ROJA)</t>
  </si>
  <si>
    <t>Contalabor</t>
  </si>
  <si>
    <t>Rosa_Maria_Tabares</t>
  </si>
  <si>
    <t>MONITOR 5 HORAS</t>
  </si>
  <si>
    <t>Café con leche /descafeindado/malta/chocolate con leche/ infusion</t>
  </si>
  <si>
    <t>Limpieza Castellon Catering</t>
  </si>
  <si>
    <t>#------------------------------------------------------</t>
  </si>
  <si>
    <t>CENTRO PRIVADO SANTO DOMINGO (VILLANUEVA DE CASTELLON)</t>
  </si>
  <si>
    <t>CEIP PIO XII (Onda)</t>
  </si>
  <si>
    <t>NINOS GESTIO EDUC.COOP.V.UTE-MUTXAMEL (EIM -  MUTXAMEL)</t>
  </si>
  <si>
    <t>CEIP NUMERO 14 (TORREVIEJA)</t>
  </si>
  <si>
    <t>CEIP SAN MIGUEL ARCANGEL (SONEJA)</t>
  </si>
  <si>
    <t>CEIP RAMON CUESTA (SANTA POLA)</t>
  </si>
  <si>
    <t>ESCUELA JARDIN ATENEO SUECO DEL SOCORRO (SUECA)</t>
  </si>
  <si>
    <t>EIM GENT MENUDA-CAMPOAMOR</t>
  </si>
  <si>
    <t>AYUNTAMIENTO DE ASPE (CENTRO DE DÍA VISTAHERMOSA)</t>
  </si>
  <si>
    <t>Eurest</t>
  </si>
  <si>
    <t>Silvia_Payan</t>
  </si>
  <si>
    <t>Limpieza Valencia Autónoma</t>
  </si>
  <si>
    <t xml:space="preserve">TLSV </t>
  </si>
  <si>
    <t>PARROQUIA SAN BARTOLOME (ONDA)</t>
  </si>
  <si>
    <t>COLEGIO MERCERATOR, SL (VALENCIA)</t>
  </si>
  <si>
    <t>COLEGIO SANTIAGO APOSTOL (VALENCIA)</t>
  </si>
  <si>
    <t>CEIP REI EN JAUME (XIRIVELLA)</t>
  </si>
  <si>
    <t>VINALOPÓ ALUMINIO COLOR, SL (VIALCO)</t>
  </si>
  <si>
    <t>CEIP RUPERTO CHAPI (VILLENA)</t>
  </si>
  <si>
    <t>CEIP VERGE FONT DE LA SALUT (TRAIGUERA)</t>
  </si>
  <si>
    <t>CEIP RASPEIG (SAN VICENTE DEL RASPEIG)</t>
  </si>
  <si>
    <t>NIÑO JESUS</t>
  </si>
  <si>
    <t>CEIP SANT ISIDRE (VALENCIA)</t>
  </si>
  <si>
    <t>EMT</t>
  </si>
  <si>
    <t>Gestion Propia</t>
  </si>
  <si>
    <t>Yolanda_Alvarez</t>
  </si>
  <si>
    <t>Chocolatina</t>
  </si>
  <si>
    <t>Limpieza Valencia Catering</t>
  </si>
  <si>
    <t>Almuerzo saludable y sostenible</t>
  </si>
  <si>
    <t>CRUZ ROJA ESPAÑOLA VALENCIA (CENTRO DE DIA PARA PERSONAS ADULTAS CON DISCAPACIDAD “EL CABAÑAL”)</t>
  </si>
  <si>
    <t>NTRA.SRA.DESAMPARADOS C</t>
  </si>
  <si>
    <t>CEIP SAN ONOFRE (QUART DE POBLET)</t>
  </si>
  <si>
    <t>CEIP SAN ANTONIO (ELCHE)</t>
  </si>
  <si>
    <t>CEIP VIRGEN DE GRACIA (ALTURA)</t>
  </si>
  <si>
    <t>CEIP REINA SOFIA (PETRER)</t>
  </si>
  <si>
    <t>CEIP VICENTE GAOS (VALENCIA)</t>
  </si>
  <si>
    <t>Fundación de la Comunidad Valenciana Juan Ignacio Muñoz Bastide (FMBI NEURAL VALENCIA)</t>
  </si>
  <si>
    <t>Intur</t>
  </si>
  <si>
    <t>Yolanda_Real</t>
  </si>
  <si>
    <t>Reducimos el desperdicio en familia</t>
  </si>
  <si>
    <t>SARA MARIN RODRIGUEZ (EI MIESTRELLA - TORRENT)</t>
  </si>
  <si>
    <t>PARROQUIA DE SAN CRISTOBAL MARTIR</t>
  </si>
  <si>
    <t>LOPE CASTELLON SL (LOPE DE VEGA - CASTELLON)</t>
  </si>
  <si>
    <t>CEIP TRINITARIO SEVA (TRINITARIO SEVA - RAFAL)</t>
  </si>
  <si>
    <t>CEIP REYES CATOLICOS (ELCHE)</t>
  </si>
  <si>
    <t>PATRONATO JUVENTUD OBRERA (PATRONATO JUVENTUD OBRERA - SAGRADA FAMILIA - VALENCIA)</t>
  </si>
  <si>
    <t>INSTITUTO SECULAR</t>
  </si>
  <si>
    <t>ASOCIACION APSA (ASOCIACION APSA - ALICANTE)</t>
  </si>
  <si>
    <t>Irco</t>
  </si>
  <si>
    <t>Material Desechable</t>
  </si>
  <si>
    <t>Proveedores de proximidad (animación)</t>
  </si>
  <si>
    <t>UTE PATACONA (ESCUELA INFANTIL PATACONA - VALENCIA)</t>
  </si>
  <si>
    <t>HERMES-VALENTIA GAIA COOP.VALENC. (VALENCIA)</t>
  </si>
  <si>
    <t>PARROQUIA STA.CECILIA (COLEGIO SAGRADO CORAZON - QUART DE POBLET)</t>
  </si>
  <si>
    <t>MARQUES DE DOS AGUAS BETERA</t>
  </si>
  <si>
    <t>CEIP VIRGEN DE LA SALUD (ELDA)</t>
  </si>
  <si>
    <t>FROST TROL, S.A. (Cabanes)</t>
  </si>
  <si>
    <t>CEIP REYES CATOLICOS (PETRER)</t>
  </si>
  <si>
    <t>SAN MIGUEL ARCANGEL</t>
  </si>
  <si>
    <t>La Llar de Burriana</t>
  </si>
  <si>
    <t>Comida profesor FUERA</t>
  </si>
  <si>
    <t>Mto Equipos Alicante Autónoma</t>
  </si>
  <si>
    <t>Escuela libre de residuos (p.e)</t>
  </si>
  <si>
    <t>INGENIERIA PLANA ALTA SA (IPLA)</t>
  </si>
  <si>
    <t>NATUREX IBERIAN PARTNERS,SLU (QUART DE POBLET)</t>
  </si>
  <si>
    <t>CEIP VIRREY POVEDA (PETRER)</t>
  </si>
  <si>
    <t>FUNDACION FLORS (Fundación Flors)</t>
  </si>
  <si>
    <t>FUNDACION SAN JUAN Y SAN PABLO (ibi)</t>
  </si>
  <si>
    <t>Mamidaco</t>
  </si>
  <si>
    <t>Dulce tipico ( rollet de magdalena, …)</t>
  </si>
  <si>
    <t>Mto Equipos Alicante Catering</t>
  </si>
  <si>
    <t>Jornada libre de residuos (gymkhana ifa)</t>
  </si>
  <si>
    <t>SERVALESA, S.L.U. (Quart)</t>
  </si>
  <si>
    <t>PARROQUIA-C SAN MARCELINO OBISPO (VALENCIA)</t>
  </si>
  <si>
    <t>IES RAMON CID (IES RAMON CID - BENICARLO)</t>
  </si>
  <si>
    <t>LOBO NUÑEZ SL (VIRGEN DE LAS NIEVES - ASPE)</t>
  </si>
  <si>
    <t>Mendoza</t>
  </si>
  <si>
    <t xml:space="preserve">ECO 50% de la fruta y verdura </t>
  </si>
  <si>
    <t>Mto Equipos Castellon Autónoma</t>
  </si>
  <si>
    <t>##------------------------------------------------------</t>
  </si>
  <si>
    <t>SOCIEDAD PEDAGOGICA LUZ CASANOVA SL (VALENCIA)</t>
  </si>
  <si>
    <t>SAN FRANCISCO Y SANTO DOMINGO (VILAMARXANT)</t>
  </si>
  <si>
    <t>EL MOLI ONDAS</t>
  </si>
  <si>
    <t>KID´S GARDEN (Castellon)</t>
  </si>
  <si>
    <t>PEÑAFORT - SAN VICENTE</t>
  </si>
  <si>
    <t>Ricochef</t>
  </si>
  <si>
    <t>ECO Arroz</t>
  </si>
  <si>
    <t>Mto Equipos Castellon Catering</t>
  </si>
  <si>
    <t>SOGOOD</t>
  </si>
  <si>
    <t>SOCOLTIE COOP. VALENCIANA (SOCOLTIE)</t>
  </si>
  <si>
    <t>LA MILAGROSA (LA MILAGROSA - SEGORBE)</t>
  </si>
  <si>
    <t>Riquisim</t>
  </si>
  <si>
    <t>ECO Legumbres</t>
  </si>
  <si>
    <t>Mto Equipos Valencia Autónoma</t>
  </si>
  <si>
    <t>Sogood- almuerzo saludable</t>
  </si>
  <si>
    <t>UTE-GEIM (EI PRINCEP FELIP - BURRIANA)</t>
  </si>
  <si>
    <t>SAGRADA FAMILIA JOSEFINAS (ALICANTE)</t>
  </si>
  <si>
    <t>Serunion</t>
  </si>
  <si>
    <t>ECO Pasta</t>
  </si>
  <si>
    <t>Mto Equipos Valencia Catering</t>
  </si>
  <si>
    <t>Sogood- florette</t>
  </si>
  <si>
    <t>Servalia</t>
  </si>
  <si>
    <t>ECO Toda la Fruta</t>
  </si>
  <si>
    <t>Sogood- prot.vegetal/ dia de la fruta/ rueda de ensaladas</t>
  </si>
  <si>
    <t>Sodexo y Fomento (SAE)</t>
  </si>
  <si>
    <t>ECO Toda la fruta y Verdura</t>
  </si>
  <si>
    <t>Produccion Catering Alicante</t>
  </si>
  <si>
    <t>Sogood foodtruck</t>
  </si>
  <si>
    <t>AYUNTAMIENTO DE ELCHE (COMEDOR SOCIAL LOS PALMERALES)</t>
  </si>
  <si>
    <t>Tamar</t>
  </si>
  <si>
    <t>Fartons</t>
  </si>
  <si>
    <t>Produccion Catering Castellon</t>
  </si>
  <si>
    <t>Sogood- foodtruck-entrega produc</t>
  </si>
  <si>
    <t>CALASANCIO</t>
  </si>
  <si>
    <t>Galletas</t>
  </si>
  <si>
    <t>Produccion Catering Valencia</t>
  </si>
  <si>
    <t xml:space="preserve">Sogood- foodtruck-elaboracion </t>
  </si>
  <si>
    <t>Gusanitos</t>
  </si>
  <si>
    <t>Publicidad Y Medios</t>
  </si>
  <si>
    <t>###------------------------------------------------------</t>
  </si>
  <si>
    <t>Helado ( _sabores_)- 2,5kg</t>
  </si>
  <si>
    <t>TABARCA</t>
  </si>
  <si>
    <t>Cocina Central Málaga</t>
  </si>
  <si>
    <t>Helado ( vasito colegial)</t>
  </si>
  <si>
    <t>Sesión 1 - ¿nos defendemos?</t>
  </si>
  <si>
    <t>Helado ( yogur helado)- 2,5kg</t>
  </si>
  <si>
    <t>Suministros Alicante Autónoma</t>
  </si>
  <si>
    <t>CLIENTES VARIOS UNIVERSIDAD EUROPEA VALENCIA</t>
  </si>
  <si>
    <t>Helado corneto</t>
  </si>
  <si>
    <t>Suministros Alicante Catering</t>
  </si>
  <si>
    <t>Sesión 3 - ¿nos relajamos?</t>
  </si>
  <si>
    <t xml:space="preserve">Helado hielo </t>
  </si>
  <si>
    <t>Suministros Castellon Autónoma</t>
  </si>
  <si>
    <t>Sesión 4 - ¿nos atrevemos?”</t>
  </si>
  <si>
    <t xml:space="preserve">Horchata </t>
  </si>
  <si>
    <t>Suministros Castellon Catering</t>
  </si>
  <si>
    <t>Sesión 5 - ¿nos emocionamos?</t>
  </si>
  <si>
    <t>Horchata + 1 Farton</t>
  </si>
  <si>
    <t>Suministros Malaga Autónoma</t>
  </si>
  <si>
    <t>Sesión 6 - ¿nos dejamos llevar?</t>
  </si>
  <si>
    <t>Horchata + 2 Fartons</t>
  </si>
  <si>
    <t>Suministros Malaga Catering</t>
  </si>
  <si>
    <t>Monitores. Sesion 50 min. Bonificable</t>
  </si>
  <si>
    <t>Suministros Valencia Autónoma</t>
  </si>
  <si>
    <t xml:space="preserve">Sesión 1 – noviembre </t>
  </si>
  <si>
    <t>Suministros Valencia Catering</t>
  </si>
  <si>
    <t xml:space="preserve">Sesión 2 – diciembre </t>
  </si>
  <si>
    <t>Limon granizado</t>
  </si>
  <si>
    <t xml:space="preserve">Sesión 3 – enero </t>
  </si>
  <si>
    <t>Uniformes cocina extras</t>
  </si>
  <si>
    <t>Sesión 4 – febrero</t>
  </si>
  <si>
    <t>Uniformes monitor sin zapatos extras</t>
  </si>
  <si>
    <t xml:space="preserve">Sesión 5 - marzo </t>
  </si>
  <si>
    <t>Paella</t>
  </si>
  <si>
    <t xml:space="preserve">Sesión 6 – abril </t>
  </si>
  <si>
    <t>CEIP TEODORO LLORENTE (VALENCIA)</t>
  </si>
  <si>
    <t>Pescado lonja ( envio fresco) bacaladilla, boqueron, sardina.</t>
  </si>
  <si>
    <t>Sesión 7 – mayo</t>
  </si>
  <si>
    <t>CEIP MIGUEL DE CERVANTES (XIRIVELLA)</t>
  </si>
  <si>
    <t>####------------------------------------------------------</t>
  </si>
  <si>
    <t>Tostadas o panecillo blanco o integral</t>
  </si>
  <si>
    <t>CLIENTES VARIOS VODAFONE ESPAÑA</t>
  </si>
  <si>
    <t>Yogur</t>
  </si>
  <si>
    <t>Yogur artesano ( 1 al mes junto a la fruta)</t>
  </si>
  <si>
    <t>VALENCIA DISTRIBUIDORA ANGAL AUTOMOCION, SLU (VALDISA)</t>
  </si>
  <si>
    <t>CEIP TOMAS MONTAÑANA (VALENCIA)</t>
  </si>
  <si>
    <t>Zumo</t>
  </si>
  <si>
    <t>Zumo Natural extra</t>
  </si>
  <si>
    <t>Graduaciones</t>
  </si>
  <si>
    <t>BIOHUB VLC SL</t>
  </si>
  <si>
    <t>FUNDACION ST3 (Madrid)</t>
  </si>
  <si>
    <t>Cocina Central Córdoba</t>
  </si>
  <si>
    <t>ASOCIACION DE FAMILIARES Y PERSONAS CON ENFERMEDAD MENTAL GRAVE DE LA PROVINCIA DE ALICANTE (ASFEME)</t>
  </si>
  <si>
    <t>APMP VIRGEN DE LA ESPERANZA (EL MOLI CO - ONDA)</t>
  </si>
  <si>
    <t>(Cristo Rey) COLEGIO CRISTO REY (JAEN)</t>
  </si>
  <si>
    <t>AFAMO ALZHEIMER</t>
  </si>
  <si>
    <t>Clientes Varios Samboo</t>
  </si>
  <si>
    <t>(Jaume I CEIP) CEIP JAUME I (VINAROS)</t>
  </si>
  <si>
    <t>CEIP NOU PEDRO ALCAZAR (NOU PEDRO ALCAZAR - NULES)</t>
  </si>
  <si>
    <t>FUNDACION CAJASUR-BBK (CEI PADRE NUESTRO)</t>
  </si>
  <si>
    <t>(Jaume l CEIP) C.P. JAIME I-NULES</t>
  </si>
  <si>
    <t>SUNNY SIDE CEI SL (MONCADA)</t>
  </si>
  <si>
    <t>TOMAS DE OSMA</t>
  </si>
  <si>
    <t>Fijo</t>
  </si>
  <si>
    <t>Sustitucion</t>
  </si>
  <si>
    <t>id_partner</t>
  </si>
  <si>
    <t>% Absentismo</t>
  </si>
  <si>
    <t>cliente</t>
  </si>
  <si>
    <t>CUENTA</t>
  </si>
  <si>
    <t>Biohub - VALENCIA</t>
  </si>
  <si>
    <t>(ANTIGUO GONZALEZ GALLARZA) CEIP Amparo Alabau - A</t>
  </si>
  <si>
    <t>4601000003</t>
  </si>
  <si>
    <t>E.I Josep Iturbi - BURRIANA</t>
  </si>
  <si>
    <t>4603000003</t>
  </si>
  <si>
    <t>Enric Valor - MANISES</t>
  </si>
  <si>
    <t>8 de Març - VALENCIA</t>
  </si>
  <si>
    <t>4603001290</t>
  </si>
  <si>
    <t>Mediterrani - MELIANA</t>
  </si>
  <si>
    <t>4601001290</t>
  </si>
  <si>
    <t>CRA Sot de Ferrer - CHOVAR</t>
  </si>
  <si>
    <t>A.D.I.S.A. - ALFAFAR</t>
  </si>
  <si>
    <t>4601001030</t>
  </si>
  <si>
    <t>46188041</t>
  </si>
  <si>
    <t>Cordoba C.C.</t>
  </si>
  <si>
    <t>Amanecer - TORREVIEJA</t>
  </si>
  <si>
    <t>0303003144</t>
  </si>
  <si>
    <t>CRA. Baronia Alta - ALGAR DEL PALANCIA</t>
  </si>
  <si>
    <t>0302003144</t>
  </si>
  <si>
    <t>Segorbe- Alto Palancia- SEGORBE</t>
  </si>
  <si>
    <t>Angelina Carnicer - VALENCIA</t>
  </si>
  <si>
    <t>4601001250</t>
  </si>
  <si>
    <t>Frost Trol - CABANES</t>
  </si>
  <si>
    <t>4603001250</t>
  </si>
  <si>
    <t>Reyes Catolicos - PETRER</t>
  </si>
  <si>
    <t>Antonio Garcia Lopez - VALENCIA</t>
  </si>
  <si>
    <t>4601001260</t>
  </si>
  <si>
    <t>C.O. Afanias - CASTELLON</t>
  </si>
  <si>
    <t>4603005010</t>
  </si>
  <si>
    <t>Cordoba C.C. -DELINATUR</t>
  </si>
  <si>
    <t>Antonio Machado - ALICANTE</t>
  </si>
  <si>
    <t>0303000050</t>
  </si>
  <si>
    <t>03005355 - aut</t>
  </si>
  <si>
    <t>C.P.C.I. Cruz Roja - VALENCIA</t>
  </si>
  <si>
    <t>0301000010</t>
  </si>
  <si>
    <t>La Galia - ELCHE</t>
  </si>
  <si>
    <t>Les Arenes - VALENCIA</t>
  </si>
  <si>
    <t>Antonio Sequeros - BENEJUZAR</t>
  </si>
  <si>
    <t>0302000055</t>
  </si>
  <si>
    <t>Rei en Jaume - XIRIVELLA</t>
  </si>
  <si>
    <t>0303000055</t>
  </si>
  <si>
    <t>Lope de Vega - NULES</t>
  </si>
  <si>
    <t>Apostol Santiago - VALENCIA</t>
  </si>
  <si>
    <t>4603005020</t>
  </si>
  <si>
    <t>El Braçal - ESTIVELLA</t>
  </si>
  <si>
    <t>Apsa - ALICANTE</t>
  </si>
  <si>
    <t>0301000002</t>
  </si>
  <si>
    <t>03049038</t>
  </si>
  <si>
    <t>Aranco - MASSAMAGRELL</t>
  </si>
  <si>
    <t>4602000132</t>
  </si>
  <si>
    <t>96350186</t>
  </si>
  <si>
    <t>CSIC 117-MADRID</t>
  </si>
  <si>
    <t>Asfeme - ELCHE</t>
  </si>
  <si>
    <t>0301001110</t>
  </si>
  <si>
    <t>03997962</t>
  </si>
  <si>
    <t>Equipo fijo sustituciones - VALENCIA</t>
  </si>
  <si>
    <t>Ausias March - ALBORAYA</t>
  </si>
  <si>
    <t>4602000025</t>
  </si>
  <si>
    <t>Costa Blanca - ALICANTE</t>
  </si>
  <si>
    <t>4603000025</t>
  </si>
  <si>
    <t>Francesc Catala - BENICARLO</t>
  </si>
  <si>
    <t>Ausias March - ALDAYA</t>
  </si>
  <si>
    <t>4601000020</t>
  </si>
  <si>
    <t>San Miguel Arcangel - SONEJA</t>
  </si>
  <si>
    <t>4603001040</t>
  </si>
  <si>
    <t>Gent Menuda - VALENCIA</t>
  </si>
  <si>
    <t>Ausias March - ALICANTE</t>
  </si>
  <si>
    <t>0302000006</t>
  </si>
  <si>
    <t>LOGISTICA GENERAL ALICANTE</t>
  </si>
  <si>
    <t>0303004891</t>
  </si>
  <si>
    <t>La Foia - PETRER</t>
  </si>
  <si>
    <t>Ayuntamiento - ALBUIXECH</t>
  </si>
  <si>
    <t>4602000012</t>
  </si>
  <si>
    <t>46032317-eim</t>
  </si>
  <si>
    <t>San Antonio - LA HOYA ELCHE</t>
  </si>
  <si>
    <t>4603000012</t>
  </si>
  <si>
    <t>Ceip La Sabina (Nº 2) - SAN ANTONIO BENAGEBER</t>
  </si>
  <si>
    <t>Azorin - ALICANTE</t>
  </si>
  <si>
    <t>0301003025</t>
  </si>
  <si>
    <t>Explorador Andrés - VALENCIA</t>
  </si>
  <si>
    <t>0303003025</t>
  </si>
  <si>
    <t>Azorin - SAN VICENTE RASPEIG</t>
  </si>
  <si>
    <t>0301003180</t>
  </si>
  <si>
    <t>Reyes Católicos - PETRER</t>
  </si>
  <si>
    <t>0303000231</t>
  </si>
  <si>
    <t>Parroco Francisco Mas - CREVILLENTE</t>
  </si>
  <si>
    <t>Baix Vinalopó - ELCHE</t>
  </si>
  <si>
    <t>0303003120</t>
  </si>
  <si>
    <t>Ceip Rafael Altamira - ALICANTE</t>
  </si>
  <si>
    <t>0301003120</t>
  </si>
  <si>
    <t>4602190001</t>
  </si>
  <si>
    <t>98991326</t>
  </si>
  <si>
    <t>Malvarrosa - VALENCIA</t>
  </si>
  <si>
    <t>C. Dia Reina Sofia - MASAMAGRELL</t>
  </si>
  <si>
    <t>4602001131</t>
  </si>
  <si>
    <t>9620102E</t>
  </si>
  <si>
    <t>DR. Sanchis Guarner - POBLA LLARGA</t>
  </si>
  <si>
    <t>C.C. - MALAGA</t>
  </si>
  <si>
    <t>2912102901</t>
  </si>
  <si>
    <t>EST</t>
  </si>
  <si>
    <t>Reyes Católicos - ELCHE</t>
  </si>
  <si>
    <t>C.C. Alicante</t>
  </si>
  <si>
    <t>0308003001</t>
  </si>
  <si>
    <t>E.I. San Rafael - TAVERNES BLANQUES</t>
  </si>
  <si>
    <t>Gaeta Huguet - CASTELLON</t>
  </si>
  <si>
    <t>CRA Montanejos - MONTANEJOS</t>
  </si>
  <si>
    <t>Camp de Turia - BETERA</t>
  </si>
  <si>
    <t>LOGISTICA GENERAL VALENCIA</t>
  </si>
  <si>
    <t>0304003001</t>
  </si>
  <si>
    <t>ALC00000</t>
  </si>
  <si>
    <t>Ceip Eugeni D`ors - ELCHE</t>
  </si>
  <si>
    <t>0305003001</t>
  </si>
  <si>
    <t>I.E.S Ramon Cid - BENICARLO</t>
  </si>
  <si>
    <t>0307003001</t>
  </si>
  <si>
    <t>Pio XII - ONDA</t>
  </si>
  <si>
    <t>0309003001</t>
  </si>
  <si>
    <t>CEIP Severi Torres - VILLANUEVA CASTELLON</t>
  </si>
  <si>
    <t>0312083001</t>
  </si>
  <si>
    <t>Virgen del Patrocinio - FOIOS</t>
  </si>
  <si>
    <t>0312103001</t>
  </si>
  <si>
    <t>Reina Sofia - PETRER</t>
  </si>
  <si>
    <t>0314153001</t>
  </si>
  <si>
    <t>Tomas Albert - ALBUIXECH</t>
  </si>
  <si>
    <t>C.C. Malaga</t>
  </si>
  <si>
    <t>2904002901</t>
  </si>
  <si>
    <t>MLG00000</t>
  </si>
  <si>
    <t>Virgen de Gracia - ALTURA</t>
  </si>
  <si>
    <t>C.C. Puzol</t>
  </si>
  <si>
    <t>4604004601</t>
  </si>
  <si>
    <t>VLC00000</t>
  </si>
  <si>
    <t>Penyeta Roja - CASTELLON</t>
  </si>
  <si>
    <t>4606004601</t>
  </si>
  <si>
    <t>Virgen del Rosario - ALBATERA</t>
  </si>
  <si>
    <t>4608004601</t>
  </si>
  <si>
    <t>4614034601</t>
  </si>
  <si>
    <t>Mercedes-Benz Valdisa - MASSANASSA</t>
  </si>
  <si>
    <t>4614154601</t>
  </si>
  <si>
    <t>Patronato Juventud - VALENCIA</t>
  </si>
  <si>
    <t>4609004601</t>
  </si>
  <si>
    <t>La Celada - VILLENA</t>
  </si>
  <si>
    <t>4614024601</t>
  </si>
  <si>
    <t>C.O. Adiscap - POBLA DE VALLBONA</t>
  </si>
  <si>
    <t>4602002165</t>
  </si>
  <si>
    <t>46129060</t>
  </si>
  <si>
    <t>Universidad Europea-VALENCIA</t>
  </si>
  <si>
    <t>1201002040</t>
  </si>
  <si>
    <t>12014965</t>
  </si>
  <si>
    <t>Trinitario Seva - RAFAL</t>
  </si>
  <si>
    <t>C.O. Reina Sofia - MASAMAGRELL</t>
  </si>
  <si>
    <t>4602001130</t>
  </si>
  <si>
    <t>Nstra Sra del Carmen - VALENCIA</t>
  </si>
  <si>
    <t>C.P. San Onofre - QUART</t>
  </si>
  <si>
    <t>4603000322</t>
  </si>
  <si>
    <t>4602000275</t>
  </si>
  <si>
    <t>San Agustin - CASTELLON</t>
  </si>
  <si>
    <t>Cafeteria Alqueria del Basquet - VALENCIA</t>
  </si>
  <si>
    <t>460120</t>
  </si>
  <si>
    <t>Dr. Oloriz - VALENCIA</t>
  </si>
  <si>
    <t>4601000090</t>
  </si>
  <si>
    <t>Santa Isabel - SAN VICENTE</t>
  </si>
  <si>
    <t>4603000090</t>
  </si>
  <si>
    <t>Sant. Sacramento - ALICANTE</t>
  </si>
  <si>
    <t>Carles Salvador - CASTELLON</t>
  </si>
  <si>
    <t>1202000095</t>
  </si>
  <si>
    <t>Juan Comenius -VALENCIA</t>
  </si>
  <si>
    <t>1203002095</t>
  </si>
  <si>
    <t>Serrería - VALENCIA</t>
  </si>
  <si>
    <t>Carrasquer - SUECA</t>
  </si>
  <si>
    <t>4602000357</t>
  </si>
  <si>
    <t>INSS cafeteria - VALENCIA</t>
  </si>
  <si>
    <t>4603000357</t>
  </si>
  <si>
    <t>Juan Comenius - VALENCIA</t>
  </si>
  <si>
    <t>Cavite - VALENCIA</t>
  </si>
  <si>
    <t>4601000280</t>
  </si>
  <si>
    <t>San Marc - BENIARJO</t>
  </si>
  <si>
    <t>4603000280</t>
  </si>
  <si>
    <t>La Bahia - ELCHE</t>
  </si>
  <si>
    <t>CEIP 14  - TORREVIEJA - ALICANTE</t>
  </si>
  <si>
    <t>0301004902</t>
  </si>
  <si>
    <t>Ceip Miguel Hernandez - ELCHE</t>
  </si>
  <si>
    <t>0303008680</t>
  </si>
  <si>
    <t>Ceip Boqueres - ALMAZORA</t>
  </si>
  <si>
    <t>CEIP Amanecer - TORREVIEJA</t>
  </si>
  <si>
    <t>0301003260</t>
  </si>
  <si>
    <t>Ceip Bernat d`en Sarria - CALLOSA D`EN SARRIA</t>
  </si>
  <si>
    <t>0301002268</t>
  </si>
  <si>
    <t>La Baia - ELCHE</t>
  </si>
  <si>
    <t>0303002268</t>
  </si>
  <si>
    <t>CEIP Vall de la Casella - ALZIRA</t>
  </si>
  <si>
    <t>1201000224</t>
  </si>
  <si>
    <t>Ceip Raspeig - SAN VICENTE DE RASPEIG</t>
  </si>
  <si>
    <t>1203001224</t>
  </si>
  <si>
    <t>CEIP El Braçal - ESTIVELLA</t>
  </si>
  <si>
    <t>4602000067</t>
  </si>
  <si>
    <t>Mestre Caballero -  ONDA</t>
  </si>
  <si>
    <t>0301004600</t>
  </si>
  <si>
    <t>Jaime I - VALENCIA</t>
  </si>
  <si>
    <t>0303004600</t>
  </si>
  <si>
    <t>Ntra. Sra. Desamparados - NAZARET</t>
  </si>
  <si>
    <t>Ceip Felicinda Collell - CALIG</t>
  </si>
  <si>
    <t>1202001110</t>
  </si>
  <si>
    <t>Luis Vives - ELCHE</t>
  </si>
  <si>
    <t>1203001110</t>
  </si>
  <si>
    <t>Ceip Inmaculada Concepcion - TORREVIEJA</t>
  </si>
  <si>
    <t>0302008666</t>
  </si>
  <si>
    <t>Colegio RR Calasancias - SEVILLA</t>
  </si>
  <si>
    <t>0303008666</t>
  </si>
  <si>
    <t>Sagrado Corazón - QUART DE POBLET</t>
  </si>
  <si>
    <t>4603000199</t>
  </si>
  <si>
    <t>Maestro Fco Catala - BENICARLO</t>
  </si>
  <si>
    <t>Ceip La Sabina (Nº2) - SAN ANTONIO DE BENAGEBER</t>
  </si>
  <si>
    <t>4601000199</t>
  </si>
  <si>
    <t>Comedor Social - AYT. ELCHE</t>
  </si>
  <si>
    <t>CEIP María Moliner - QUART DE POBLET</t>
  </si>
  <si>
    <t>4601001190</t>
  </si>
  <si>
    <t>4603001190</t>
  </si>
  <si>
    <t>0301001069</t>
  </si>
  <si>
    <t>Giner de los Rios - VALENCIA</t>
  </si>
  <si>
    <t>0303001069</t>
  </si>
  <si>
    <t>Teodoro Llorente - VALENCIA</t>
  </si>
  <si>
    <t>Ceip Pintor Estruch - MANUEL</t>
  </si>
  <si>
    <t>4602000140</t>
  </si>
  <si>
    <t>Tomas de Montañana - VALENCIA</t>
  </si>
  <si>
    <t>4603000140</t>
  </si>
  <si>
    <t>Virgen de la Salud - ELDA</t>
  </si>
  <si>
    <t>Ceip Pintor Teodoro Andreu - ALZIRA</t>
  </si>
  <si>
    <t>4601000030</t>
  </si>
  <si>
    <t>Virrey Poveda - PETRER</t>
  </si>
  <si>
    <t>4603000030</t>
  </si>
  <si>
    <t>Mestalla - VALENCIA</t>
  </si>
  <si>
    <t>0301003565</t>
  </si>
  <si>
    <t>Maestro Serrano - MISLATA</t>
  </si>
  <si>
    <t>0303003565</t>
  </si>
  <si>
    <t>El Castillo - ASPE</t>
  </si>
  <si>
    <t>0301000651</t>
  </si>
  <si>
    <t>0303000651</t>
  </si>
  <si>
    <t>San Cristobal Martir I - PICASSENT</t>
  </si>
  <si>
    <t>4601005411</t>
  </si>
  <si>
    <t>Ramon Cuesta - SANTA POLA</t>
  </si>
  <si>
    <t>4603005411</t>
  </si>
  <si>
    <t>4601000021</t>
  </si>
  <si>
    <t>4603000021</t>
  </si>
  <si>
    <t>Colegio Natividad Calasancias - MADRID</t>
  </si>
  <si>
    <t>Cent Dia - CABAÑAL</t>
  </si>
  <si>
    <t>4602000276</t>
  </si>
  <si>
    <t>2866001G</t>
  </si>
  <si>
    <t>Centro Social Campus Espinardo - MURCIA</t>
  </si>
  <si>
    <t>0301000006</t>
  </si>
  <si>
    <t>Vicente Gaos - VALENCIA</t>
  </si>
  <si>
    <t>4601100020</t>
  </si>
  <si>
    <t>28012901</t>
  </si>
  <si>
    <t>Santo Domingo y San Francisco - VILLAMARCHANTE</t>
  </si>
  <si>
    <t>1401004090</t>
  </si>
  <si>
    <t>4100269</t>
  </si>
  <si>
    <t>Miguel Cervantes - XIRIVELLA</t>
  </si>
  <si>
    <t>1403004090</t>
  </si>
  <si>
    <t>0301000004</t>
  </si>
  <si>
    <t>0306500J</t>
  </si>
  <si>
    <t>Miquel Aldlert -  VALENCIA</t>
  </si>
  <si>
    <t>Comedor Social Ayuntamiento de Elche</t>
  </si>
  <si>
    <t>0303000099</t>
  </si>
  <si>
    <t>Comtessa de Lucena - LUCENA DEL CID</t>
  </si>
  <si>
    <t>1201002107</t>
  </si>
  <si>
    <t>Luis Vives - XILXES</t>
  </si>
  <si>
    <t>1203000068</t>
  </si>
  <si>
    <t>Comunidad Josefinas - ALICANTE</t>
  </si>
  <si>
    <t>0301003030</t>
  </si>
  <si>
    <t>03001143-cole</t>
  </si>
  <si>
    <t>Miguel Hernandez - VALENCIA</t>
  </si>
  <si>
    <t>1408001401</t>
  </si>
  <si>
    <t>Patacona - ALBORAYA</t>
  </si>
  <si>
    <t>1404001401</t>
  </si>
  <si>
    <t>CRD00001</t>
  </si>
  <si>
    <t>Nuestra Señora de las Nieves - HONDON</t>
  </si>
  <si>
    <t>1404161401</t>
  </si>
  <si>
    <t>Sagrado Corazón - ALGINET</t>
  </si>
  <si>
    <t>Universo - BENAGUACIL</t>
  </si>
  <si>
    <t>0303004900</t>
  </si>
  <si>
    <t>Nstra Sra Buen Suceso - CABANES</t>
  </si>
  <si>
    <t>Costa Blanca -ALICANTE</t>
  </si>
  <si>
    <t>0301004900</t>
  </si>
  <si>
    <t>Sanchis Almiñano - ALAQUAS</t>
  </si>
  <si>
    <t>CRA Baronia Alta - ALFARA DE LA BARONIA</t>
  </si>
  <si>
    <t>4603000368</t>
  </si>
  <si>
    <t>46027024-alfara</t>
  </si>
  <si>
    <t>CRA Baronia Alta - TORRES TORRES</t>
  </si>
  <si>
    <t>4603000366</t>
  </si>
  <si>
    <t>46027024-torres</t>
  </si>
  <si>
    <t>Martinez Torres - ALDAYA</t>
  </si>
  <si>
    <t>CRA Montan - MONTAN</t>
  </si>
  <si>
    <t>1203000072</t>
  </si>
  <si>
    <t>12006639-montanejos</t>
  </si>
  <si>
    <t>CRA Montanejo - MONTANEJOS</t>
  </si>
  <si>
    <t>1202001205</t>
  </si>
  <si>
    <t>1203000075</t>
  </si>
  <si>
    <t>San Rafael - LA POBLA VALLBONA</t>
  </si>
  <si>
    <t>1203000054</t>
  </si>
  <si>
    <t>12005490-chovar</t>
  </si>
  <si>
    <t>4603000056</t>
  </si>
  <si>
    <t>46027024-algar</t>
  </si>
  <si>
    <t>Sanchis Almiñano - ALACUAS</t>
  </si>
  <si>
    <t>4601100011</t>
  </si>
  <si>
    <t>CSIC 150-MADRID</t>
  </si>
  <si>
    <t>4601100010</t>
  </si>
  <si>
    <t>Divina Pastora - MARTOS</t>
  </si>
  <si>
    <t>2302000661</t>
  </si>
  <si>
    <t>23003053</t>
  </si>
  <si>
    <t>San Jose de Calasanz - VALENCIA</t>
  </si>
  <si>
    <t>4602009280</t>
  </si>
  <si>
    <t>E.V Alqueria del Basquet - VALENCIA</t>
  </si>
  <si>
    <t>4603009280</t>
  </si>
  <si>
    <t>Sagrada Familia Josefina - ALICANTE</t>
  </si>
  <si>
    <t>4602000173</t>
  </si>
  <si>
    <t>4603000294</t>
  </si>
  <si>
    <t>Hnos Gil Sorribes - JERICA</t>
  </si>
  <si>
    <t>E.I Apostol Santiago - VALENCIA</t>
  </si>
  <si>
    <t>4601000299</t>
  </si>
  <si>
    <t>E.I. Diputada Clara Campoamor-VALENCIA</t>
  </si>
  <si>
    <t>1203002007</t>
  </si>
  <si>
    <t>4602000268</t>
  </si>
  <si>
    <t>46033632-campoamor</t>
  </si>
  <si>
    <t>4603000268</t>
  </si>
  <si>
    <t>Vialco -VILLENA</t>
  </si>
  <si>
    <t>4602009260</t>
  </si>
  <si>
    <t>E.I.M Val d`Alba - VALL D`ALBA</t>
  </si>
  <si>
    <t>1201002104</t>
  </si>
  <si>
    <t>Herrero - CASTELLON</t>
  </si>
  <si>
    <t>4602001005</t>
  </si>
  <si>
    <t>Virgen Desamparados - SILLA</t>
  </si>
  <si>
    <t>E.V Ausias March - AYTO MISLATA</t>
  </si>
  <si>
    <t>4602000272</t>
  </si>
  <si>
    <t>EV000000</t>
  </si>
  <si>
    <t>Fundac. San Juan y San Pablo - IBI</t>
  </si>
  <si>
    <t>4603001165</t>
  </si>
  <si>
    <t>Monte Benacantil - ALICANTE</t>
  </si>
  <si>
    <t>El Castell - CORBERA</t>
  </si>
  <si>
    <t>4602000152</t>
  </si>
  <si>
    <t>Historiador Diago - VIVER</t>
  </si>
  <si>
    <t>4603000152</t>
  </si>
  <si>
    <t>Jardin Ateneo Sueco - SUECA</t>
  </si>
  <si>
    <t>0302003020</t>
  </si>
  <si>
    <t>Mare de Deu de la Salut - ONIL</t>
  </si>
  <si>
    <t>0303003020</t>
  </si>
  <si>
    <t>Neural - CASTELLON</t>
  </si>
  <si>
    <t>El Grec - VILLENA</t>
  </si>
  <si>
    <t>0302000146</t>
  </si>
  <si>
    <t>El Moli - ONDA</t>
  </si>
  <si>
    <t>0303000273</t>
  </si>
  <si>
    <t>Fundación ST3 - ELIANA</t>
  </si>
  <si>
    <t>1201002132</t>
  </si>
  <si>
    <t>12028452</t>
  </si>
  <si>
    <t>San Isidro - VALENCIA</t>
  </si>
  <si>
    <t>EMT - Valencia</t>
  </si>
  <si>
    <t>4601009298</t>
  </si>
  <si>
    <t>46318416-sur</t>
  </si>
  <si>
    <t>4603001110</t>
  </si>
  <si>
    <t>46005077</t>
  </si>
  <si>
    <t>Nstra. Sra. de la Paz - ALICANTE</t>
  </si>
  <si>
    <t>4603000001</t>
  </si>
  <si>
    <t>46004346-col</t>
  </si>
  <si>
    <t>Estructura - MALAGA</t>
  </si>
  <si>
    <t>2914000001</t>
  </si>
  <si>
    <t>La Foia- PETRER</t>
  </si>
  <si>
    <t>Estructura General</t>
  </si>
  <si>
    <t>4612080001</t>
  </si>
  <si>
    <t>Sot de Ferrer - SOT DE FERRER</t>
  </si>
  <si>
    <t>1208000001</t>
  </si>
  <si>
    <t>Verge del Patrocini - FOIOS</t>
  </si>
  <si>
    <t>4608000001</t>
  </si>
  <si>
    <t>Lope de Vega - CASTELLON</t>
  </si>
  <si>
    <t>Ceip 14 - TORREVIEJA</t>
  </si>
  <si>
    <t>Fundacion Flors - VILAREAL</t>
  </si>
  <si>
    <t>Ruperto Chapi - VILLENA</t>
  </si>
  <si>
    <t>Sagrado Corazon - GODELLA</t>
  </si>
  <si>
    <t>Jose Garnero - SANTA POLA</t>
  </si>
  <si>
    <t>Niño Jesus - VALENCIA</t>
  </si>
  <si>
    <t>Unió Cristiana . SUECA</t>
  </si>
  <si>
    <t>Fundación IBI - IBI</t>
  </si>
  <si>
    <t>Fausto Martinez - VALENCIA</t>
  </si>
  <si>
    <t>San Rafael - TAVERN. BLANQUES</t>
  </si>
  <si>
    <t>Verge Font Salut -  TRAIGUERA</t>
  </si>
  <si>
    <t>0312000001</t>
  </si>
  <si>
    <t>0317170001</t>
  </si>
  <si>
    <t>San Pedro - VALENCIA</t>
  </si>
  <si>
    <t>1212080001</t>
  </si>
  <si>
    <t>1212100001</t>
  </si>
  <si>
    <t>4609000001</t>
  </si>
  <si>
    <t>Jaime I - PUZOL</t>
  </si>
  <si>
    <t>4610000001</t>
  </si>
  <si>
    <t>La Paloma - ASPE</t>
  </si>
  <si>
    <t>4611000001</t>
  </si>
  <si>
    <t>4612090001</t>
  </si>
  <si>
    <t>ASDISP - LA POBLA DE VALLBONA</t>
  </si>
  <si>
    <t>4612100001</t>
  </si>
  <si>
    <t>4612110001</t>
  </si>
  <si>
    <t>4613120001</t>
  </si>
  <si>
    <t>4613130001</t>
  </si>
  <si>
    <t>4614010001</t>
  </si>
  <si>
    <t>4614020001</t>
  </si>
  <si>
    <t>4615040001</t>
  </si>
  <si>
    <t>4615050001</t>
  </si>
  <si>
    <t>4615060001</t>
  </si>
  <si>
    <t>4615070001</t>
  </si>
  <si>
    <t>4616000001</t>
  </si>
  <si>
    <t>4617170001</t>
  </si>
  <si>
    <t>Eventos varios</t>
  </si>
  <si>
    <t>4602210001</t>
  </si>
  <si>
    <t>4601005090</t>
  </si>
  <si>
    <t>4603005090</t>
  </si>
  <si>
    <t>4601000310</t>
  </si>
  <si>
    <t>4603000310</t>
  </si>
  <si>
    <t>Font Salem - EL PUIG</t>
  </si>
  <si>
    <t>4602001107</t>
  </si>
  <si>
    <t>46984290</t>
  </si>
  <si>
    <t>1202009002</t>
  </si>
  <si>
    <t>1202002103</t>
  </si>
  <si>
    <t>0302003090</t>
  </si>
  <si>
    <t>1201000153</t>
  </si>
  <si>
    <t>Guarderia Kids Garden -CASTELLON</t>
  </si>
  <si>
    <t>1203000153</t>
  </si>
  <si>
    <t>I.E.S Montanejos - MONTANEJOS</t>
  </si>
  <si>
    <t>0303000131</t>
  </si>
  <si>
    <t>Ipla - ALMAZORA</t>
  </si>
  <si>
    <t>4601001106</t>
  </si>
  <si>
    <t>Jaime Balmes - ELCHE</t>
  </si>
  <si>
    <t>1201002050</t>
  </si>
  <si>
    <t>Joan de Montcada- BENIARJO</t>
  </si>
  <si>
    <t>1203002050</t>
  </si>
  <si>
    <t>Marques  Dos Aguas - BETERA</t>
  </si>
  <si>
    <t>4601002260</t>
  </si>
  <si>
    <t>46028892-menuda</t>
  </si>
  <si>
    <t>Mestrte Caballero -  ONDA</t>
  </si>
  <si>
    <t>4603002260</t>
  </si>
  <si>
    <t>Neural C.O. - VALENCIA</t>
  </si>
  <si>
    <t>4601000340</t>
  </si>
  <si>
    <t>Palancia - Mijares - CAUDIEL</t>
  </si>
  <si>
    <t>4603000340</t>
  </si>
  <si>
    <t>Pas a Pas - ALBORAYA</t>
  </si>
  <si>
    <t>1202002021</t>
  </si>
  <si>
    <t>Residencia Sagrado Corazón - GODELLA</t>
  </si>
  <si>
    <t>1201002092</t>
  </si>
  <si>
    <t>Residencia Universitaria Azarbe - Murcia</t>
  </si>
  <si>
    <t>1203002092</t>
  </si>
  <si>
    <t>Reyes Catolicos - ELCHE</t>
  </si>
  <si>
    <t>1201002170</t>
  </si>
  <si>
    <t>RRHH</t>
  </si>
  <si>
    <t>1203002170</t>
  </si>
  <si>
    <t>Sagrado Corazon - QUART DE POBLET</t>
  </si>
  <si>
    <t>1201000064</t>
  </si>
  <si>
    <t>12006639-jerica</t>
  </si>
  <si>
    <t>San Onofre - QUART DE POBLET</t>
  </si>
  <si>
    <t>1203000064</t>
  </si>
  <si>
    <t>Sangosse - QUART DE POBLET</t>
  </si>
  <si>
    <t>1203000074</t>
  </si>
  <si>
    <t>12005571</t>
  </si>
  <si>
    <t>Santisimo Sacramento - ALICANTE</t>
  </si>
  <si>
    <t>1201002925</t>
  </si>
  <si>
    <t>Socotie, C.O. - PUERTO DE SAGUNTO</t>
  </si>
  <si>
    <t>1203002925</t>
  </si>
  <si>
    <t>Sot de Ferrer -AZUEBAR</t>
  </si>
  <si>
    <t>4601000351</t>
  </si>
  <si>
    <t>Verge del Desamparats - SILLA</t>
  </si>
  <si>
    <t>1202000010</t>
  </si>
  <si>
    <t>Virgen de las Nieves - ASPE</t>
  </si>
  <si>
    <t>0301000108</t>
  </si>
  <si>
    <t>Virgen del Belen - JACARILLA</t>
  </si>
  <si>
    <t>4601000300</t>
  </si>
  <si>
    <t>Vodafone- VALENCIA</t>
  </si>
  <si>
    <t>4603000300</t>
  </si>
  <si>
    <t>4603005170</t>
  </si>
  <si>
    <t>4601005170</t>
  </si>
  <si>
    <t>4603000356</t>
  </si>
  <si>
    <t>4603000112</t>
  </si>
  <si>
    <t>46025261-Joan_montcada</t>
  </si>
  <si>
    <t>0301003200</t>
  </si>
  <si>
    <t>0303003250</t>
  </si>
  <si>
    <t>4603001400</t>
  </si>
  <si>
    <t>4601000380</t>
  </si>
  <si>
    <t>0303000102</t>
  </si>
  <si>
    <t>0301000122</t>
  </si>
  <si>
    <t>0302000102</t>
  </si>
  <si>
    <t>0301000202</t>
  </si>
  <si>
    <t>0303000202</t>
  </si>
  <si>
    <t>0301000191</t>
  </si>
  <si>
    <t>0303000191</t>
  </si>
  <si>
    <t>0301000110</t>
  </si>
  <si>
    <t>0303000110</t>
  </si>
  <si>
    <t>0301003022</t>
  </si>
  <si>
    <t>0303003022</t>
  </si>
  <si>
    <t>4602001358</t>
  </si>
  <si>
    <t>4603001358</t>
  </si>
  <si>
    <t>1202000019</t>
  </si>
  <si>
    <t>1203005040</t>
  </si>
  <si>
    <t>1202002030</t>
  </si>
  <si>
    <t>1203002030</t>
  </si>
  <si>
    <t>0301000126</t>
  </si>
  <si>
    <t>0303000107</t>
  </si>
  <si>
    <t>0303000120</t>
  </si>
  <si>
    <t>0301000115</t>
  </si>
  <si>
    <t>1201002180</t>
  </si>
  <si>
    <t>1203002185</t>
  </si>
  <si>
    <t>1203000031</t>
  </si>
  <si>
    <t>4601001160</t>
  </si>
  <si>
    <t>4603001160</t>
  </si>
  <si>
    <t>4602005225</t>
  </si>
  <si>
    <t>4603005225</t>
  </si>
  <si>
    <t>0302000115</t>
  </si>
  <si>
    <t>0303003175</t>
  </si>
  <si>
    <t>4603001122</t>
  </si>
  <si>
    <t>46001989-col</t>
  </si>
  <si>
    <t>4603001021</t>
  </si>
  <si>
    <t>4601001021</t>
  </si>
  <si>
    <t>4603000150</t>
  </si>
  <si>
    <t>46005375</t>
  </si>
  <si>
    <t>460217</t>
  </si>
  <si>
    <t>4601000430</t>
  </si>
  <si>
    <t>4602000430</t>
  </si>
  <si>
    <t>4603000430</t>
  </si>
  <si>
    <t>1203002103</t>
  </si>
  <si>
    <t>1201002103</t>
  </si>
  <si>
    <t>4601000392</t>
  </si>
  <si>
    <t>4603000392</t>
  </si>
  <si>
    <t>4601000440</t>
  </si>
  <si>
    <t>4603000440</t>
  </si>
  <si>
    <t>4601000450</t>
  </si>
  <si>
    <t>4603005260</t>
  </si>
  <si>
    <t>0301004901</t>
  </si>
  <si>
    <t>0303004901</t>
  </si>
  <si>
    <t>1202000091</t>
  </si>
  <si>
    <t>98117062</t>
  </si>
  <si>
    <t>4602001291</t>
  </si>
  <si>
    <t>4601000460</t>
  </si>
  <si>
    <t>46011961-resi</t>
  </si>
  <si>
    <t>4603000460</t>
  </si>
  <si>
    <t>1201002930</t>
  </si>
  <si>
    <t>1203002950</t>
  </si>
  <si>
    <t>4603005267</t>
  </si>
  <si>
    <t>4601000455</t>
  </si>
  <si>
    <t>0302003099</t>
  </si>
  <si>
    <t>0303006310</t>
  </si>
  <si>
    <t>4603000283</t>
  </si>
  <si>
    <t>4602000283</t>
  </si>
  <si>
    <t>0302005100</t>
  </si>
  <si>
    <t>0303004120</t>
  </si>
  <si>
    <t>1202003005</t>
  </si>
  <si>
    <t>0301002250</t>
  </si>
  <si>
    <t>0303002250</t>
  </si>
  <si>
    <t>4602001020</t>
  </si>
  <si>
    <t>4601001010</t>
  </si>
  <si>
    <t>4603001010</t>
  </si>
  <si>
    <t>4601000600</t>
  </si>
  <si>
    <t>4603001410</t>
  </si>
  <si>
    <t>1201002141</t>
  </si>
  <si>
    <t>1203000101</t>
  </si>
  <si>
    <t>1201000101</t>
  </si>
  <si>
    <t>PIO XII - ONDA</t>
  </si>
  <si>
    <t>0203010101</t>
  </si>
  <si>
    <t>0301003251</t>
  </si>
  <si>
    <t>0303003251</t>
  </si>
  <si>
    <t>4602000390</t>
  </si>
  <si>
    <t>46015563-pri</t>
  </si>
  <si>
    <t>4603000390</t>
  </si>
  <si>
    <t>0302000130</t>
  </si>
  <si>
    <t>0303000130</t>
  </si>
  <si>
    <t>4601001121</t>
  </si>
  <si>
    <t>2802305I-resi</t>
  </si>
  <si>
    <t>0301000003</t>
  </si>
  <si>
    <t>0301000104</t>
  </si>
  <si>
    <t>0303000104</t>
  </si>
  <si>
    <t>0301003132</t>
  </si>
  <si>
    <t>0302003132</t>
  </si>
  <si>
    <t>0303003132</t>
  </si>
  <si>
    <t>031101</t>
  </si>
  <si>
    <t>0301003272</t>
  </si>
  <si>
    <t>0303003272</t>
  </si>
  <si>
    <t>0302003920</t>
  </si>
  <si>
    <t>0303005018</t>
  </si>
  <si>
    <t>4603001060</t>
  </si>
  <si>
    <t>4602001060</t>
  </si>
  <si>
    <t>4601000120</t>
  </si>
  <si>
    <t>4603000120</t>
  </si>
  <si>
    <t>4601001200</t>
  </si>
  <si>
    <t>4602001200</t>
  </si>
  <si>
    <t>4603001201</t>
  </si>
  <si>
    <t>1202000030</t>
  </si>
  <si>
    <t>1203005065</t>
  </si>
  <si>
    <t>0301000105</t>
  </si>
  <si>
    <t>0303000105</t>
  </si>
  <si>
    <t>4601001179</t>
  </si>
  <si>
    <t>46006616-aut</t>
  </si>
  <si>
    <t>4601000500</t>
  </si>
  <si>
    <t>4603000500</t>
  </si>
  <si>
    <t>4601000510</t>
  </si>
  <si>
    <t>4603000510</t>
  </si>
  <si>
    <t>4601006100</t>
  </si>
  <si>
    <t>46025261-joan_montcada</t>
  </si>
  <si>
    <t>4602006100</t>
  </si>
  <si>
    <t>4603006100</t>
  </si>
  <si>
    <t>1202002065</t>
  </si>
  <si>
    <t>46002258-col</t>
  </si>
  <si>
    <t>1203002065</t>
  </si>
  <si>
    <t>4601001192</t>
  </si>
  <si>
    <t>4603005400</t>
  </si>
  <si>
    <t>4601005400</t>
  </si>
  <si>
    <t>4602000215</t>
  </si>
  <si>
    <t>4603000215</t>
  </si>
  <si>
    <t>4603000360</t>
  </si>
  <si>
    <t>4603001002</t>
  </si>
  <si>
    <t>4601001002</t>
  </si>
  <si>
    <t>4602000199</t>
  </si>
  <si>
    <t>22249296</t>
  </si>
  <si>
    <t>0303005025</t>
  </si>
  <si>
    <t>0301003185</t>
  </si>
  <si>
    <t>0303003185</t>
  </si>
  <si>
    <t>0302004030</t>
  </si>
  <si>
    <t>4603009290</t>
  </si>
  <si>
    <t>4600079</t>
  </si>
  <si>
    <t>1202000062</t>
  </si>
  <si>
    <t>12005337</t>
  </si>
  <si>
    <t>4601005410</t>
  </si>
  <si>
    <t>4603005410</t>
  </si>
  <si>
    <t>4602000232</t>
  </si>
  <si>
    <t>46185658</t>
  </si>
  <si>
    <t>1202003066</t>
  </si>
  <si>
    <t>12005490-sot</t>
  </si>
  <si>
    <t>1203003066</t>
  </si>
  <si>
    <t>12005490-azuebar</t>
  </si>
  <si>
    <t>4601000540</t>
  </si>
  <si>
    <t>4603000540</t>
  </si>
  <si>
    <t>4602001025</t>
  </si>
  <si>
    <t>46000456-ceip</t>
  </si>
  <si>
    <t>4603001025</t>
  </si>
  <si>
    <t>4601000550</t>
  </si>
  <si>
    <t>4603000550</t>
  </si>
  <si>
    <t>0302000221</t>
  </si>
  <si>
    <t>0303000221</t>
  </si>
  <si>
    <t>4602000355</t>
  </si>
  <si>
    <t>4603000355</t>
  </si>
  <si>
    <t>460222</t>
  </si>
  <si>
    <t>4601001068</t>
  </si>
  <si>
    <t>4603001068</t>
  </si>
  <si>
    <t>4601000200</t>
  </si>
  <si>
    <t>4601000110</t>
  </si>
  <si>
    <t>1202002850</t>
  </si>
  <si>
    <t>1203002850</t>
  </si>
  <si>
    <t>0302000143</t>
  </si>
  <si>
    <t>54947783</t>
  </si>
  <si>
    <t>4601000560</t>
  </si>
  <si>
    <t>4603000560</t>
  </si>
  <si>
    <t>1202002920</t>
  </si>
  <si>
    <t>1203002920</t>
  </si>
  <si>
    <t>0302000113</t>
  </si>
  <si>
    <t>0303000113</t>
  </si>
  <si>
    <t>0302000061</t>
  </si>
  <si>
    <t>03002676</t>
  </si>
  <si>
    <t>0303000103</t>
  </si>
  <si>
    <t>03006165</t>
  </si>
  <si>
    <t>4603000180</t>
  </si>
  <si>
    <t>0303002210</t>
  </si>
  <si>
    <t>0301002210</t>
  </si>
  <si>
    <t>4603000352</t>
  </si>
  <si>
    <t>0302000193</t>
  </si>
  <si>
    <t>0303000193</t>
  </si>
  <si>
    <t>4602180004</t>
  </si>
  <si>
    <t>80907397</t>
  </si>
  <si>
    <t>Agrupación</t>
  </si>
  <si>
    <t>Tipo de Servicio</t>
  </si>
  <si>
    <t>Centro</t>
  </si>
  <si>
    <t>Servicio</t>
  </si>
  <si>
    <t>Tipo de menú</t>
  </si>
  <si>
    <t>Concepto</t>
  </si>
  <si>
    <t>PRECIO</t>
  </si>
  <si>
    <t>antiguo</t>
  </si>
  <si>
    <t>Ambos</t>
  </si>
  <si>
    <t>Agua embotellada (1,5)</t>
  </si>
  <si>
    <t>Todos</t>
  </si>
  <si>
    <t>Chocolate A La Taza</t>
  </si>
  <si>
    <t xml:space="preserve">Huevo Con Sorpresa       </t>
  </si>
  <si>
    <t xml:space="preserve">Huevo Sin Sorpresa         </t>
  </si>
  <si>
    <t>Jornada Gastronomica- Menú Especial</t>
  </si>
  <si>
    <t xml:space="preserve">Menú Profesores Cortesia </t>
  </si>
  <si>
    <t>Picnic                                   </t>
  </si>
  <si>
    <t>Valenciana</t>
  </si>
  <si>
    <t>Zumo Naranja En Sustitución 1 Fruta</t>
  </si>
  <si>
    <t>Zumo Naranja Extra</t>
  </si>
  <si>
    <t>Andalucia</t>
  </si>
  <si>
    <t>Castellón</t>
  </si>
  <si>
    <t>Autónoma</t>
  </si>
  <si>
    <t>Falta dato</t>
  </si>
  <si>
    <t>Alergias_Sin_Envasar</t>
  </si>
  <si>
    <t>Sevilla</t>
  </si>
  <si>
    <t>Jaén</t>
  </si>
  <si>
    <t>Dietas</t>
  </si>
  <si>
    <t>_Irco</t>
  </si>
  <si>
    <t>PLUS FESTIVOS DOMINICALES</t>
  </si>
  <si>
    <t>PLUS OTROS FESTIVOS</t>
  </si>
  <si>
    <t>SANCIONES</t>
  </si>
  <si>
    <t>Seguridad Social</t>
  </si>
  <si>
    <t>SALARIO TOTAL</t>
  </si>
  <si>
    <t>COMPLEMENTO 1 mes</t>
  </si>
  <si>
    <t>ABSENT.</t>
  </si>
  <si>
    <t>SE.SOCIAL</t>
  </si>
  <si>
    <t>Total complementos mes año</t>
  </si>
  <si>
    <t>SUPERVISOR</t>
  </si>
  <si>
    <t>DIETISTA</t>
  </si>
  <si>
    <t>CONDUCTOR</t>
  </si>
  <si>
    <t>ALMACENERO</t>
  </si>
  <si>
    <t>PINCHE</t>
  </si>
  <si>
    <t>MONITOR ESTATAL (SMI)</t>
  </si>
  <si>
    <t>*</t>
  </si>
  <si>
    <t>CASTELLON</t>
  </si>
  <si>
    <t>AUXILIAR DE COLECTIVIDADES</t>
  </si>
  <si>
    <t>Vb</t>
  </si>
  <si>
    <t>Vc</t>
  </si>
  <si>
    <t>AUXILIAR DE LÍNEA</t>
  </si>
  <si>
    <t>ALBACETE</t>
  </si>
  <si>
    <t>A</t>
  </si>
  <si>
    <t>B</t>
  </si>
  <si>
    <t>C</t>
  </si>
  <si>
    <t>D</t>
  </si>
  <si>
    <t>AYTE. DE COCINA O CAMARERO</t>
  </si>
  <si>
    <t>E</t>
  </si>
  <si>
    <t>AUXILIAR DE COCINA / CAT.</t>
  </si>
  <si>
    <t>F</t>
  </si>
  <si>
    <t>AERTE/LARES</t>
  </si>
  <si>
    <t>AYDTE. OF. VARIOS</t>
  </si>
  <si>
    <t>OCIO_T.LIBRE</t>
  </si>
  <si>
    <t>COORDINADOR MONITORES</t>
  </si>
  <si>
    <t>ENSEÑANZA PRIVADA SOSTENIDA TOTAL O PARCIALMENTE CON FONDOS PÚBLICOS (Ojo!, paga 25 años)</t>
  </si>
  <si>
    <t>CUIDADOR</t>
  </si>
  <si>
    <t>MADRID</t>
  </si>
  <si>
    <t>VIGILANTE PATIO &gt;11H.</t>
  </si>
  <si>
    <t>VI</t>
  </si>
  <si>
    <t>VIGILANTE PATIO &lt;11H.</t>
  </si>
  <si>
    <t>CUENCA</t>
  </si>
  <si>
    <t>RESIDENCIAS_PRIVADAS_MADRID</t>
  </si>
  <si>
    <t>ENSEÑANZA PRIVADA MADRID</t>
  </si>
  <si>
    <t>LIMPIEZA MADRID</t>
  </si>
  <si>
    <t>ALMERÍA</t>
  </si>
  <si>
    <t>ENC. CENTRO</t>
  </si>
  <si>
    <t>ADMINISTRATIVO</t>
  </si>
  <si>
    <t>TECNICO</t>
  </si>
  <si>
    <t>AUXILIAR DE PISOS</t>
  </si>
  <si>
    <t>CÓRDOBA</t>
  </si>
  <si>
    <t>JEFE PARTIDA/SECTOR</t>
  </si>
  <si>
    <t>JEFE DE SALA</t>
  </si>
  <si>
    <t>MONTADOR DE CATERING</t>
  </si>
  <si>
    <t>CÁDIZ</t>
  </si>
  <si>
    <t>ANIMADOR</t>
  </si>
  <si>
    <t>SEVILLA</t>
  </si>
  <si>
    <t>LAVANDERA</t>
  </si>
  <si>
    <t>MOZOS DE ALMACEN</t>
  </si>
  <si>
    <t>BADAJOZ</t>
  </si>
  <si>
    <t>AYUDANTE SERVICIOS AUXILIARES</t>
  </si>
  <si>
    <t>JAÉN</t>
  </si>
  <si>
    <t>1.70</t>
  </si>
  <si>
    <t>1.65</t>
  </si>
  <si>
    <t>1.55</t>
  </si>
  <si>
    <t>2º JEFE DE COCINA</t>
  </si>
  <si>
    <t>1.60</t>
  </si>
  <si>
    <t>1.45</t>
  </si>
  <si>
    <t>1.50</t>
  </si>
  <si>
    <t>1.40</t>
  </si>
  <si>
    <t>GRANADA</t>
  </si>
  <si>
    <t>GERENTE DE CENTRO</t>
  </si>
  <si>
    <t>RESPONSABLE DE SERVICIO</t>
  </si>
  <si>
    <t>MÁLAGA</t>
  </si>
  <si>
    <t>JEFE DE EQUIPO</t>
  </si>
  <si>
    <t>AUXILIAR ADMINISTRATIVO</t>
  </si>
  <si>
    <t>PREPARADORES</t>
  </si>
  <si>
    <t>MOZOS FREGADEROS</t>
  </si>
  <si>
    <t>MARMITONES</t>
  </si>
  <si>
    <t>LAS PALMAS-TENERIFE</t>
  </si>
  <si>
    <t>AYUDANTE ADMINISTRATIVO</t>
  </si>
  <si>
    <t>HUELVA</t>
  </si>
  <si>
    <t>3</t>
  </si>
  <si>
    <t>Version_14_06052024_abs_mcr_mod</t>
  </si>
  <si>
    <t>Alberto Romero</t>
  </si>
  <si>
    <t>Granada</t>
  </si>
  <si>
    <t>jaen_Personal</t>
  </si>
  <si>
    <t>granada_Personal</t>
  </si>
  <si>
    <t>sevilla_Personal</t>
  </si>
  <si>
    <t>Minuta Comedor (sin IVA)</t>
  </si>
  <si>
    <t>PLUS PERSONAL</t>
  </si>
  <si>
    <t>bruto mensual para el trabajador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</si>
</sst>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5" formatCode="#,##0\ &quot;€&quot;;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0.0%"/>
    <numFmt numFmtId="166" formatCode="#,##0.0"/>
    <numFmt numFmtId="167" formatCode="0.000%"/>
    <numFmt numFmtId="168" formatCode="[$-C0A]mmm\-yy;@"/>
    <numFmt numFmtId="169" formatCode="#,##0.00_ ;[Red]\-#,##0.00\ "/>
    <numFmt numFmtId="170" formatCode="#,##0_ ;[Red]\-#,##0\ "/>
    <numFmt numFmtId="171" formatCode="#,##0.0_ ;[Red]\-#,##0.0\ "/>
    <numFmt numFmtId="172" formatCode="_-* #,##0.00\ [$€-C0A]_-;\-* #,##0.00\ [$€-C0A]_-;_-* &quot;-&quot;??\ [$€-C0A]_-;_-@_-"/>
    <numFmt numFmtId="173" formatCode="0.000"/>
    <numFmt numFmtId="174" formatCode="#,##0.00\ &quot;€&quot;"/>
    <numFmt numFmtId="175" formatCode="#,##0\ &quot;€&quot;"/>
    <numFmt numFmtId="176" formatCode="d\-m\-yyyy;@"/>
    <numFmt numFmtId="177" formatCode="_-* #,##0\ _P_t_s_-;\-* #,##0\ _P_t_s_-;_-* &quot;-&quot;\ _P_t_s_-;_-@_-"/>
    <numFmt numFmtId="178" formatCode="_-* #,##0.00\ _P_t_s_-;\-* #,##0.00\ _P_t_s_-;_-* &quot;-&quot;??\ _P_t_s_-;_-@_-"/>
    <numFmt numFmtId="179" formatCode="_-* #,##0\ _P_t_s_-;\-* #,##0\ _P_t_s_-;_-* &quot;-&quot;??\ _P_t_s_-;_-@_-"/>
    <numFmt numFmtId="180" formatCode="0.0000"/>
    <numFmt numFmtId="181" formatCode="#,##0.000_ ;[Red]\-#,##0.000\ "/>
    <numFmt numFmtId="182" formatCode="#,##0.0000_ ;[Red]\-#,##0.0000\ "/>
    <numFmt numFmtId="183" formatCode="_-* #,##0_-;\-* #,##0_-;_-* &quot;-&quot;??_-;_-@_-"/>
    <numFmt numFmtId="184" formatCode="_-* #,##0.000\ _P_t_s_-;\-* #,##0.000\ _P_t_s_-;_-* &quot;-&quot;??\ _P_t_s_-;_-@_-"/>
    <numFmt numFmtId="185" formatCode="_-* #,##0\ &quot;€&quot;_-;\-* #,##0\ &quot;€&quot;_-;_-* &quot;-&quot;??\ &quot;€&quot;_-;_-@_-"/>
    <numFmt numFmtId="186" formatCode="0.00\ %;\-0.00\ %;0.00\ %"/>
    <numFmt numFmtId="187" formatCode="_-* #,##0.000\ &quot;€&quot;_-;\-* #,##0.000\ &quot;€&quot;_-;_-* &quot;-&quot;??\ &quot;€&quot;_-;_-@_-"/>
  </numFmts>
  <fonts count="8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rgb="FFFFFFFF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ontserrat Light"/>
    </font>
    <font>
      <sz val="10"/>
      <color theme="0"/>
      <name val="Montserrat Light"/>
    </font>
    <font>
      <b/>
      <sz val="10"/>
      <color theme="0"/>
      <name val="Montserrat Light"/>
    </font>
    <font>
      <b/>
      <sz val="10"/>
      <name val="Montserrat Light"/>
    </font>
    <font>
      <b/>
      <sz val="12"/>
      <color theme="0"/>
      <name val="Montserrat Light"/>
    </font>
    <font>
      <sz val="12"/>
      <name val="Montserrat Light"/>
    </font>
    <font>
      <b/>
      <sz val="12"/>
      <color theme="1"/>
      <name val="Montserrat Light"/>
    </font>
    <font>
      <b/>
      <sz val="10"/>
      <color rgb="FFFF0000"/>
      <name val="Montserrat Light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rgb="FFC00000"/>
      <name val="Montserrat Light"/>
    </font>
    <font>
      <b/>
      <sz val="10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8"/>
      <color theme="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9"/>
      <color theme="2" tint="-9.9978637043366805E-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name val="Aptos Narrow"/>
      <family val="2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2"/>
      <color theme="1"/>
      <name val="Arial"/>
      <family val="2"/>
    </font>
    <font>
      <b/>
      <sz val="9"/>
      <color rgb="FF00B050"/>
      <name val="Arial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0"/>
      <color rgb="FFFF0000"/>
      <name val="Arial"/>
      <family val="2"/>
    </font>
    <font>
      <b/>
      <sz val="11"/>
      <name val="Aptos Narrow"/>
      <family val="2"/>
    </font>
    <font>
      <sz val="20"/>
      <name val="Arial"/>
      <family val="2"/>
    </font>
    <font>
      <sz val="18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0"/>
      <color rgb="FF0000FF"/>
      <name val="Montserrat Light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EF1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6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2E1B"/>
      </left>
      <right/>
      <top style="thin">
        <color rgb="FFB72E1B"/>
      </top>
      <bottom style="thin">
        <color rgb="FFB72E1B"/>
      </bottom>
      <diagonal/>
    </border>
    <border>
      <left/>
      <right style="thin">
        <color rgb="FFB72E1B"/>
      </right>
      <top style="thin">
        <color rgb="FFB72E1B"/>
      </top>
      <bottom style="thin">
        <color rgb="FFB72E1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rgb="FF993300"/>
      </left>
      <right/>
      <top style="thin">
        <color rgb="FFC00000"/>
      </top>
      <bottom style="thin">
        <color rgb="FF993300"/>
      </bottom>
      <diagonal/>
    </border>
    <border>
      <left/>
      <right style="thin">
        <color rgb="FF993300"/>
      </right>
      <top style="thin">
        <color rgb="FFC00000"/>
      </top>
      <bottom style="thin">
        <color rgb="FF993300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/>
      <top/>
      <bottom/>
      <diagonal/>
    </border>
    <border>
      <left/>
      <right style="double">
        <color theme="4" tint="-0.24994659260841701"/>
      </right>
      <top/>
      <bottom/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366092"/>
      </left>
      <right/>
      <top/>
      <bottom/>
      <diagonal/>
    </border>
    <border>
      <left style="thin">
        <color rgb="FF366092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31869B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rgb="FF31869B"/>
      </right>
      <top style="thin">
        <color theme="0"/>
      </top>
      <bottom style="thin">
        <color auto="1"/>
      </bottom>
      <diagonal/>
    </border>
    <border>
      <left style="thin">
        <color rgb="FF31869B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31869B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indexed="64"/>
      </top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medium">
        <color indexed="64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medium">
        <color indexed="64"/>
      </top>
      <bottom style="hair">
        <color rgb="FF0070C0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medium">
        <color indexed="64"/>
      </bottom>
      <diagonal/>
    </border>
    <border>
      <left style="hair">
        <color rgb="FF0070C0"/>
      </left>
      <right/>
      <top style="hair">
        <color rgb="FF0070C0"/>
      </top>
      <bottom style="medium">
        <color indexed="64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medium">
        <color indexed="64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/>
      <diagonal/>
    </border>
    <border>
      <left style="medium">
        <color rgb="FF0070C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 style="hair">
        <color rgb="FF0070C0"/>
      </bottom>
      <diagonal/>
    </border>
    <border>
      <left/>
      <right style="medium">
        <color rgb="FF0070C0"/>
      </right>
      <top style="medium">
        <color indexed="64"/>
      </top>
      <bottom style="hair">
        <color rgb="FF0070C0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rgb="FF31869B"/>
      </left>
      <right/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/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/>
      <diagonal/>
    </border>
    <border>
      <left style="thin">
        <color rgb="FF95B3D7"/>
      </left>
      <right style="thin">
        <color auto="1"/>
      </right>
      <top style="thin">
        <color auto="1"/>
      </top>
      <bottom/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/>
      <bottom style="thin">
        <color theme="3" tint="0.79998168889431442"/>
      </bottom>
      <diagonal/>
    </border>
    <border>
      <left style="thin">
        <color auto="1"/>
      </left>
      <right style="thin">
        <color rgb="FF95B3D7"/>
      </right>
      <top/>
      <bottom/>
      <diagonal/>
    </border>
    <border>
      <left style="thin">
        <color rgb="FF95B3D7"/>
      </left>
      <right style="thin">
        <color auto="1"/>
      </right>
      <top/>
      <bottom/>
      <diagonal/>
    </border>
    <border>
      <left style="thin">
        <color auto="1"/>
      </left>
      <right style="thin">
        <color rgb="FF95B3D7"/>
      </right>
      <top/>
      <bottom style="thin">
        <color rgb="FF95B3D7"/>
      </bottom>
      <diagonal/>
    </border>
    <border>
      <left style="thin">
        <color rgb="FF95B3D7"/>
      </left>
      <right style="thin">
        <color auto="1"/>
      </right>
      <top/>
      <bottom style="thin">
        <color rgb="FF95B3D7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auto="1"/>
      </bottom>
      <diagonal/>
    </border>
    <border>
      <left style="thin">
        <color auto="1"/>
      </left>
      <right/>
      <top style="thin">
        <color theme="3" tint="0.79998168889431442"/>
      </top>
      <bottom style="thin">
        <color auto="1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auto="1"/>
      </bottom>
      <diagonal/>
    </border>
  </borders>
  <cellStyleXfs count="32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/>
    <xf numFmtId="0" fontId="21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177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/>
    <xf numFmtId="44" fontId="5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89">
    <xf numFmtId="0" fontId="0" fillId="0" borderId="0" xfId="0"/>
    <xf numFmtId="0" fontId="8" fillId="0" borderId="0" xfId="0" applyFont="1"/>
    <xf numFmtId="0" fontId="13" fillId="0" borderId="0" xfId="0" applyFont="1"/>
    <xf numFmtId="0" fontId="19" fillId="9" borderId="0" xfId="0" applyFont="1" applyFill="1" applyAlignment="1">
      <alignment textRotation="90"/>
    </xf>
    <xf numFmtId="4" fontId="12" fillId="9" borderId="17" xfId="0" applyNumberFormat="1" applyFont="1" applyFill="1" applyBorder="1" applyAlignment="1">
      <alignment horizontal="center" vertical="center" wrapText="1"/>
    </xf>
    <xf numFmtId="0" fontId="10" fillId="13" borderId="0" xfId="0" applyFont="1" applyFill="1"/>
    <xf numFmtId="0" fontId="9" fillId="0" borderId="0" xfId="0" applyFont="1"/>
    <xf numFmtId="0" fontId="8" fillId="0" borderId="0" xfId="8"/>
    <xf numFmtId="4" fontId="9" fillId="0" borderId="0" xfId="0" applyNumberFormat="1" applyFont="1" applyAlignment="1">
      <alignment horizontal="center"/>
    </xf>
    <xf numFmtId="0" fontId="26" fillId="15" borderId="0" xfId="0" applyFont="1" applyFill="1"/>
    <xf numFmtId="0" fontId="26" fillId="15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30" fillId="0" borderId="0" xfId="0" applyFont="1"/>
    <xf numFmtId="2" fontId="0" fillId="0" borderId="0" xfId="0" applyNumberFormat="1"/>
    <xf numFmtId="0" fontId="33" fillId="0" borderId="0" xfId="0" applyFont="1"/>
    <xf numFmtId="0" fontId="27" fillId="0" borderId="0" xfId="0" applyFont="1"/>
    <xf numFmtId="0" fontId="27" fillId="0" borderId="0" xfId="0" applyFont="1" applyAlignment="1">
      <alignment vertical="center"/>
    </xf>
    <xf numFmtId="0" fontId="27" fillId="4" borderId="0" xfId="0" applyFont="1" applyFill="1"/>
    <xf numFmtId="0" fontId="38" fillId="0" borderId="0" xfId="0" applyFont="1" applyAlignment="1">
      <alignment horizontal="center"/>
    </xf>
    <xf numFmtId="2" fontId="27" fillId="0" borderId="0" xfId="0" applyNumberFormat="1" applyFont="1" applyAlignment="1">
      <alignment horizontal="center" vertical="center"/>
    </xf>
    <xf numFmtId="1" fontId="27" fillId="4" borderId="0" xfId="0" applyNumberFormat="1" applyFont="1" applyFill="1" applyAlignment="1">
      <alignment horizontal="center"/>
    </xf>
    <xf numFmtId="3" fontId="24" fillId="4" borderId="0" xfId="0" applyNumberFormat="1" applyFont="1" applyFill="1" applyAlignment="1">
      <alignment horizontal="center"/>
    </xf>
    <xf numFmtId="172" fontId="30" fillId="0" borderId="0" xfId="0" applyNumberFormat="1" applyFont="1"/>
    <xf numFmtId="0" fontId="30" fillId="11" borderId="0" xfId="0" applyFont="1" applyFill="1"/>
    <xf numFmtId="172" fontId="30" fillId="11" borderId="0" xfId="0" applyNumberFormat="1" applyFont="1" applyFill="1"/>
    <xf numFmtId="175" fontId="32" fillId="16" borderId="33" xfId="0" applyNumberFormat="1" applyFont="1" applyFill="1" applyBorder="1"/>
    <xf numFmtId="0" fontId="32" fillId="16" borderId="34" xfId="0" applyFont="1" applyFill="1" applyBorder="1"/>
    <xf numFmtId="175" fontId="32" fillId="16" borderId="34" xfId="0" applyNumberFormat="1" applyFont="1" applyFill="1" applyBorder="1"/>
    <xf numFmtId="0" fontId="30" fillId="16" borderId="35" xfId="0" applyFont="1" applyFill="1" applyBorder="1"/>
    <xf numFmtId="0" fontId="30" fillId="0" borderId="36" xfId="0" applyFont="1" applyBorder="1"/>
    <xf numFmtId="0" fontId="30" fillId="0" borderId="37" xfId="0" applyFont="1" applyBorder="1"/>
    <xf numFmtId="0" fontId="30" fillId="11" borderId="0" xfId="0" applyFont="1" applyFill="1" applyAlignment="1">
      <alignment horizontal="center"/>
    </xf>
    <xf numFmtId="0" fontId="30" fillId="0" borderId="0" xfId="0" applyFont="1" applyAlignment="1">
      <alignment horizontal="right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174" fontId="30" fillId="0" borderId="0" xfId="0" applyNumberFormat="1" applyFont="1"/>
    <xf numFmtId="0" fontId="30" fillId="0" borderId="39" xfId="0" applyFont="1" applyBorder="1"/>
    <xf numFmtId="174" fontId="30" fillId="0" borderId="39" xfId="0" applyNumberFormat="1" applyFont="1" applyBorder="1"/>
    <xf numFmtId="0" fontId="30" fillId="0" borderId="40" xfId="0" applyFont="1" applyBorder="1"/>
    <xf numFmtId="0" fontId="37" fillId="0" borderId="0" xfId="0" applyFont="1"/>
    <xf numFmtId="0" fontId="32" fillId="16" borderId="0" xfId="0" applyFont="1" applyFill="1"/>
    <xf numFmtId="175" fontId="32" fillId="16" borderId="0" xfId="0" applyNumberFormat="1" applyFont="1" applyFill="1" applyAlignment="1">
      <alignment horizontal="center"/>
    </xf>
    <xf numFmtId="175" fontId="32" fillId="16" borderId="0" xfId="0" applyNumberFormat="1" applyFont="1" applyFill="1"/>
    <xf numFmtId="175" fontId="30" fillId="11" borderId="0" xfId="0" applyNumberFormat="1" applyFont="1" applyFill="1"/>
    <xf numFmtId="0" fontId="33" fillId="11" borderId="0" xfId="0" applyFont="1" applyFill="1"/>
    <xf numFmtId="0" fontId="33" fillId="11" borderId="0" xfId="0" applyFont="1" applyFill="1" applyAlignment="1">
      <alignment horizontal="right"/>
    </xf>
    <xf numFmtId="175" fontId="33" fillId="11" borderId="0" xfId="0" applyNumberFormat="1" applyFont="1" applyFill="1" applyAlignment="1">
      <alignment horizontal="center"/>
    </xf>
    <xf numFmtId="2" fontId="33" fillId="11" borderId="0" xfId="0" applyNumberFormat="1" applyFont="1" applyFill="1"/>
    <xf numFmtId="0" fontId="33" fillId="11" borderId="0" xfId="0" applyFont="1" applyFill="1" applyAlignment="1">
      <alignment horizontal="center"/>
    </xf>
    <xf numFmtId="0" fontId="35" fillId="11" borderId="0" xfId="0" applyFont="1" applyFill="1"/>
    <xf numFmtId="0" fontId="43" fillId="0" borderId="0" xfId="0" applyFont="1"/>
    <xf numFmtId="0" fontId="44" fillId="0" borderId="0" xfId="0" applyFont="1"/>
    <xf numFmtId="174" fontId="0" fillId="0" borderId="0" xfId="0" applyNumberFormat="1"/>
    <xf numFmtId="0" fontId="0" fillId="0" borderId="42" xfId="0" applyBorder="1"/>
    <xf numFmtId="0" fontId="43" fillId="0" borderId="11" xfId="0" applyFont="1" applyBorder="1"/>
    <xf numFmtId="0" fontId="43" fillId="0" borderId="41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0" fontId="43" fillId="0" borderId="13" xfId="0" applyFont="1" applyBorder="1"/>
    <xf numFmtId="0" fontId="43" fillId="0" borderId="0" xfId="0" applyFont="1" applyAlignment="1">
      <alignment horizontal="center"/>
    </xf>
    <xf numFmtId="0" fontId="43" fillId="0" borderId="14" xfId="0" applyFont="1" applyBorder="1" applyAlignment="1">
      <alignment horizontal="center"/>
    </xf>
    <xf numFmtId="174" fontId="0" fillId="0" borderId="14" xfId="0" applyNumberFormat="1" applyBorder="1"/>
    <xf numFmtId="0" fontId="43" fillId="0" borderId="15" xfId="0" applyFont="1" applyBorder="1"/>
    <xf numFmtId="174" fontId="0" fillId="0" borderId="42" xfId="0" applyNumberFormat="1" applyBorder="1"/>
    <xf numFmtId="174" fontId="0" fillId="0" borderId="16" xfId="0" applyNumberFormat="1" applyBorder="1"/>
    <xf numFmtId="174" fontId="0" fillId="0" borderId="41" xfId="0" applyNumberFormat="1" applyBorder="1"/>
    <xf numFmtId="174" fontId="0" fillId="0" borderId="12" xfId="0" applyNumberFormat="1" applyBorder="1"/>
    <xf numFmtId="0" fontId="43" fillId="0" borderId="21" xfId="0" applyFont="1" applyBorder="1"/>
    <xf numFmtId="174" fontId="0" fillId="0" borderId="22" xfId="0" applyNumberFormat="1" applyBorder="1"/>
    <xf numFmtId="174" fontId="0" fillId="0" borderId="23" xfId="0" applyNumberFormat="1" applyBorder="1"/>
    <xf numFmtId="0" fontId="0" fillId="0" borderId="14" xfId="0" applyBorder="1"/>
    <xf numFmtId="1" fontId="0" fillId="0" borderId="0" xfId="0" applyNumberFormat="1"/>
    <xf numFmtId="0" fontId="0" fillId="0" borderId="16" xfId="0" applyBorder="1"/>
    <xf numFmtId="174" fontId="8" fillId="0" borderId="42" xfId="0" applyNumberFormat="1" applyFont="1" applyBorder="1"/>
    <xf numFmtId="0" fontId="0" fillId="0" borderId="12" xfId="0" applyBorder="1"/>
    <xf numFmtId="0" fontId="43" fillId="11" borderId="11" xfId="0" applyFont="1" applyFill="1" applyBorder="1"/>
    <xf numFmtId="2" fontId="0" fillId="11" borderId="41" xfId="0" applyNumberFormat="1" applyFill="1" applyBorder="1"/>
    <xf numFmtId="165" fontId="0" fillId="11" borderId="41" xfId="2" applyNumberFormat="1" applyFont="1" applyFill="1" applyBorder="1"/>
    <xf numFmtId="0" fontId="0" fillId="11" borderId="12" xfId="0" applyFill="1" applyBorder="1"/>
    <xf numFmtId="0" fontId="43" fillId="11" borderId="15" xfId="0" applyFont="1" applyFill="1" applyBorder="1"/>
    <xf numFmtId="2" fontId="0" fillId="11" borderId="42" xfId="0" applyNumberFormat="1" applyFill="1" applyBorder="1"/>
    <xf numFmtId="165" fontId="0" fillId="11" borderId="42" xfId="2" applyNumberFormat="1" applyFont="1" applyFill="1" applyBorder="1"/>
    <xf numFmtId="0" fontId="0" fillId="11" borderId="16" xfId="0" applyFill="1" applyBorder="1"/>
    <xf numFmtId="0" fontId="0" fillId="0" borderId="41" xfId="0" applyBorder="1"/>
    <xf numFmtId="0" fontId="0" fillId="0" borderId="13" xfId="0" applyBorder="1"/>
    <xf numFmtId="0" fontId="0" fillId="0" borderId="15" xfId="0" applyBorder="1"/>
    <xf numFmtId="0" fontId="0" fillId="0" borderId="11" xfId="0" applyBorder="1"/>
    <xf numFmtId="0" fontId="44" fillId="0" borderId="41" xfId="0" applyFont="1" applyBorder="1"/>
    <xf numFmtId="0" fontId="27" fillId="0" borderId="0" xfId="0" applyFont="1" applyAlignment="1" applyProtection="1">
      <alignment vertical="center"/>
      <protection locked="0"/>
    </xf>
    <xf numFmtId="0" fontId="33" fillId="0" borderId="50" xfId="0" applyFont="1" applyBorder="1" applyAlignment="1">
      <alignment horizontal="center"/>
    </xf>
    <xf numFmtId="9" fontId="33" fillId="0" borderId="51" xfId="0" applyNumberFormat="1" applyFont="1" applyBorder="1" applyAlignment="1">
      <alignment horizontal="center"/>
    </xf>
    <xf numFmtId="0" fontId="33" fillId="0" borderId="52" xfId="0" applyFont="1" applyBorder="1" applyAlignment="1">
      <alignment horizontal="center"/>
    </xf>
    <xf numFmtId="174" fontId="33" fillId="0" borderId="51" xfId="0" applyNumberFormat="1" applyFont="1" applyBorder="1"/>
    <xf numFmtId="2" fontId="33" fillId="0" borderId="51" xfId="0" applyNumberFormat="1" applyFont="1" applyBorder="1" applyAlignment="1">
      <alignment horizontal="center"/>
    </xf>
    <xf numFmtId="174" fontId="32" fillId="16" borderId="0" xfId="0" applyNumberFormat="1" applyFont="1" applyFill="1"/>
    <xf numFmtId="0" fontId="30" fillId="11" borderId="0" xfId="0" applyFont="1" applyFill="1" applyProtection="1">
      <protection locked="0"/>
    </xf>
    <xf numFmtId="0" fontId="33" fillId="11" borderId="0" xfId="0" applyFont="1" applyFill="1" applyProtection="1">
      <protection locked="0"/>
    </xf>
    <xf numFmtId="0" fontId="0" fillId="0" borderId="0" xfId="0" applyProtection="1">
      <protection locked="0"/>
    </xf>
    <xf numFmtId="174" fontId="8" fillId="0" borderId="0" xfId="0" applyNumberFormat="1" applyFont="1"/>
    <xf numFmtId="174" fontId="47" fillId="0" borderId="0" xfId="0" applyNumberFormat="1" applyFont="1"/>
    <xf numFmtId="0" fontId="4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7" fillId="0" borderId="0" xfId="0" applyFont="1"/>
    <xf numFmtId="174" fontId="46" fillId="0" borderId="0" xfId="0" applyNumberFormat="1" applyFont="1" applyAlignment="1">
      <alignment horizontal="center"/>
    </xf>
    <xf numFmtId="174" fontId="46" fillId="0" borderId="0" xfId="0" applyNumberFormat="1" applyFont="1"/>
    <xf numFmtId="0" fontId="0" fillId="3" borderId="0" xfId="0" applyFill="1"/>
    <xf numFmtId="0" fontId="1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48" fillId="5" borderId="0" xfId="0" applyFont="1" applyFill="1"/>
    <xf numFmtId="174" fontId="48" fillId="5" borderId="0" xfId="0" applyNumberFormat="1" applyFont="1" applyFill="1"/>
    <xf numFmtId="0" fontId="0" fillId="20" borderId="0" xfId="0" applyFill="1" applyProtection="1">
      <protection locked="0"/>
    </xf>
    <xf numFmtId="2" fontId="27" fillId="0" borderId="0" xfId="0" applyNumberFormat="1" applyFont="1" applyAlignment="1" applyProtection="1">
      <alignment horizontal="center" vertical="center"/>
      <protection locked="0"/>
    </xf>
    <xf numFmtId="0" fontId="11" fillId="2" borderId="0" xfId="8" applyFont="1" applyFill="1"/>
    <xf numFmtId="176" fontId="11" fillId="2" borderId="0" xfId="8" quotePrefix="1" applyNumberFormat="1" applyFont="1" applyFill="1"/>
    <xf numFmtId="14" fontId="22" fillId="13" borderId="0" xfId="0" applyNumberFormat="1" applyFont="1" applyFill="1"/>
    <xf numFmtId="173" fontId="9" fillId="0" borderId="0" xfId="0" applyNumberFormat="1" applyFont="1"/>
    <xf numFmtId="0" fontId="28" fillId="0" borderId="0" xfId="0" applyFont="1" applyAlignment="1" applyProtection="1">
      <alignment vertical="center"/>
      <protection locked="0"/>
    </xf>
    <xf numFmtId="0" fontId="11" fillId="2" borderId="0" xfId="8" applyFont="1" applyFill="1" applyAlignment="1">
      <alignment horizontal="center"/>
    </xf>
    <xf numFmtId="0" fontId="11" fillId="4" borderId="0" xfId="8" applyFont="1" applyFill="1"/>
    <xf numFmtId="176" fontId="11" fillId="2" borderId="0" xfId="8" quotePrefix="1" applyNumberFormat="1" applyFont="1" applyFill="1" applyAlignment="1">
      <alignment horizontal="center"/>
    </xf>
    <xf numFmtId="0" fontId="24" fillId="0" borderId="0" xfId="0" applyFont="1" applyAlignment="1">
      <alignment horizontal="left" vertical="center"/>
    </xf>
    <xf numFmtId="0" fontId="17" fillId="2" borderId="0" xfId="8" applyFont="1" applyFill="1" applyAlignment="1">
      <alignment horizontal="center"/>
    </xf>
    <xf numFmtId="3" fontId="24" fillId="4" borderId="0" xfId="0" applyNumberFormat="1" applyFont="1" applyFill="1"/>
    <xf numFmtId="0" fontId="27" fillId="0" borderId="0" xfId="0" applyFont="1" applyAlignment="1">
      <alignment horizontal="center"/>
    </xf>
    <xf numFmtId="0" fontId="24" fillId="0" borderId="0" xfId="0" applyFont="1" applyAlignment="1">
      <alignment vertical="center"/>
    </xf>
    <xf numFmtId="0" fontId="24" fillId="0" borderId="28" xfId="0" applyFont="1" applyBorder="1" applyAlignment="1">
      <alignment vertical="center"/>
    </xf>
    <xf numFmtId="0" fontId="17" fillId="25" borderId="18" xfId="8" applyFont="1" applyFill="1" applyBorder="1" applyAlignment="1">
      <alignment horizontal="center"/>
    </xf>
    <xf numFmtId="0" fontId="11" fillId="0" borderId="0" xfId="8" applyFont="1"/>
    <xf numFmtId="0" fontId="11" fillId="12" borderId="0" xfId="8" applyFont="1" applyFill="1"/>
    <xf numFmtId="0" fontId="11" fillId="4" borderId="0" xfId="8" applyFont="1" applyFill="1" applyAlignment="1">
      <alignment horizontal="center"/>
    </xf>
    <xf numFmtId="0" fontId="17" fillId="2" borderId="0" xfId="8" applyFont="1" applyFill="1" applyAlignment="1">
      <alignment horizontal="right"/>
    </xf>
    <xf numFmtId="0" fontId="17" fillId="4" borderId="0" xfId="8" applyFont="1" applyFill="1"/>
    <xf numFmtId="0" fontId="11" fillId="17" borderId="56" xfId="8" applyFont="1" applyFill="1" applyBorder="1"/>
    <xf numFmtId="0" fontId="11" fillId="17" borderId="7" xfId="8" applyFont="1" applyFill="1" applyBorder="1"/>
    <xf numFmtId="0" fontId="11" fillId="17" borderId="58" xfId="8" applyFont="1" applyFill="1" applyBorder="1"/>
    <xf numFmtId="0" fontId="17" fillId="4" borderId="0" xfId="8" applyFont="1" applyFill="1" applyAlignment="1">
      <alignment horizontal="right"/>
    </xf>
    <xf numFmtId="0" fontId="17" fillId="4" borderId="0" xfId="8" applyFont="1" applyFill="1" applyAlignment="1">
      <alignment horizontal="center"/>
    </xf>
    <xf numFmtId="0" fontId="17" fillId="2" borderId="56" xfId="8" applyFont="1" applyFill="1" applyBorder="1" applyAlignment="1">
      <alignment horizontal="center"/>
    </xf>
    <xf numFmtId="170" fontId="17" fillId="12" borderId="57" xfId="25" applyNumberFormat="1" applyFont="1" applyFill="1" applyBorder="1" applyAlignment="1" applyProtection="1">
      <alignment horizontal="center" vertical="center"/>
    </xf>
    <xf numFmtId="170" fontId="11" fillId="4" borderId="0" xfId="25" applyNumberFormat="1" applyFont="1" applyFill="1" applyBorder="1" applyAlignment="1" applyProtection="1">
      <alignment horizontal="center" vertical="center"/>
      <protection locked="0"/>
    </xf>
    <xf numFmtId="170" fontId="17" fillId="0" borderId="57" xfId="25" applyNumberFormat="1" applyFont="1" applyFill="1" applyBorder="1" applyAlignment="1" applyProtection="1">
      <alignment horizontal="center" vertical="center"/>
    </xf>
    <xf numFmtId="169" fontId="17" fillId="12" borderId="57" xfId="25" applyNumberFormat="1" applyFont="1" applyFill="1" applyBorder="1" applyAlignment="1" applyProtection="1">
      <alignment horizontal="center" vertical="center"/>
    </xf>
    <xf numFmtId="169" fontId="17" fillId="2" borderId="57" xfId="25" applyNumberFormat="1" applyFont="1" applyFill="1" applyBorder="1" applyAlignment="1" applyProtection="1">
      <alignment horizontal="center" vertical="center"/>
    </xf>
    <xf numFmtId="179" fontId="11" fillId="0" borderId="0" xfId="26" applyNumberFormat="1" applyFont="1" applyFill="1" applyBorder="1" applyAlignment="1" applyProtection="1">
      <alignment horizontal="center" vertical="center"/>
    </xf>
    <xf numFmtId="179" fontId="17" fillId="0" borderId="0" xfId="26" applyNumberFormat="1" applyFont="1" applyFill="1" applyBorder="1" applyAlignment="1" applyProtection="1">
      <alignment horizontal="center"/>
    </xf>
    <xf numFmtId="179" fontId="11" fillId="4" borderId="0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center"/>
    </xf>
    <xf numFmtId="165" fontId="0" fillId="0" borderId="0" xfId="2" applyNumberFormat="1" applyFont="1"/>
    <xf numFmtId="3" fontId="19" fillId="9" borderId="60" xfId="0" applyNumberFormat="1" applyFont="1" applyFill="1" applyBorder="1" applyAlignment="1">
      <alignment horizontal="center" vertical="center" wrapText="1"/>
    </xf>
    <xf numFmtId="0" fontId="0" fillId="0" borderId="61" xfId="0" applyBorder="1"/>
    <xf numFmtId="0" fontId="0" fillId="8" borderId="62" xfId="0" applyFill="1" applyBorder="1"/>
    <xf numFmtId="167" fontId="9" fillId="0" borderId="62" xfId="2" applyNumberFormat="1" applyFont="1" applyBorder="1"/>
    <xf numFmtId="3" fontId="9" fillId="0" borderId="62" xfId="0" applyNumberFormat="1" applyFont="1" applyBorder="1" applyAlignment="1">
      <alignment horizontal="center"/>
    </xf>
    <xf numFmtId="4" fontId="9" fillId="0" borderId="62" xfId="0" applyNumberFormat="1" applyFont="1" applyBorder="1" applyAlignment="1">
      <alignment horizontal="left"/>
    </xf>
    <xf numFmtId="49" fontId="9" fillId="0" borderId="62" xfId="0" applyNumberFormat="1" applyFont="1" applyBorder="1" applyAlignment="1">
      <alignment horizontal="center" vertical="center" wrapText="1"/>
    </xf>
    <xf numFmtId="4" fontId="9" fillId="0" borderId="62" xfId="0" applyNumberFormat="1" applyFont="1" applyBorder="1" applyAlignment="1">
      <alignment vertical="center" wrapText="1"/>
    </xf>
    <xf numFmtId="4" fontId="9" fillId="0" borderId="62" xfId="0" applyNumberFormat="1" applyFont="1" applyBorder="1" applyAlignment="1">
      <alignment horizontal="center" vertical="center" wrapText="1"/>
    </xf>
    <xf numFmtId="4" fontId="9" fillId="3" borderId="62" xfId="0" applyNumberFormat="1" applyFont="1" applyFill="1" applyBorder="1" applyAlignment="1">
      <alignment horizontal="center" vertical="center" wrapText="1"/>
    </xf>
    <xf numFmtId="4" fontId="9" fillId="7" borderId="62" xfId="0" applyNumberFormat="1" applyFont="1" applyFill="1" applyBorder="1" applyAlignment="1">
      <alignment horizontal="center" vertical="center" wrapText="1"/>
    </xf>
    <xf numFmtId="3" fontId="9" fillId="0" borderId="62" xfId="0" applyNumberFormat="1" applyFont="1" applyBorder="1" applyAlignment="1">
      <alignment horizontal="center" vertical="center" wrapText="1"/>
    </xf>
    <xf numFmtId="166" fontId="9" fillId="4" borderId="62" xfId="0" applyNumberFormat="1" applyFont="1" applyFill="1" applyBorder="1" applyAlignment="1">
      <alignment horizontal="center" vertical="center" wrapText="1"/>
    </xf>
    <xf numFmtId="165" fontId="9" fillId="3" borderId="62" xfId="2" applyNumberFormat="1" applyFont="1" applyFill="1" applyBorder="1" applyAlignment="1">
      <alignment horizontal="center" vertical="center" wrapText="1"/>
    </xf>
    <xf numFmtId="0" fontId="0" fillId="0" borderId="63" xfId="0" applyBorder="1"/>
    <xf numFmtId="0" fontId="0" fillId="8" borderId="64" xfId="0" applyFill="1" applyBorder="1"/>
    <xf numFmtId="0" fontId="0" fillId="0" borderId="64" xfId="0" applyBorder="1"/>
    <xf numFmtId="4" fontId="9" fillId="0" borderId="64" xfId="0" applyNumberFormat="1" applyFont="1" applyBorder="1"/>
    <xf numFmtId="49" fontId="9" fillId="0" borderId="64" xfId="0" applyNumberFormat="1" applyFont="1" applyBorder="1" applyAlignment="1">
      <alignment horizontal="center" vertical="center" wrapText="1"/>
    </xf>
    <xf numFmtId="4" fontId="9" fillId="0" borderId="64" xfId="0" applyNumberFormat="1" applyFont="1" applyBorder="1" applyAlignment="1">
      <alignment vertical="center" wrapText="1"/>
    </xf>
    <xf numFmtId="4" fontId="9" fillId="0" borderId="64" xfId="0" applyNumberFormat="1" applyFont="1" applyBorder="1" applyAlignment="1">
      <alignment horizontal="center" vertical="center" wrapText="1"/>
    </xf>
    <xf numFmtId="4" fontId="9" fillId="3" borderId="64" xfId="0" applyNumberFormat="1" applyFont="1" applyFill="1" applyBorder="1" applyAlignment="1">
      <alignment horizontal="center" vertical="center" wrapText="1"/>
    </xf>
    <xf numFmtId="4" fontId="9" fillId="7" borderId="64" xfId="0" applyNumberFormat="1" applyFont="1" applyFill="1" applyBorder="1" applyAlignment="1">
      <alignment horizontal="center" vertical="center" wrapText="1"/>
    </xf>
    <xf numFmtId="3" fontId="9" fillId="0" borderId="64" xfId="0" applyNumberFormat="1" applyFont="1" applyBorder="1" applyAlignment="1">
      <alignment horizontal="center" vertical="center" wrapText="1"/>
    </xf>
    <xf numFmtId="4" fontId="9" fillId="4" borderId="64" xfId="0" applyNumberFormat="1" applyFont="1" applyFill="1" applyBorder="1" applyAlignment="1">
      <alignment horizontal="center" vertical="center" wrapText="1"/>
    </xf>
    <xf numFmtId="165" fontId="9" fillId="3" borderId="64" xfId="2" applyNumberFormat="1" applyFont="1" applyFill="1" applyBorder="1" applyAlignment="1">
      <alignment horizontal="center" vertical="center" wrapText="1"/>
    </xf>
    <xf numFmtId="4" fontId="9" fillId="0" borderId="65" xfId="0" applyNumberFormat="1" applyFont="1" applyBorder="1" applyAlignment="1">
      <alignment horizontal="center" vertical="center" wrapText="1"/>
    </xf>
    <xf numFmtId="165" fontId="9" fillId="0" borderId="64" xfId="2" applyNumberFormat="1" applyFont="1" applyBorder="1" applyAlignment="1">
      <alignment horizontal="right"/>
    </xf>
    <xf numFmtId="3" fontId="9" fillId="0" borderId="64" xfId="0" applyNumberFormat="1" applyFont="1" applyBorder="1" applyAlignment="1">
      <alignment horizontal="center"/>
    </xf>
    <xf numFmtId="4" fontId="9" fillId="0" borderId="64" xfId="0" applyNumberFormat="1" applyFont="1" applyBorder="1" applyAlignment="1">
      <alignment horizontal="left"/>
    </xf>
    <xf numFmtId="3" fontId="9" fillId="4" borderId="64" xfId="0" applyNumberFormat="1" applyFont="1" applyFill="1" applyBorder="1" applyAlignment="1">
      <alignment horizontal="center" vertical="center" wrapText="1"/>
    </xf>
    <xf numFmtId="0" fontId="8" fillId="0" borderId="63" xfId="0" applyFont="1" applyBorder="1"/>
    <xf numFmtId="0" fontId="0" fillId="5" borderId="64" xfId="0" applyFill="1" applyBorder="1"/>
    <xf numFmtId="167" fontId="9" fillId="0" borderId="64" xfId="2" applyNumberFormat="1" applyFont="1" applyBorder="1"/>
    <xf numFmtId="166" fontId="9" fillId="0" borderId="64" xfId="0" applyNumberFormat="1" applyFont="1" applyBorder="1" applyAlignment="1">
      <alignment horizontal="center" vertical="center" wrapText="1"/>
    </xf>
    <xf numFmtId="166" fontId="9" fillId="8" borderId="64" xfId="0" applyNumberFormat="1" applyFont="1" applyFill="1" applyBorder="1" applyAlignment="1">
      <alignment horizontal="center" vertical="center" wrapText="1"/>
    </xf>
    <xf numFmtId="0" fontId="0" fillId="6" borderId="64" xfId="0" applyFill="1" applyBorder="1"/>
    <xf numFmtId="0" fontId="0" fillId="0" borderId="66" xfId="0" applyBorder="1"/>
    <xf numFmtId="0" fontId="0" fillId="8" borderId="67" xfId="0" applyFill="1" applyBorder="1"/>
    <xf numFmtId="0" fontId="0" fillId="0" borderId="67" xfId="0" applyBorder="1"/>
    <xf numFmtId="4" fontId="9" fillId="0" borderId="67" xfId="0" applyNumberFormat="1" applyFont="1" applyBorder="1"/>
    <xf numFmtId="49" fontId="9" fillId="0" borderId="67" xfId="0" applyNumberFormat="1" applyFont="1" applyBorder="1" applyAlignment="1">
      <alignment horizontal="center" vertical="center" wrapText="1"/>
    </xf>
    <xf numFmtId="4" fontId="9" fillId="0" borderId="67" xfId="0" applyNumberFormat="1" applyFont="1" applyBorder="1" applyAlignment="1">
      <alignment vertical="center" wrapText="1"/>
    </xf>
    <xf numFmtId="4" fontId="9" fillId="0" borderId="67" xfId="0" applyNumberFormat="1" applyFont="1" applyBorder="1" applyAlignment="1">
      <alignment horizontal="center" vertical="center" wrapText="1"/>
    </xf>
    <xf numFmtId="4" fontId="9" fillId="3" borderId="67" xfId="0" applyNumberFormat="1" applyFont="1" applyFill="1" applyBorder="1" applyAlignment="1">
      <alignment horizontal="center" vertical="center" wrapText="1"/>
    </xf>
    <xf numFmtId="4" fontId="9" fillId="7" borderId="67" xfId="0" applyNumberFormat="1" applyFont="1" applyFill="1" applyBorder="1" applyAlignment="1">
      <alignment horizontal="center" vertical="center" wrapText="1"/>
    </xf>
    <xf numFmtId="3" fontId="9" fillId="0" borderId="67" xfId="0" applyNumberFormat="1" applyFont="1" applyBorder="1" applyAlignment="1">
      <alignment horizontal="center" vertical="center" wrapText="1"/>
    </xf>
    <xf numFmtId="4" fontId="9" fillId="4" borderId="67" xfId="0" applyNumberFormat="1" applyFont="1" applyFill="1" applyBorder="1" applyAlignment="1">
      <alignment horizontal="center" vertical="center" wrapText="1"/>
    </xf>
    <xf numFmtId="165" fontId="9" fillId="3" borderId="67" xfId="2" applyNumberFormat="1" applyFont="1" applyFill="1" applyBorder="1" applyAlignment="1">
      <alignment horizontal="center" vertical="center" wrapText="1"/>
    </xf>
    <xf numFmtId="166" fontId="9" fillId="8" borderId="67" xfId="0" applyNumberFormat="1" applyFont="1" applyFill="1" applyBorder="1" applyAlignment="1">
      <alignment horizontal="center" vertical="center" wrapText="1"/>
    </xf>
    <xf numFmtId="4" fontId="9" fillId="0" borderId="68" xfId="0" applyNumberFormat="1" applyFont="1" applyBorder="1" applyAlignment="1">
      <alignment horizontal="center" vertical="center" wrapText="1"/>
    </xf>
    <xf numFmtId="3" fontId="9" fillId="0" borderId="69" xfId="0" applyNumberFormat="1" applyFont="1" applyBorder="1" applyAlignment="1">
      <alignment horizontal="center" vertical="center" wrapText="1"/>
    </xf>
    <xf numFmtId="3" fontId="9" fillId="0" borderId="70" xfId="0" applyNumberFormat="1" applyFont="1" applyBorder="1" applyAlignment="1">
      <alignment horizontal="center" vertical="center" wrapText="1"/>
    </xf>
    <xf numFmtId="3" fontId="9" fillId="0" borderId="71" xfId="0" applyNumberFormat="1" applyFont="1" applyBorder="1" applyAlignment="1">
      <alignment horizontal="center" vertical="center" wrapText="1"/>
    </xf>
    <xf numFmtId="169" fontId="17" fillId="2" borderId="58" xfId="25" applyNumberFormat="1" applyFont="1" applyFill="1" applyBorder="1" applyAlignment="1" applyProtection="1">
      <alignment horizontal="center" vertical="center"/>
    </xf>
    <xf numFmtId="0" fontId="17" fillId="4" borderId="0" xfId="8" applyFont="1" applyFill="1" applyAlignment="1">
      <alignment horizontal="center" vertical="center" textRotation="90"/>
    </xf>
    <xf numFmtId="169" fontId="17" fillId="4" borderId="0" xfId="25" applyNumberFormat="1" applyFont="1" applyFill="1" applyBorder="1" applyAlignment="1" applyProtection="1">
      <alignment horizontal="center" vertical="center"/>
    </xf>
    <xf numFmtId="169" fontId="17" fillId="12" borderId="56" xfId="25" applyNumberFormat="1" applyFont="1" applyFill="1" applyBorder="1" applyAlignment="1" applyProtection="1">
      <alignment horizontal="center" vertical="center"/>
    </xf>
    <xf numFmtId="179" fontId="11" fillId="4" borderId="21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right" vertical="center"/>
    </xf>
    <xf numFmtId="0" fontId="17" fillId="12" borderId="0" xfId="8" applyFont="1" applyFill="1" applyAlignment="1">
      <alignment horizontal="center" vertical="center" textRotation="90"/>
    </xf>
    <xf numFmtId="0" fontId="11" fillId="0" borderId="0" xfId="0" applyFont="1"/>
    <xf numFmtId="168" fontId="17" fillId="12" borderId="21" xfId="25" applyNumberFormat="1" applyFont="1" applyFill="1" applyBorder="1" applyAlignment="1" applyProtection="1">
      <alignment horizontal="center" vertical="center"/>
    </xf>
    <xf numFmtId="170" fontId="17" fillId="12" borderId="56" xfId="25" applyNumberFormat="1" applyFont="1" applyFill="1" applyBorder="1" applyAlignment="1" applyProtection="1">
      <alignment horizontal="center" vertical="center"/>
    </xf>
    <xf numFmtId="170" fontId="43" fillId="12" borderId="58" xfId="25" applyNumberFormat="1" applyFont="1" applyFill="1" applyBorder="1" applyAlignment="1" applyProtection="1">
      <alignment horizontal="center" vertical="center"/>
    </xf>
    <xf numFmtId="2" fontId="11" fillId="4" borderId="0" xfId="8" applyNumberFormat="1" applyFont="1" applyFill="1"/>
    <xf numFmtId="170" fontId="11" fillId="4" borderId="0" xfId="25" applyNumberFormat="1" applyFont="1" applyFill="1" applyBorder="1" applyAlignment="1" applyProtection="1">
      <alignment horizontal="center" vertical="center"/>
    </xf>
    <xf numFmtId="0" fontId="11" fillId="17" borderId="56" xfId="8" applyFont="1" applyFill="1" applyBorder="1" applyAlignment="1">
      <alignment horizontal="center"/>
    </xf>
    <xf numFmtId="2" fontId="11" fillId="17" borderId="56" xfId="8" applyNumberFormat="1" applyFont="1" applyFill="1" applyBorder="1"/>
    <xf numFmtId="0" fontId="11" fillId="17" borderId="7" xfId="8" applyFont="1" applyFill="1" applyBorder="1" applyAlignment="1">
      <alignment horizontal="center"/>
    </xf>
    <xf numFmtId="2" fontId="11" fillId="17" borderId="7" xfId="8" applyNumberFormat="1" applyFont="1" applyFill="1" applyBorder="1"/>
    <xf numFmtId="0" fontId="11" fillId="17" borderId="58" xfId="8" applyFont="1" applyFill="1" applyBorder="1" applyAlignment="1">
      <alignment horizontal="center"/>
    </xf>
    <xf numFmtId="2" fontId="11" fillId="17" borderId="58" xfId="8" applyNumberFormat="1" applyFont="1" applyFill="1" applyBorder="1"/>
    <xf numFmtId="169" fontId="11" fillId="12" borderId="21" xfId="25" applyNumberFormat="1" applyFont="1" applyFill="1" applyBorder="1" applyAlignment="1" applyProtection="1">
      <alignment horizontal="center" vertical="center"/>
    </xf>
    <xf numFmtId="169" fontId="11" fillId="4" borderId="0" xfId="25" applyNumberFormat="1" applyFont="1" applyFill="1" applyBorder="1" applyAlignment="1" applyProtection="1">
      <alignment horizontal="center" vertical="center"/>
    </xf>
    <xf numFmtId="169" fontId="11" fillId="17" borderId="45" xfId="25" applyNumberFormat="1" applyFont="1" applyFill="1" applyBorder="1" applyAlignment="1" applyProtection="1">
      <alignment horizontal="center" vertical="center"/>
    </xf>
    <xf numFmtId="169" fontId="11" fillId="17" borderId="46" xfId="25" applyNumberFormat="1" applyFont="1" applyFill="1" applyBorder="1" applyAlignment="1" applyProtection="1">
      <alignment horizontal="center" vertical="center"/>
    </xf>
    <xf numFmtId="169" fontId="11" fillId="17" borderId="54" xfId="25" applyNumberFormat="1" applyFont="1" applyFill="1" applyBorder="1" applyAlignment="1" applyProtection="1">
      <alignment horizontal="center" vertical="center"/>
    </xf>
    <xf numFmtId="169" fontId="11" fillId="17" borderId="56" xfId="25" applyNumberFormat="1" applyFont="1" applyFill="1" applyBorder="1" applyAlignment="1" applyProtection="1">
      <alignment horizontal="center" vertical="center"/>
    </xf>
    <xf numFmtId="169" fontId="11" fillId="17" borderId="47" xfId="25" applyNumberFormat="1" applyFont="1" applyFill="1" applyBorder="1" applyAlignment="1" applyProtection="1">
      <alignment horizontal="center" vertical="center"/>
    </xf>
    <xf numFmtId="169" fontId="11" fillId="17" borderId="21" xfId="25" applyNumberFormat="1" applyFont="1" applyFill="1" applyBorder="1" applyAlignment="1" applyProtection="1">
      <alignment horizontal="center" vertical="center"/>
    </xf>
    <xf numFmtId="169" fontId="11" fillId="17" borderId="57" xfId="25" applyNumberFormat="1" applyFont="1" applyFill="1" applyBorder="1" applyAlignment="1" applyProtection="1">
      <alignment horizontal="center" vertical="center"/>
    </xf>
    <xf numFmtId="169" fontId="11" fillId="17" borderId="48" xfId="25" applyNumberFormat="1" applyFont="1" applyFill="1" applyBorder="1" applyAlignment="1" applyProtection="1">
      <alignment horizontal="center" vertical="center"/>
    </xf>
    <xf numFmtId="169" fontId="11" fillId="17" borderId="49" xfId="25" applyNumberFormat="1" applyFont="1" applyFill="1" applyBorder="1" applyAlignment="1" applyProtection="1">
      <alignment horizontal="center" vertical="center"/>
    </xf>
    <xf numFmtId="169" fontId="11" fillId="17" borderId="55" xfId="25" applyNumberFormat="1" applyFont="1" applyFill="1" applyBorder="1" applyAlignment="1" applyProtection="1">
      <alignment horizontal="center" vertical="center"/>
    </xf>
    <xf numFmtId="169" fontId="11" fillId="17" borderId="58" xfId="25" applyNumberFormat="1" applyFont="1" applyFill="1" applyBorder="1" applyAlignment="1" applyProtection="1">
      <alignment horizontal="center" vertical="center"/>
    </xf>
    <xf numFmtId="168" fontId="17" fillId="2" borderId="21" xfId="8" applyNumberFormat="1" applyFont="1" applyFill="1" applyBorder="1" applyAlignment="1">
      <alignment horizontal="center"/>
    </xf>
    <xf numFmtId="170" fontId="11" fillId="2" borderId="21" xfId="25" applyNumberFormat="1" applyFont="1" applyFill="1" applyBorder="1" applyAlignment="1" applyProtection="1">
      <alignment horizontal="center" vertical="center"/>
    </xf>
    <xf numFmtId="0" fontId="17" fillId="0" borderId="0" xfId="8" applyFont="1"/>
    <xf numFmtId="0" fontId="0" fillId="0" borderId="0" xfId="0" applyAlignment="1">
      <alignment horizontal="left"/>
    </xf>
    <xf numFmtId="0" fontId="15" fillId="26" borderId="6" xfId="0" applyFont="1" applyFill="1" applyBorder="1" applyAlignment="1">
      <alignment horizontal="left"/>
    </xf>
    <xf numFmtId="0" fontId="15" fillId="0" borderId="0" xfId="0" applyFont="1"/>
    <xf numFmtId="0" fontId="15" fillId="26" borderId="1" xfId="0" applyFont="1" applyFill="1" applyBorder="1" applyAlignment="1">
      <alignment horizontal="center"/>
    </xf>
    <xf numFmtId="0" fontId="15" fillId="26" borderId="10" xfId="0" applyFont="1" applyFill="1" applyBorder="1" applyAlignment="1">
      <alignment horizontal="center"/>
    </xf>
    <xf numFmtId="0" fontId="15" fillId="26" borderId="24" xfId="0" applyFont="1" applyFill="1" applyBorder="1" applyAlignment="1">
      <alignment horizontal="center"/>
    </xf>
    <xf numFmtId="0" fontId="11" fillId="0" borderId="57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7" fillId="0" borderId="0" xfId="8" applyFont="1" applyAlignment="1">
      <alignment horizontal="center"/>
    </xf>
    <xf numFmtId="170" fontId="11" fillId="2" borderId="57" xfId="25" applyNumberFormat="1" applyFont="1" applyFill="1" applyBorder="1" applyAlignment="1" applyProtection="1">
      <alignment horizontal="center" vertical="center"/>
    </xf>
    <xf numFmtId="170" fontId="17" fillId="17" borderId="21" xfId="25" applyNumberFormat="1" applyFont="1" applyFill="1" applyBorder="1" applyAlignment="1" applyProtection="1">
      <alignment horizontal="center" vertical="center"/>
    </xf>
    <xf numFmtId="170" fontId="11" fillId="17" borderId="57" xfId="25" applyNumberFormat="1" applyFont="1" applyFill="1" applyBorder="1" applyAlignment="1" applyProtection="1">
      <alignment horizontal="center" vertical="center"/>
    </xf>
    <xf numFmtId="170" fontId="17" fillId="17" borderId="57" xfId="25" applyNumberFormat="1" applyFont="1" applyFill="1" applyBorder="1" applyAlignment="1" applyProtection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2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170" fontId="11" fillId="0" borderId="73" xfId="0" applyNumberFormat="1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0" fontId="11" fillId="0" borderId="49" xfId="0" applyNumberFormat="1" applyFont="1" applyBorder="1" applyAlignment="1">
      <alignment horizontal="center" vertical="center"/>
    </xf>
    <xf numFmtId="1" fontId="27" fillId="0" borderId="0" xfId="0" applyNumberFormat="1" applyFont="1"/>
    <xf numFmtId="2" fontId="11" fillId="0" borderId="49" xfId="0" applyNumberFormat="1" applyFont="1" applyBorder="1" applyAlignment="1">
      <alignment horizontal="center" vertical="center"/>
    </xf>
    <xf numFmtId="2" fontId="11" fillId="0" borderId="48" xfId="0" applyNumberFormat="1" applyFont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9" fillId="24" borderId="0" xfId="0" applyFont="1" applyFill="1" applyProtection="1">
      <protection locked="0"/>
    </xf>
    <xf numFmtId="0" fontId="12" fillId="24" borderId="0" xfId="0" applyFont="1" applyFill="1" applyProtection="1">
      <protection locked="0"/>
    </xf>
    <xf numFmtId="0" fontId="22" fillId="24" borderId="0" xfId="0" applyFont="1" applyFill="1" applyAlignment="1" applyProtection="1">
      <alignment horizontal="center"/>
      <protection locked="0"/>
    </xf>
    <xf numFmtId="0" fontId="49" fillId="24" borderId="0" xfId="0" applyFont="1" applyFill="1" applyProtection="1">
      <protection locked="0"/>
    </xf>
    <xf numFmtId="0" fontId="15" fillId="18" borderId="0" xfId="0" applyFont="1" applyFill="1" applyProtection="1">
      <protection locked="0"/>
    </xf>
    <xf numFmtId="0" fontId="39" fillId="18" borderId="0" xfId="0" applyFont="1" applyFill="1" applyProtection="1">
      <protection locked="0"/>
    </xf>
    <xf numFmtId="0" fontId="9" fillId="14" borderId="0" xfId="0" applyFont="1" applyFill="1" applyProtection="1">
      <protection locked="0"/>
    </xf>
    <xf numFmtId="17" fontId="9" fillId="14" borderId="0" xfId="0" applyNumberFormat="1" applyFont="1" applyFill="1" applyProtection="1">
      <protection locked="0"/>
    </xf>
    <xf numFmtId="0" fontId="9" fillId="14" borderId="0" xfId="0" applyFont="1" applyFill="1" applyAlignment="1" applyProtection="1">
      <alignment horizontal="center"/>
      <protection locked="0"/>
    </xf>
    <xf numFmtId="0" fontId="11" fillId="14" borderId="0" xfId="0" applyFont="1" applyFill="1" applyProtection="1">
      <protection locked="0"/>
    </xf>
    <xf numFmtId="180" fontId="11" fillId="14" borderId="0" xfId="0" applyNumberFormat="1" applyFont="1" applyFill="1" applyProtection="1">
      <protection locked="0"/>
    </xf>
    <xf numFmtId="2" fontId="11" fillId="14" borderId="0" xfId="0" applyNumberFormat="1" applyFont="1" applyFill="1" applyProtection="1">
      <protection locked="0"/>
    </xf>
    <xf numFmtId="0" fontId="11" fillId="14" borderId="0" xfId="0" applyFont="1" applyFill="1" applyAlignment="1" applyProtection="1">
      <alignment horizontal="center"/>
      <protection locked="0"/>
    </xf>
    <xf numFmtId="0" fontId="0" fillId="14" borderId="0" xfId="0" applyFill="1" applyProtection="1">
      <protection locked="0"/>
    </xf>
    <xf numFmtId="180" fontId="11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0" fontId="9" fillId="14" borderId="0" xfId="0" applyFont="1" applyFill="1"/>
    <xf numFmtId="0" fontId="0" fillId="14" borderId="0" xfId="0" applyFill="1"/>
    <xf numFmtId="0" fontId="50" fillId="0" borderId="0" xfId="0" applyFont="1"/>
    <xf numFmtId="0" fontId="27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4" fontId="9" fillId="5" borderId="64" xfId="0" applyNumberFormat="1" applyFont="1" applyFill="1" applyBorder="1" applyAlignment="1">
      <alignment horizontal="center" vertical="center" wrapText="1"/>
    </xf>
    <xf numFmtId="165" fontId="9" fillId="5" borderId="64" xfId="2" applyNumberFormat="1" applyFont="1" applyFill="1" applyBorder="1" applyAlignment="1">
      <alignment horizontal="center" vertical="center" wrapText="1"/>
    </xf>
    <xf numFmtId="0" fontId="19" fillId="19" borderId="0" xfId="0" applyFont="1" applyFill="1" applyProtection="1">
      <protection locked="0"/>
    </xf>
    <xf numFmtId="0" fontId="8" fillId="14" borderId="0" xfId="0" applyFont="1" applyFill="1" applyProtection="1">
      <protection locked="0"/>
    </xf>
    <xf numFmtId="1" fontId="27" fillId="0" borderId="0" xfId="0" applyNumberFormat="1" applyFont="1" applyAlignment="1">
      <alignment horizontal="center"/>
    </xf>
    <xf numFmtId="0" fontId="23" fillId="13" borderId="27" xfId="0" applyFont="1" applyFill="1" applyBorder="1" applyAlignment="1" applyProtection="1">
      <alignment vertical="center"/>
      <protection locked="0"/>
    </xf>
    <xf numFmtId="2" fontId="23" fillId="13" borderId="80" xfId="0" applyNumberFormat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/>
      <protection locked="0"/>
    </xf>
    <xf numFmtId="0" fontId="23" fillId="13" borderId="84" xfId="0" applyFont="1" applyFill="1" applyBorder="1" applyAlignment="1" applyProtection="1">
      <alignment horizontal="left" vertical="center"/>
      <protection locked="0"/>
    </xf>
    <xf numFmtId="0" fontId="23" fillId="13" borderId="85" xfId="0" applyFont="1" applyFill="1" applyBorder="1" applyAlignment="1" applyProtection="1">
      <alignment horizontal="left" vertical="center"/>
      <protection locked="0"/>
    </xf>
    <xf numFmtId="1" fontId="23" fillId="13" borderId="85" xfId="0" applyNumberFormat="1" applyFont="1" applyFill="1" applyBorder="1" applyAlignment="1" applyProtection="1">
      <alignment horizontal="left" vertical="center"/>
      <protection locked="0"/>
    </xf>
    <xf numFmtId="0" fontId="23" fillId="13" borderId="86" xfId="0" applyFont="1" applyFill="1" applyBorder="1" applyAlignment="1">
      <alignment horizontal="center" vertical="center"/>
    </xf>
    <xf numFmtId="0" fontId="23" fillId="13" borderId="88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9" fillId="2" borderId="0" xfId="8" applyFont="1" applyFill="1" applyAlignment="1">
      <alignment horizontal="center"/>
    </xf>
    <xf numFmtId="0" fontId="10" fillId="2" borderId="0" xfId="8" applyFont="1" applyFill="1" applyAlignment="1">
      <alignment horizontal="right"/>
    </xf>
    <xf numFmtId="0" fontId="10" fillId="4" borderId="0" xfId="8" applyFont="1" applyFill="1" applyAlignment="1">
      <alignment horizontal="right"/>
    </xf>
    <xf numFmtId="176" fontId="9" fillId="2" borderId="0" xfId="8" quotePrefix="1" applyNumberFormat="1" applyFont="1" applyFill="1" applyAlignment="1">
      <alignment horizontal="center"/>
    </xf>
    <xf numFmtId="0" fontId="10" fillId="4" borderId="0" xfId="8" applyFont="1" applyFill="1" applyAlignment="1">
      <alignment horizontal="center"/>
    </xf>
    <xf numFmtId="0" fontId="9" fillId="2" borderId="0" xfId="8" applyFont="1" applyFill="1"/>
    <xf numFmtId="170" fontId="10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/>
    <xf numFmtId="170" fontId="9" fillId="2" borderId="0" xfId="25" applyNumberFormat="1" applyFont="1" applyFill="1" applyBorder="1" applyAlignment="1" applyProtection="1">
      <alignment horizontal="center" vertical="center"/>
    </xf>
    <xf numFmtId="170" fontId="10" fillId="2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Protection="1">
      <protection locked="0"/>
    </xf>
    <xf numFmtId="170" fontId="10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 applyAlignment="1" applyProtection="1">
      <alignment horizontal="center"/>
      <protection locked="0"/>
    </xf>
    <xf numFmtId="170" fontId="10" fillId="17" borderId="21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Alignment="1">
      <alignment horizontal="center"/>
    </xf>
    <xf numFmtId="170" fontId="10" fillId="17" borderId="20" xfId="25" applyNumberFormat="1" applyFont="1" applyFill="1" applyBorder="1" applyAlignment="1" applyProtection="1">
      <alignment horizontal="center" vertical="center"/>
    </xf>
    <xf numFmtId="169" fontId="9" fillId="4" borderId="0" xfId="25" applyNumberFormat="1" applyFont="1" applyFill="1" applyBorder="1" applyAlignment="1" applyProtection="1">
      <alignment horizontal="center" vertical="center"/>
    </xf>
    <xf numFmtId="169" fontId="10" fillId="4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  <protection locked="0"/>
    </xf>
    <xf numFmtId="10" fontId="9" fillId="4" borderId="0" xfId="2" applyNumberFormat="1" applyFont="1" applyFill="1" applyBorder="1" applyAlignment="1" applyProtection="1">
      <alignment horizontal="center" vertical="center"/>
      <protection locked="0"/>
    </xf>
    <xf numFmtId="169" fontId="9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/>
    <xf numFmtId="179" fontId="9" fillId="4" borderId="0" xfId="26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center"/>
    </xf>
    <xf numFmtId="170" fontId="9" fillId="4" borderId="0" xfId="25" applyNumberFormat="1" applyFont="1" applyFill="1" applyBorder="1" applyAlignment="1" applyProtection="1">
      <alignment horizontal="left" vertical="center"/>
      <protection locked="0"/>
    </xf>
    <xf numFmtId="0" fontId="10" fillId="2" borderId="0" xfId="8" applyFont="1" applyFill="1" applyAlignment="1">
      <alignment horizontal="center"/>
    </xf>
    <xf numFmtId="170" fontId="10" fillId="23" borderId="18" xfId="25" applyNumberFormat="1" applyFont="1" applyFill="1" applyBorder="1" applyAlignment="1" applyProtection="1">
      <alignment horizontal="center" vertical="center"/>
    </xf>
    <xf numFmtId="0" fontId="15" fillId="26" borderId="74" xfId="0" applyFont="1" applyFill="1" applyBorder="1" applyAlignment="1">
      <alignment horizontal="center"/>
    </xf>
    <xf numFmtId="170" fontId="11" fillId="0" borderId="21" xfId="0" applyNumberFormat="1" applyFont="1" applyBorder="1" applyAlignment="1">
      <alignment horizontal="center" vertical="center"/>
    </xf>
    <xf numFmtId="0" fontId="33" fillId="11" borderId="0" xfId="0" applyFont="1" applyFill="1" applyAlignment="1">
      <alignment wrapText="1"/>
    </xf>
    <xf numFmtId="170" fontId="11" fillId="2" borderId="58" xfId="25" applyNumberFormat="1" applyFont="1" applyFill="1" applyBorder="1" applyAlignment="1" applyProtection="1">
      <alignment horizontal="center" vertical="center"/>
    </xf>
    <xf numFmtId="0" fontId="17" fillId="2" borderId="90" xfId="8" applyFont="1" applyFill="1" applyBorder="1" applyAlignment="1">
      <alignment horizontal="center"/>
    </xf>
    <xf numFmtId="170" fontId="17" fillId="12" borderId="44" xfId="25" applyNumberFormat="1" applyFont="1" applyFill="1" applyBorder="1" applyAlignment="1" applyProtection="1">
      <alignment horizontal="center" vertical="center"/>
    </xf>
    <xf numFmtId="170" fontId="11" fillId="2" borderId="44" xfId="25" applyNumberFormat="1" applyFont="1" applyFill="1" applyBorder="1" applyAlignment="1" applyProtection="1">
      <alignment horizontal="center" vertical="center"/>
    </xf>
    <xf numFmtId="165" fontId="11" fillId="17" borderId="44" xfId="2" applyNumberFormat="1" applyFont="1" applyFill="1" applyBorder="1" applyAlignment="1" applyProtection="1">
      <alignment horizontal="center" vertical="center"/>
    </xf>
    <xf numFmtId="10" fontId="11" fillId="2" borderId="44" xfId="2" applyNumberFormat="1" applyFont="1" applyFill="1" applyBorder="1" applyAlignment="1" applyProtection="1">
      <alignment horizontal="center" vertical="center"/>
    </xf>
    <xf numFmtId="170" fontId="17" fillId="12" borderId="90" xfId="25" applyNumberFormat="1" applyFont="1" applyFill="1" applyBorder="1" applyAlignment="1" applyProtection="1">
      <alignment horizontal="center" vertical="center"/>
    </xf>
    <xf numFmtId="10" fontId="43" fillId="12" borderId="43" xfId="2" applyNumberFormat="1" applyFont="1" applyFill="1" applyBorder="1" applyAlignment="1" applyProtection="1">
      <alignment horizontal="center" vertical="center"/>
    </xf>
    <xf numFmtId="0" fontId="0" fillId="0" borderId="7" xfId="0" applyBorder="1"/>
    <xf numFmtId="10" fontId="11" fillId="0" borderId="72" xfId="0" applyNumberFormat="1" applyFont="1" applyBorder="1" applyAlignment="1">
      <alignment horizontal="center" vertical="center"/>
    </xf>
    <xf numFmtId="10" fontId="11" fillId="17" borderId="44" xfId="2" applyNumberFormat="1" applyFont="1" applyFill="1" applyBorder="1" applyAlignment="1" applyProtection="1">
      <alignment horizontal="center" vertical="center"/>
    </xf>
    <xf numFmtId="0" fontId="8" fillId="0" borderId="0" xfId="8" applyAlignment="1">
      <alignment horizontal="center"/>
    </xf>
    <xf numFmtId="10" fontId="0" fillId="0" borderId="0" xfId="2" applyNumberFormat="1" applyFont="1" applyAlignment="1">
      <alignment horizontal="center"/>
    </xf>
    <xf numFmtId="0" fontId="8" fillId="4" borderId="91" xfId="8" applyFill="1" applyBorder="1"/>
    <xf numFmtId="167" fontId="9" fillId="0" borderId="91" xfId="2" applyNumberFormat="1" applyFont="1" applyBorder="1"/>
    <xf numFmtId="183" fontId="9" fillId="0" borderId="91" xfId="27" applyNumberFormat="1" applyFont="1" applyBorder="1"/>
    <xf numFmtId="4" fontId="9" fillId="0" borderId="91" xfId="8" applyNumberFormat="1" applyFont="1" applyBorder="1" applyAlignment="1">
      <alignment horizontal="left"/>
    </xf>
    <xf numFmtId="49" fontId="9" fillId="0" borderId="91" xfId="8" applyNumberFormat="1" applyFont="1" applyBorder="1" applyAlignment="1">
      <alignment horizontal="center" vertical="center" wrapText="1"/>
    </xf>
    <xf numFmtId="4" fontId="9" fillId="0" borderId="91" xfId="8" applyNumberFormat="1" applyFont="1" applyBorder="1" applyAlignment="1">
      <alignment vertical="center" wrapText="1"/>
    </xf>
    <xf numFmtId="4" fontId="9" fillId="0" borderId="91" xfId="8" applyNumberFormat="1" applyFont="1" applyBorder="1" applyAlignment="1">
      <alignment horizontal="center" vertical="center" wrapText="1"/>
    </xf>
    <xf numFmtId="4" fontId="9" fillId="4" borderId="91" xfId="8" applyNumberFormat="1" applyFont="1" applyFill="1" applyBorder="1" applyAlignment="1">
      <alignment horizontal="center" vertical="center" wrapText="1"/>
    </xf>
    <xf numFmtId="4" fontId="9" fillId="0" borderId="92" xfId="8" applyNumberFormat="1" applyFont="1" applyBorder="1" applyAlignment="1">
      <alignment horizontal="center" vertical="center" wrapText="1"/>
    </xf>
    <xf numFmtId="3" fontId="9" fillId="28" borderId="93" xfId="8" applyNumberFormat="1" applyFont="1" applyFill="1" applyBorder="1" applyAlignment="1">
      <alignment horizontal="center" vertical="center" wrapText="1"/>
    </xf>
    <xf numFmtId="4" fontId="9" fillId="4" borderId="94" xfId="8" applyNumberFormat="1" applyFont="1" applyFill="1" applyBorder="1" applyAlignment="1">
      <alignment horizontal="center" vertical="center" wrapText="1"/>
    </xf>
    <xf numFmtId="4" fontId="9" fillId="28" borderId="93" xfId="8" applyNumberFormat="1" applyFont="1" applyFill="1" applyBorder="1" applyAlignment="1">
      <alignment horizontal="center" vertical="center" wrapText="1"/>
    </xf>
    <xf numFmtId="10" fontId="9" fillId="4" borderId="95" xfId="2" applyNumberFormat="1" applyFont="1" applyFill="1" applyBorder="1" applyAlignment="1">
      <alignment horizontal="center" vertical="center" wrapText="1"/>
    </xf>
    <xf numFmtId="4" fontId="22" fillId="6" borderId="96" xfId="8" applyNumberFormat="1" applyFont="1" applyFill="1" applyBorder="1" applyAlignment="1">
      <alignment horizontal="center" vertical="center" wrapText="1"/>
    </xf>
    <xf numFmtId="4" fontId="9" fillId="4" borderId="97" xfId="8" applyNumberFormat="1" applyFont="1" applyFill="1" applyBorder="1" applyAlignment="1">
      <alignment horizontal="center" vertical="center" wrapText="1"/>
    </xf>
    <xf numFmtId="4" fontId="43" fillId="4" borderId="98" xfId="8" applyNumberFormat="1" applyFont="1" applyFill="1" applyBorder="1" applyAlignment="1">
      <alignment horizontal="center"/>
    </xf>
    <xf numFmtId="0" fontId="8" fillId="4" borderId="64" xfId="8" applyFill="1" applyBorder="1"/>
    <xf numFmtId="0" fontId="8" fillId="0" borderId="64" xfId="8" applyBorder="1"/>
    <xf numFmtId="183" fontId="0" fillId="0" borderId="64" xfId="27" applyNumberFormat="1" applyFont="1" applyBorder="1"/>
    <xf numFmtId="4" fontId="9" fillId="0" borderId="64" xfId="8" applyNumberFormat="1" applyFont="1" applyBorder="1"/>
    <xf numFmtId="49" fontId="9" fillId="0" borderId="64" xfId="8" applyNumberFormat="1" applyFont="1" applyBorder="1" applyAlignment="1">
      <alignment horizontal="center" vertical="center" wrapText="1"/>
    </xf>
    <xf numFmtId="4" fontId="9" fillId="0" borderId="64" xfId="8" applyNumberFormat="1" applyFont="1" applyBorder="1" applyAlignment="1">
      <alignment vertical="center" wrapText="1"/>
    </xf>
    <xf numFmtId="4" fontId="9" fillId="0" borderId="64" xfId="8" applyNumberFormat="1" applyFont="1" applyBorder="1" applyAlignment="1">
      <alignment horizontal="center" vertical="center" wrapText="1"/>
    </xf>
    <xf numFmtId="4" fontId="9" fillId="4" borderId="64" xfId="8" applyNumberFormat="1" applyFont="1" applyFill="1" applyBorder="1" applyAlignment="1">
      <alignment horizontal="center" vertical="center" wrapText="1"/>
    </xf>
    <xf numFmtId="4" fontId="9" fillId="0" borderId="70" xfId="8" applyNumberFormat="1" applyFont="1" applyBorder="1" applyAlignment="1">
      <alignment horizontal="center" vertical="center" wrapText="1"/>
    </xf>
    <xf numFmtId="10" fontId="9" fillId="4" borderId="70" xfId="2" applyNumberFormat="1" applyFont="1" applyFill="1" applyBorder="1" applyAlignment="1">
      <alignment horizontal="center" vertical="center" wrapText="1"/>
    </xf>
    <xf numFmtId="4" fontId="22" fillId="6" borderId="93" xfId="8" applyNumberFormat="1" applyFont="1" applyFill="1" applyBorder="1" applyAlignment="1">
      <alignment horizontal="center" vertical="center" wrapText="1"/>
    </xf>
    <xf numFmtId="4" fontId="43" fillId="4" borderId="99" xfId="8" applyNumberFormat="1" applyFont="1" applyFill="1" applyBorder="1" applyAlignment="1">
      <alignment horizontal="center"/>
    </xf>
    <xf numFmtId="183" fontId="9" fillId="0" borderId="64" xfId="27" applyNumberFormat="1" applyFont="1" applyBorder="1" applyAlignment="1">
      <alignment horizontal="right"/>
    </xf>
    <xf numFmtId="4" fontId="9" fillId="0" borderId="64" xfId="8" applyNumberFormat="1" applyFont="1" applyBorder="1" applyAlignment="1">
      <alignment horizontal="left"/>
    </xf>
    <xf numFmtId="4" fontId="9" fillId="4" borderId="100" xfId="8" applyNumberFormat="1" applyFont="1" applyFill="1" applyBorder="1" applyAlignment="1">
      <alignment horizontal="center" vertical="center" wrapText="1"/>
    </xf>
    <xf numFmtId="10" fontId="9" fillId="4" borderId="101" xfId="2" applyNumberFormat="1" applyFont="1" applyFill="1" applyBorder="1" applyAlignment="1">
      <alignment horizontal="center" vertical="center" wrapText="1"/>
    </xf>
    <xf numFmtId="4" fontId="22" fillId="6" borderId="102" xfId="8" applyNumberFormat="1" applyFont="1" applyFill="1" applyBorder="1" applyAlignment="1">
      <alignment horizontal="center" vertical="center" wrapText="1"/>
    </xf>
    <xf numFmtId="4" fontId="43" fillId="4" borderId="103" xfId="8" applyNumberFormat="1" applyFont="1" applyFill="1" applyBorder="1" applyAlignment="1">
      <alignment horizontal="center"/>
    </xf>
    <xf numFmtId="10" fontId="0" fillId="0" borderId="0" xfId="2" applyNumberFormat="1" applyFont="1"/>
    <xf numFmtId="0" fontId="43" fillId="0" borderId="0" xfId="8" applyFont="1"/>
    <xf numFmtId="2" fontId="8" fillId="0" borderId="0" xfId="8" applyNumberFormat="1"/>
    <xf numFmtId="0" fontId="27" fillId="23" borderId="9" xfId="0" applyFont="1" applyFill="1" applyBorder="1"/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24" fillId="29" borderId="82" xfId="0" applyFont="1" applyFill="1" applyBorder="1" applyAlignment="1">
      <alignment vertical="center"/>
    </xf>
    <xf numFmtId="0" fontId="24" fillId="29" borderId="83" xfId="0" applyFont="1" applyFill="1" applyBorder="1" applyAlignment="1">
      <alignment vertical="center"/>
    </xf>
    <xf numFmtId="0" fontId="24" fillId="29" borderId="28" xfId="0" applyFont="1" applyFill="1" applyBorder="1" applyAlignment="1" applyProtection="1">
      <alignment vertical="center"/>
      <protection locked="0"/>
    </xf>
    <xf numFmtId="0" fontId="32" fillId="29" borderId="77" xfId="0" applyFont="1" applyFill="1" applyBorder="1" applyAlignment="1" applyProtection="1">
      <alignment horizontal="left" vertical="center"/>
      <protection locked="0"/>
    </xf>
    <xf numFmtId="0" fontId="39" fillId="29" borderId="81" xfId="0" applyFont="1" applyFill="1" applyBorder="1" applyAlignment="1" applyProtection="1">
      <alignment horizontal="center"/>
      <protection locked="0"/>
    </xf>
    <xf numFmtId="0" fontId="39" fillId="29" borderId="59" xfId="0" applyFont="1" applyFill="1" applyBorder="1" applyAlignment="1" applyProtection="1">
      <alignment horizontal="center"/>
      <protection locked="0"/>
    </xf>
    <xf numFmtId="0" fontId="39" fillId="29" borderId="75" xfId="0" applyFont="1" applyFill="1" applyBorder="1" applyProtection="1">
      <protection locked="0"/>
    </xf>
    <xf numFmtId="0" fontId="24" fillId="29" borderId="79" xfId="0" applyFont="1" applyFill="1" applyBorder="1" applyAlignment="1">
      <alignment vertical="center"/>
    </xf>
    <xf numFmtId="0" fontId="27" fillId="29" borderId="77" xfId="0" applyFont="1" applyFill="1" applyBorder="1"/>
    <xf numFmtId="0" fontId="24" fillId="29" borderId="59" xfId="0" applyFont="1" applyFill="1" applyBorder="1" applyAlignment="1">
      <alignment horizontal="left" vertical="center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175" fontId="27" fillId="0" borderId="104" xfId="2" applyNumberFormat="1" applyFont="1" applyFill="1" applyBorder="1" applyAlignment="1" applyProtection="1">
      <alignment horizontal="center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0" fillId="0" borderId="104" xfId="0" applyBorder="1" applyProtection="1">
      <protection locked="0"/>
    </xf>
    <xf numFmtId="2" fontId="27" fillId="0" borderId="104" xfId="0" applyNumberFormat="1" applyFont="1" applyBorder="1" applyAlignment="1">
      <alignment horizontal="center" vertical="center"/>
    </xf>
    <xf numFmtId="2" fontId="27" fillId="11" borderId="104" xfId="2" applyNumberFormat="1" applyFont="1" applyFill="1" applyBorder="1" applyAlignment="1" applyProtection="1">
      <alignment horizontal="center" vertical="center"/>
      <protection locked="0"/>
    </xf>
    <xf numFmtId="2" fontId="27" fillId="27" borderId="104" xfId="0" applyNumberFormat="1" applyFont="1" applyFill="1" applyBorder="1" applyAlignment="1" applyProtection="1">
      <alignment horizontal="center" vertical="center"/>
      <protection locked="0"/>
    </xf>
    <xf numFmtId="2" fontId="27" fillId="0" borderId="104" xfId="3" applyNumberFormat="1" applyFont="1" applyFill="1" applyBorder="1" applyAlignment="1" applyProtection="1">
      <alignment horizontal="center" vertical="center"/>
    </xf>
    <xf numFmtId="168" fontId="10" fillId="11" borderId="104" xfId="8" applyNumberFormat="1" applyFont="1" applyFill="1" applyBorder="1" applyAlignment="1" applyProtection="1">
      <alignment horizontal="center" vertical="center"/>
      <protection locked="0"/>
    </xf>
    <xf numFmtId="168" fontId="10" fillId="0" borderId="104" xfId="8" applyNumberFormat="1" applyFont="1" applyBorder="1" applyAlignment="1">
      <alignment horizontal="center" vertical="center"/>
    </xf>
    <xf numFmtId="170" fontId="10" fillId="0" borderId="104" xfId="25" applyNumberFormat="1" applyFont="1" applyFill="1" applyBorder="1" applyAlignment="1" applyProtection="1">
      <alignment horizontal="center" vertical="center"/>
    </xf>
    <xf numFmtId="170" fontId="14" fillId="11" borderId="104" xfId="25" applyNumberFormat="1" applyFont="1" applyFill="1" applyBorder="1" applyAlignment="1" applyProtection="1">
      <alignment horizontal="center" vertical="center"/>
      <protection locked="0"/>
    </xf>
    <xf numFmtId="170" fontId="9" fillId="11" borderId="104" xfId="25" applyNumberFormat="1" applyFont="1" applyFill="1" applyBorder="1" applyAlignment="1" applyProtection="1">
      <alignment horizontal="center" vertical="center"/>
      <protection locked="0"/>
    </xf>
    <xf numFmtId="0" fontId="31" fillId="29" borderId="28" xfId="0" applyFont="1" applyFill="1" applyBorder="1" applyAlignment="1" applyProtection="1">
      <alignment horizontal="center"/>
      <protection locked="0"/>
    </xf>
    <xf numFmtId="0" fontId="31" fillId="29" borderId="29" xfId="0" applyFont="1" applyFill="1" applyBorder="1" applyProtection="1">
      <protection locked="0"/>
    </xf>
    <xf numFmtId="0" fontId="31" fillId="29" borderId="30" xfId="0" applyFont="1" applyFill="1" applyBorder="1" applyProtection="1">
      <protection locked="0"/>
    </xf>
    <xf numFmtId="0" fontId="31" fillId="29" borderId="89" xfId="0" applyFont="1" applyFill="1" applyBorder="1" applyProtection="1">
      <protection locked="0"/>
    </xf>
    <xf numFmtId="0" fontId="31" fillId="29" borderId="28" xfId="0" applyFont="1" applyFill="1" applyBorder="1" applyProtection="1">
      <protection locked="0"/>
    </xf>
    <xf numFmtId="0" fontId="31" fillId="29" borderId="76" xfId="0" applyFont="1" applyFill="1" applyBorder="1" applyProtection="1">
      <protection locked="0"/>
    </xf>
    <xf numFmtId="0" fontId="31" fillId="29" borderId="53" xfId="0" applyFont="1" applyFill="1" applyBorder="1" applyProtection="1">
      <protection locked="0"/>
    </xf>
    <xf numFmtId="10" fontId="27" fillId="27" borderId="104" xfId="2" applyNumberFormat="1" applyFont="1" applyFill="1" applyBorder="1" applyAlignment="1" applyProtection="1">
      <alignment horizontal="center" vertical="center"/>
      <protection locked="0"/>
    </xf>
    <xf numFmtId="170" fontId="9" fillId="23" borderId="18" xfId="25" applyNumberFormat="1" applyFont="1" applyFill="1" applyBorder="1" applyAlignment="1" applyProtection="1">
      <alignment horizontal="center" vertical="center"/>
      <protection locked="0"/>
    </xf>
    <xf numFmtId="10" fontId="9" fillId="23" borderId="18" xfId="2" applyNumberFormat="1" applyFont="1" applyFill="1" applyBorder="1" applyAlignment="1" applyProtection="1">
      <alignment horizontal="center" vertical="center"/>
      <protection locked="0"/>
    </xf>
    <xf numFmtId="4" fontId="12" fillId="9" borderId="105" xfId="8" applyNumberFormat="1" applyFont="1" applyFill="1" applyBorder="1" applyAlignment="1">
      <alignment horizontal="center" vertical="center" wrapText="1"/>
    </xf>
    <xf numFmtId="4" fontId="12" fillId="9" borderId="106" xfId="8" applyNumberFormat="1" applyFont="1" applyFill="1" applyBorder="1" applyAlignment="1">
      <alignment horizontal="center" vertical="center" wrapText="1"/>
    </xf>
    <xf numFmtId="0" fontId="19" fillId="9" borderId="106" xfId="8" applyFont="1" applyFill="1" applyBorder="1" applyAlignment="1">
      <alignment textRotation="90"/>
    </xf>
    <xf numFmtId="3" fontId="19" fillId="9" borderId="106" xfId="8" applyNumberFormat="1" applyFont="1" applyFill="1" applyBorder="1" applyAlignment="1">
      <alignment horizontal="center" vertical="center" wrapText="1"/>
    </xf>
    <xf numFmtId="10" fontId="19" fillId="9" borderId="107" xfId="2" applyNumberFormat="1" applyFont="1" applyFill="1" applyBorder="1" applyAlignment="1">
      <alignment horizontal="center" vertical="center" wrapText="1"/>
    </xf>
    <xf numFmtId="3" fontId="19" fillId="9" borderId="110" xfId="8" applyNumberFormat="1" applyFont="1" applyFill="1" applyBorder="1" applyAlignment="1">
      <alignment horizontal="center" vertical="center" wrapText="1"/>
    </xf>
    <xf numFmtId="0" fontId="8" fillId="0" borderId="111" xfId="8" applyBorder="1"/>
    <xf numFmtId="0" fontId="8" fillId="0" borderId="93" xfId="8" applyBorder="1"/>
    <xf numFmtId="0" fontId="8" fillId="0" borderId="102" xfId="8" applyBorder="1"/>
    <xf numFmtId="0" fontId="8" fillId="4" borderId="112" xfId="8" applyFill="1" applyBorder="1"/>
    <xf numFmtId="0" fontId="8" fillId="0" borderId="112" xfId="8" applyBorder="1"/>
    <xf numFmtId="183" fontId="0" fillId="0" borderId="112" xfId="27" applyNumberFormat="1" applyFont="1" applyBorder="1"/>
    <xf numFmtId="4" fontId="9" fillId="0" borderId="112" xfId="8" applyNumberFormat="1" applyFont="1" applyBorder="1"/>
    <xf numFmtId="49" fontId="9" fillId="0" borderId="112" xfId="8" applyNumberFormat="1" applyFont="1" applyBorder="1" applyAlignment="1">
      <alignment horizontal="center" vertical="center" wrapText="1"/>
    </xf>
    <xf numFmtId="4" fontId="9" fillId="0" borderId="112" xfId="8" applyNumberFormat="1" applyFont="1" applyBorder="1" applyAlignment="1">
      <alignment vertical="center" wrapText="1"/>
    </xf>
    <xf numFmtId="4" fontId="9" fillId="0" borderId="112" xfId="8" applyNumberFormat="1" applyFont="1" applyBorder="1" applyAlignment="1">
      <alignment horizontal="center" vertical="center" wrapText="1"/>
    </xf>
    <xf numFmtId="4" fontId="9" fillId="4" borderId="112" xfId="8" applyNumberFormat="1" applyFont="1" applyFill="1" applyBorder="1" applyAlignment="1">
      <alignment horizontal="center" vertical="center" wrapText="1"/>
    </xf>
    <xf numFmtId="4" fontId="9" fillId="0" borderId="101" xfId="8" applyNumberFormat="1" applyFont="1" applyBorder="1" applyAlignment="1">
      <alignment horizontal="center" vertical="center" wrapText="1"/>
    </xf>
    <xf numFmtId="3" fontId="9" fillId="28" borderId="102" xfId="8" applyNumberFormat="1" applyFont="1" applyFill="1" applyBorder="1" applyAlignment="1">
      <alignment horizontal="center" vertical="center" wrapText="1"/>
    </xf>
    <xf numFmtId="4" fontId="9" fillId="28" borderId="102" xfId="8" applyNumberFormat="1" applyFont="1" applyFill="1" applyBorder="1" applyAlignment="1">
      <alignment horizontal="center" vertical="center" wrapText="1"/>
    </xf>
    <xf numFmtId="3" fontId="19" fillId="9" borderId="115" xfId="8" applyNumberFormat="1" applyFont="1" applyFill="1" applyBorder="1" applyAlignment="1">
      <alignment horizontal="center" vertical="center" wrapText="1"/>
    </xf>
    <xf numFmtId="4" fontId="10" fillId="4" borderId="116" xfId="8" applyNumberFormat="1" applyFont="1" applyFill="1" applyBorder="1" applyAlignment="1">
      <alignment horizontal="center" vertical="center" wrapText="1"/>
    </xf>
    <xf numFmtId="4" fontId="10" fillId="4" borderId="117" xfId="8" applyNumberFormat="1" applyFont="1" applyFill="1" applyBorder="1" applyAlignment="1">
      <alignment horizontal="center" vertical="center" wrapText="1"/>
    </xf>
    <xf numFmtId="4" fontId="10" fillId="4" borderId="118" xfId="8" applyNumberFormat="1" applyFont="1" applyFill="1" applyBorder="1" applyAlignment="1">
      <alignment horizontal="center" vertical="center" wrapText="1"/>
    </xf>
    <xf numFmtId="3" fontId="19" fillId="9" borderId="119" xfId="8" applyNumberFormat="1" applyFont="1" applyFill="1" applyBorder="1" applyAlignment="1">
      <alignment horizontal="center" vertical="center" wrapText="1"/>
    </xf>
    <xf numFmtId="166" fontId="8" fillId="28" borderId="120" xfId="8" applyNumberFormat="1" applyFill="1" applyBorder="1" applyAlignment="1">
      <alignment horizontal="center"/>
    </xf>
    <xf numFmtId="166" fontId="8" fillId="28" borderId="121" xfId="8" applyNumberFormat="1" applyFill="1" applyBorder="1" applyAlignment="1">
      <alignment horizontal="center"/>
    </xf>
    <xf numFmtId="166" fontId="8" fillId="28" borderId="122" xfId="8" applyNumberFormat="1" applyFill="1" applyBorder="1" applyAlignment="1">
      <alignment horizontal="center"/>
    </xf>
    <xf numFmtId="4" fontId="8" fillId="0" borderId="123" xfId="8" applyNumberFormat="1" applyBorder="1" applyAlignment="1">
      <alignment horizontal="center"/>
    </xf>
    <xf numFmtId="4" fontId="8" fillId="0" borderId="124" xfId="8" applyNumberFormat="1" applyBorder="1" applyAlignment="1">
      <alignment horizontal="center"/>
    </xf>
    <xf numFmtId="4" fontId="8" fillId="0" borderId="125" xfId="8" applyNumberFormat="1" applyBorder="1" applyAlignment="1">
      <alignment horizontal="center"/>
    </xf>
    <xf numFmtId="170" fontId="17" fillId="12" borderId="21" xfId="25" applyNumberFormat="1" applyFont="1" applyFill="1" applyBorder="1" applyAlignment="1" applyProtection="1">
      <alignment horizontal="center" vertical="center"/>
    </xf>
    <xf numFmtId="170" fontId="43" fillId="12" borderId="21" xfId="25" applyNumberFormat="1" applyFont="1" applyFill="1" applyBorder="1" applyAlignment="1" applyProtection="1">
      <alignment horizontal="center" vertical="center"/>
    </xf>
    <xf numFmtId="173" fontId="0" fillId="0" borderId="0" xfId="0" applyNumberFormat="1" applyAlignment="1">
      <alignment horizontal="center"/>
    </xf>
    <xf numFmtId="0" fontId="39" fillId="18" borderId="0" xfId="0" applyFont="1" applyFill="1"/>
    <xf numFmtId="0" fontId="39" fillId="18" borderId="0" xfId="0" applyFont="1" applyFill="1" applyAlignment="1">
      <alignment horizontal="center"/>
    </xf>
    <xf numFmtId="7" fontId="0" fillId="0" borderId="0" xfId="0" applyNumberFormat="1"/>
    <xf numFmtId="0" fontId="8" fillId="0" borderId="0" xfId="0" applyFont="1" applyAlignment="1">
      <alignment horizontal="center"/>
    </xf>
    <xf numFmtId="7" fontId="52" fillId="14" borderId="0" xfId="0" applyNumberFormat="1" applyFont="1" applyFill="1" applyAlignment="1">
      <alignment horizontal="center"/>
    </xf>
    <xf numFmtId="17" fontId="43" fillId="0" borderId="0" xfId="0" applyNumberFormat="1" applyFont="1"/>
    <xf numFmtId="170" fontId="10" fillId="30" borderId="0" xfId="25" applyNumberFormat="1" applyFont="1" applyFill="1" applyBorder="1" applyAlignment="1" applyProtection="1">
      <alignment horizontal="center" vertical="center"/>
      <protection locked="0"/>
    </xf>
    <xf numFmtId="0" fontId="9" fillId="12" borderId="0" xfId="8" applyFont="1" applyFill="1"/>
    <xf numFmtId="179" fontId="9" fillId="4" borderId="21" xfId="26" applyNumberFormat="1" applyFont="1" applyFill="1" applyBorder="1" applyAlignment="1" applyProtection="1">
      <alignment horizontal="center" vertical="center"/>
      <protection locked="0"/>
    </xf>
    <xf numFmtId="169" fontId="10" fillId="2" borderId="57" xfId="25" applyNumberFormat="1" applyFont="1" applyFill="1" applyBorder="1" applyAlignment="1" applyProtection="1">
      <alignment horizontal="center" vertical="center"/>
    </xf>
    <xf numFmtId="169" fontId="10" fillId="2" borderId="58" xfId="25" applyNumberFormat="1" applyFont="1" applyFill="1" applyBorder="1" applyAlignment="1" applyProtection="1">
      <alignment horizontal="center" vertical="center"/>
    </xf>
    <xf numFmtId="178" fontId="9" fillId="4" borderId="21" xfId="26" applyFont="1" applyFill="1" applyBorder="1" applyAlignment="1" applyProtection="1">
      <alignment horizontal="center" vertical="center"/>
      <protection locked="0"/>
    </xf>
    <xf numFmtId="178" fontId="10" fillId="2" borderId="57" xfId="25" applyNumberFormat="1" applyFont="1" applyFill="1" applyBorder="1" applyAlignment="1" applyProtection="1">
      <alignment horizontal="center" vertical="center"/>
    </xf>
    <xf numFmtId="168" fontId="53" fillId="12" borderId="21" xfId="25" applyNumberFormat="1" applyFont="1" applyFill="1" applyBorder="1" applyAlignment="1" applyProtection="1">
      <alignment horizontal="center" vertical="center"/>
      <protection locked="0"/>
    </xf>
    <xf numFmtId="169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9" fillId="2" borderId="0" xfId="8" applyFont="1" applyFill="1" applyProtection="1">
      <protection locked="0"/>
    </xf>
    <xf numFmtId="178" fontId="10" fillId="12" borderId="21" xfId="25" applyNumberFormat="1" applyFont="1" applyFill="1" applyBorder="1" applyAlignment="1" applyProtection="1">
      <alignment horizontal="center" vertical="center"/>
      <protection locked="0"/>
    </xf>
    <xf numFmtId="178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22" fillId="25" borderId="18" xfId="8" applyFont="1" applyFill="1" applyBorder="1" applyAlignment="1">
      <alignment horizontal="center"/>
    </xf>
    <xf numFmtId="168" fontId="10" fillId="2" borderId="21" xfId="8" applyNumberFormat="1" applyFont="1" applyFill="1" applyBorder="1" applyAlignment="1">
      <alignment horizontal="center"/>
    </xf>
    <xf numFmtId="0" fontId="10" fillId="2" borderId="56" xfId="8" applyFont="1" applyFill="1" applyBorder="1" applyAlignment="1">
      <alignment horizontal="center"/>
    </xf>
    <xf numFmtId="170" fontId="10" fillId="12" borderId="57" xfId="25" applyNumberFormat="1" applyFont="1" applyFill="1" applyBorder="1" applyAlignment="1" applyProtection="1">
      <alignment horizontal="center" vertical="center"/>
    </xf>
    <xf numFmtId="170" fontId="9" fillId="2" borderId="21" xfId="25" applyNumberFormat="1" applyFont="1" applyFill="1" applyBorder="1" applyAlignment="1" applyProtection="1">
      <alignment horizontal="center" vertical="center"/>
      <protection locked="0"/>
    </xf>
    <xf numFmtId="170" fontId="10" fillId="0" borderId="57" xfId="25" applyNumberFormat="1" applyFont="1" applyFill="1" applyBorder="1" applyAlignment="1" applyProtection="1">
      <alignment horizontal="center" vertical="center"/>
    </xf>
    <xf numFmtId="0" fontId="9" fillId="21" borderId="0" xfId="8" applyFont="1" applyFill="1"/>
    <xf numFmtId="0" fontId="10" fillId="0" borderId="0" xfId="8" applyFont="1" applyAlignment="1">
      <alignment horizontal="center" vertical="center" textRotation="90"/>
    </xf>
    <xf numFmtId="0" fontId="9" fillId="0" borderId="0" xfId="8" applyFont="1"/>
    <xf numFmtId="182" fontId="9" fillId="0" borderId="0" xfId="25" applyNumberFormat="1" applyFont="1" applyFill="1" applyBorder="1" applyAlignment="1" applyProtection="1">
      <alignment horizontal="center" vertical="center"/>
    </xf>
    <xf numFmtId="182" fontId="9" fillId="0" borderId="0" xfId="25" applyNumberFormat="1" applyFont="1" applyFill="1" applyBorder="1" applyAlignment="1" applyProtection="1">
      <alignment horizontal="right" vertical="center"/>
    </xf>
    <xf numFmtId="170" fontId="9" fillId="0" borderId="0" xfId="25" applyNumberFormat="1" applyFont="1" applyFill="1" applyBorder="1" applyAlignment="1" applyProtection="1">
      <alignment horizontal="right" vertical="center"/>
    </xf>
    <xf numFmtId="0" fontId="10" fillId="0" borderId="0" xfId="8" applyFont="1"/>
    <xf numFmtId="170" fontId="10" fillId="12" borderId="58" xfId="25" applyNumberFormat="1" applyFont="1" applyFill="1" applyBorder="1" applyAlignment="1" applyProtection="1">
      <alignment horizontal="center" vertical="center"/>
    </xf>
    <xf numFmtId="169" fontId="9" fillId="0" borderId="0" xfId="25" applyNumberFormat="1" applyFont="1" applyFill="1" applyBorder="1" applyAlignment="1" applyProtection="1">
      <alignment horizontal="right" vertical="center"/>
    </xf>
    <xf numFmtId="170" fontId="10" fillId="0" borderId="0" xfId="25" applyNumberFormat="1" applyFont="1" applyFill="1" applyBorder="1" applyAlignment="1" applyProtection="1">
      <alignment horizontal="center" vertical="center"/>
    </xf>
    <xf numFmtId="182" fontId="9" fillId="2" borderId="0" xfId="25" applyNumberFormat="1" applyFont="1" applyFill="1" applyBorder="1" applyAlignment="1" applyProtection="1">
      <alignment horizontal="center" vertical="center"/>
    </xf>
    <xf numFmtId="170" fontId="9" fillId="2" borderId="0" xfId="25" applyNumberFormat="1" applyFont="1" applyFill="1" applyBorder="1" applyAlignment="1" applyProtection="1">
      <alignment horizontal="right" vertical="center"/>
    </xf>
    <xf numFmtId="168" fontId="10" fillId="2" borderId="56" xfId="8" applyNumberFormat="1" applyFont="1" applyFill="1" applyBorder="1" applyAlignment="1">
      <alignment horizontal="center"/>
    </xf>
    <xf numFmtId="0" fontId="10" fillId="4" borderId="0" xfId="8" applyFont="1" applyFill="1" applyAlignment="1">
      <alignment horizontal="center" vertical="center" textRotation="90"/>
    </xf>
    <xf numFmtId="2" fontId="9" fillId="4" borderId="0" xfId="8" applyNumberFormat="1" applyFont="1" applyFill="1"/>
    <xf numFmtId="169" fontId="10" fillId="12" borderId="56" xfId="25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right" vertical="center"/>
    </xf>
    <xf numFmtId="169" fontId="10" fillId="2" borderId="0" xfId="25" applyNumberFormat="1" applyFont="1" applyFill="1" applyBorder="1" applyAlignment="1" applyProtection="1">
      <alignment horizontal="center" vertical="center"/>
    </xf>
    <xf numFmtId="169" fontId="10" fillId="12" borderId="57" xfId="25" applyNumberFormat="1" applyFont="1" applyFill="1" applyBorder="1" applyAlignment="1" applyProtection="1">
      <alignment horizontal="center" vertical="center"/>
    </xf>
    <xf numFmtId="168" fontId="10" fillId="12" borderId="21" xfId="25" applyNumberFormat="1" applyFont="1" applyFill="1" applyBorder="1" applyAlignment="1" applyProtection="1">
      <alignment horizontal="center" vertical="center"/>
    </xf>
    <xf numFmtId="178" fontId="10" fillId="12" borderId="58" xfId="25" applyNumberFormat="1" applyFont="1" applyFill="1" applyBorder="1" applyAlignment="1" applyProtection="1">
      <alignment horizontal="center" vertical="center"/>
    </xf>
    <xf numFmtId="179" fontId="9" fillId="0" borderId="0" xfId="26" applyNumberFormat="1" applyFont="1" applyFill="1" applyBorder="1" applyAlignment="1" applyProtection="1">
      <alignment horizontal="center" vertical="center"/>
    </xf>
    <xf numFmtId="179" fontId="10" fillId="0" borderId="0" xfId="26" applyNumberFormat="1" applyFont="1" applyFill="1" applyBorder="1" applyAlignment="1" applyProtection="1">
      <alignment horizontal="center"/>
    </xf>
    <xf numFmtId="0" fontId="8" fillId="0" borderId="0" xfId="0" applyFont="1" applyProtection="1">
      <protection locked="0"/>
    </xf>
    <xf numFmtId="1" fontId="0" fillId="0" borderId="0" xfId="0" applyNumberFormat="1" applyProtection="1">
      <protection locked="0"/>
    </xf>
    <xf numFmtId="2" fontId="11" fillId="14" borderId="0" xfId="0" applyNumberFormat="1" applyFont="1" applyFill="1" applyAlignment="1" applyProtection="1">
      <alignment horizontal="center"/>
      <protection locked="0"/>
    </xf>
    <xf numFmtId="1" fontId="11" fillId="14" borderId="0" xfId="0" applyNumberFormat="1" applyFont="1" applyFill="1" applyAlignment="1" applyProtection="1">
      <alignment horizontal="center"/>
      <protection locked="0"/>
    </xf>
    <xf numFmtId="1" fontId="54" fillId="0" borderId="104" xfId="0" applyNumberFormat="1" applyFont="1" applyBorder="1" applyAlignment="1">
      <alignment horizontal="center" vertical="center"/>
    </xf>
    <xf numFmtId="0" fontId="24" fillId="29" borderId="83" xfId="0" applyFont="1" applyFill="1" applyBorder="1" applyAlignment="1">
      <alignment horizontal="center" vertical="center"/>
    </xf>
    <xf numFmtId="14" fontId="8" fillId="0" borderId="0" xfId="0" applyNumberFormat="1" applyFont="1"/>
    <xf numFmtId="0" fontId="39" fillId="19" borderId="127" xfId="0" applyFont="1" applyFill="1" applyBorder="1" applyAlignment="1">
      <alignment vertical="center"/>
    </xf>
    <xf numFmtId="0" fontId="39" fillId="10" borderId="127" xfId="0" applyFont="1" applyFill="1" applyBorder="1" applyAlignment="1">
      <alignment vertical="center"/>
    </xf>
    <xf numFmtId="3" fontId="39" fillId="10" borderId="127" xfId="0" applyNumberFormat="1" applyFont="1" applyFill="1" applyBorder="1" applyAlignment="1">
      <alignment vertical="center"/>
    </xf>
    <xf numFmtId="17" fontId="39" fillId="10" borderId="127" xfId="0" applyNumberFormat="1" applyFont="1" applyFill="1" applyBorder="1" applyAlignment="1">
      <alignment horizontal="center" vertical="center"/>
    </xf>
    <xf numFmtId="165" fontId="39" fillId="10" borderId="127" xfId="2" applyNumberFormat="1" applyFont="1" applyFill="1" applyBorder="1" applyAlignment="1">
      <alignment horizontal="center" vertical="center"/>
    </xf>
    <xf numFmtId="0" fontId="0" fillId="32" borderId="127" xfId="0" applyFill="1" applyBorder="1" applyAlignment="1">
      <alignment vertical="center"/>
    </xf>
    <xf numFmtId="0" fontId="0" fillId="0" borderId="127" xfId="0" applyBorder="1" applyAlignment="1">
      <alignment vertical="center"/>
    </xf>
    <xf numFmtId="9" fontId="11" fillId="0" borderId="0" xfId="2" applyFont="1" applyAlignment="1" applyProtection="1">
      <alignment horizontal="center"/>
      <protection locked="0"/>
    </xf>
    <xf numFmtId="9" fontId="11" fillId="14" borderId="0" xfId="2" applyFont="1" applyFill="1" applyAlignment="1" applyProtection="1">
      <alignment horizontal="center"/>
      <protection locked="0"/>
    </xf>
    <xf numFmtId="0" fontId="39" fillId="19" borderId="0" xfId="0" applyFont="1" applyFill="1" applyAlignment="1">
      <alignment vertical="center"/>
    </xf>
    <xf numFmtId="0" fontId="39" fillId="19" borderId="0" xfId="0" applyFont="1" applyFill="1" applyAlignment="1">
      <alignment horizontal="left" vertical="center"/>
    </xf>
    <xf numFmtId="2" fontId="9" fillId="0" borderId="0" xfId="0" applyNumberFormat="1" applyFont="1" applyAlignment="1">
      <alignment horizontal="center"/>
    </xf>
    <xf numFmtId="2" fontId="9" fillId="5" borderId="0" xfId="0" applyNumberFormat="1" applyFont="1" applyFill="1" applyAlignment="1">
      <alignment horizontal="center"/>
    </xf>
    <xf numFmtId="1" fontId="39" fillId="10" borderId="0" xfId="2" applyNumberFormat="1" applyFont="1" applyFill="1" applyBorder="1" applyAlignment="1">
      <alignment horizontal="center" vertical="center"/>
    </xf>
    <xf numFmtId="1" fontId="0" fillId="0" borderId="0" xfId="2" applyNumberFormat="1" applyFont="1" applyBorder="1" applyAlignment="1">
      <alignment vertical="center"/>
    </xf>
    <xf numFmtId="10" fontId="39" fillId="10" borderId="127" xfId="2" applyNumberFormat="1" applyFont="1" applyFill="1" applyBorder="1" applyAlignment="1">
      <alignment horizontal="center" vertical="center"/>
    </xf>
    <xf numFmtId="10" fontId="0" fillId="0" borderId="127" xfId="2" applyNumberFormat="1" applyFont="1" applyBorder="1" applyAlignment="1">
      <alignment vertical="center"/>
    </xf>
    <xf numFmtId="0" fontId="0" fillId="14" borderId="127" xfId="0" applyFill="1" applyBorder="1" applyAlignment="1">
      <alignment horizontal="left" vertical="center"/>
    </xf>
    <xf numFmtId="0" fontId="0" fillId="14" borderId="127" xfId="0" applyFill="1" applyBorder="1" applyAlignment="1">
      <alignment horizontal="center" vertical="center"/>
    </xf>
    <xf numFmtId="4" fontId="56" fillId="0" borderId="127" xfId="0" applyNumberFormat="1" applyFont="1" applyBorder="1" applyAlignment="1">
      <alignment horizontal="left" vertical="center"/>
    </xf>
    <xf numFmtId="4" fontId="56" fillId="0" borderId="127" xfId="0" applyNumberFormat="1" applyFont="1" applyBorder="1" applyAlignment="1">
      <alignment horizontal="right" vertical="center"/>
    </xf>
    <xf numFmtId="0" fontId="0" fillId="14" borderId="127" xfId="0" applyFill="1" applyBorder="1" applyAlignment="1" applyProtection="1">
      <alignment horizontal="left" vertical="center"/>
      <protection locked="0"/>
    </xf>
    <xf numFmtId="0" fontId="0" fillId="14" borderId="127" xfId="0" applyFill="1" applyBorder="1" applyAlignment="1" applyProtection="1">
      <alignment horizontal="center" vertical="center"/>
      <protection locked="0"/>
    </xf>
    <xf numFmtId="49" fontId="0" fillId="14" borderId="127" xfId="0" applyNumberFormat="1" applyFill="1" applyBorder="1" applyAlignment="1">
      <alignment horizontal="center" vertical="center"/>
    </xf>
    <xf numFmtId="4" fontId="56" fillId="14" borderId="127" xfId="0" applyNumberFormat="1" applyFont="1" applyFill="1" applyBorder="1" applyAlignment="1" applyProtection="1">
      <alignment horizontal="left" vertical="center"/>
      <protection locked="0"/>
    </xf>
    <xf numFmtId="4" fontId="56" fillId="14" borderId="127" xfId="0" applyNumberFormat="1" applyFont="1" applyFill="1" applyBorder="1" applyAlignment="1" applyProtection="1">
      <alignment horizontal="center" vertical="center"/>
      <protection locked="0"/>
    </xf>
    <xf numFmtId="4" fontId="56" fillId="5" borderId="127" xfId="0" applyNumberFormat="1" applyFont="1" applyFill="1" applyBorder="1" applyAlignment="1">
      <alignment horizontal="left" vertical="center"/>
    </xf>
    <xf numFmtId="4" fontId="56" fillId="5" borderId="127" xfId="0" applyNumberFormat="1" applyFont="1" applyFill="1" applyBorder="1" applyAlignment="1">
      <alignment horizontal="right" vertical="center"/>
    </xf>
    <xf numFmtId="165" fontId="0" fillId="0" borderId="127" xfId="2" applyNumberFormat="1" applyFont="1" applyBorder="1" applyAlignment="1">
      <alignment horizontal="center" vertical="center"/>
    </xf>
    <xf numFmtId="0" fontId="31" fillId="29" borderId="0" xfId="0" applyFont="1" applyFill="1" applyProtection="1">
      <protection locked="0"/>
    </xf>
    <xf numFmtId="165" fontId="30" fillId="4" borderId="130" xfId="2" applyNumberFormat="1" applyFont="1" applyFill="1" applyBorder="1" applyAlignment="1" applyProtection="1">
      <alignment horizontal="center"/>
      <protection locked="0"/>
    </xf>
    <xf numFmtId="0" fontId="39" fillId="18" borderId="0" xfId="0" applyFont="1" applyFill="1" applyAlignment="1" applyProtection="1">
      <alignment wrapText="1"/>
      <protection locked="0"/>
    </xf>
    <xf numFmtId="0" fontId="39" fillId="18" borderId="0" xfId="0" applyFont="1" applyFill="1" applyAlignment="1" applyProtection="1">
      <alignment horizontal="center" wrapText="1"/>
      <protection locked="0"/>
    </xf>
    <xf numFmtId="9" fontId="39" fillId="18" borderId="0" xfId="2" applyFont="1" applyFill="1" applyAlignment="1" applyProtection="1">
      <alignment horizontal="center" wrapText="1"/>
      <protection locked="0"/>
    </xf>
    <xf numFmtId="2" fontId="11" fillId="14" borderId="0" xfId="2" applyNumberFormat="1" applyFont="1" applyFill="1" applyAlignment="1" applyProtection="1">
      <alignment horizontal="center"/>
      <protection locked="0"/>
    </xf>
    <xf numFmtId="0" fontId="57" fillId="0" borderId="0" xfId="28"/>
    <xf numFmtId="1" fontId="57" fillId="0" borderId="0" xfId="28" applyNumberFormat="1"/>
    <xf numFmtId="2" fontId="11" fillId="0" borderId="0" xfId="2" applyNumberFormat="1" applyFont="1" applyAlignment="1" applyProtection="1">
      <alignment horizontal="center"/>
      <protection locked="0"/>
    </xf>
    <xf numFmtId="2" fontId="39" fillId="18" borderId="0" xfId="2" applyNumberFormat="1" applyFont="1" applyFill="1" applyAlignment="1" applyProtection="1">
      <alignment horizontal="center" wrapText="1"/>
      <protection locked="0"/>
    </xf>
    <xf numFmtId="0" fontId="11" fillId="5" borderId="0" xfId="0" applyFont="1" applyFill="1" applyProtection="1">
      <protection locked="0"/>
    </xf>
    <xf numFmtId="0" fontId="59" fillId="0" borderId="0" xfId="0" applyFont="1" applyProtection="1">
      <protection locked="0"/>
    </xf>
    <xf numFmtId="9" fontId="0" fillId="0" borderId="0" xfId="2" applyFont="1" applyProtection="1">
      <protection locked="0"/>
    </xf>
    <xf numFmtId="0" fontId="0" fillId="0" borderId="135" xfId="0" applyBorder="1" applyProtection="1">
      <protection locked="0"/>
    </xf>
    <xf numFmtId="0" fontId="0" fillId="0" borderId="136" xfId="0" applyBorder="1" applyProtection="1">
      <protection locked="0"/>
    </xf>
    <xf numFmtId="0" fontId="65" fillId="40" borderId="137" xfId="0" applyFont="1" applyFill="1" applyBorder="1" applyAlignment="1" applyProtection="1">
      <alignment horizontal="center"/>
      <protection locked="0"/>
    </xf>
    <xf numFmtId="0" fontId="60" fillId="34" borderId="138" xfId="0" applyFont="1" applyFill="1" applyBorder="1" applyAlignment="1" applyProtection="1">
      <alignment horizontal="center" vertical="center"/>
      <protection locked="0"/>
    </xf>
    <xf numFmtId="0" fontId="60" fillId="34" borderId="6" xfId="0" applyFont="1" applyFill="1" applyBorder="1" applyAlignment="1" applyProtection="1">
      <alignment horizontal="center" vertical="center"/>
      <protection locked="0"/>
    </xf>
    <xf numFmtId="0" fontId="60" fillId="34" borderId="9" xfId="0" applyFont="1" applyFill="1" applyBorder="1" applyAlignment="1" applyProtection="1">
      <alignment horizontal="center" vertical="center"/>
      <protection locked="0"/>
    </xf>
    <xf numFmtId="1" fontId="60" fillId="17" borderId="9" xfId="29" applyNumberFormat="1" applyFont="1" applyFill="1" applyBorder="1" applyAlignment="1" applyProtection="1">
      <alignment horizontal="center" vertical="center"/>
      <protection locked="0"/>
    </xf>
    <xf numFmtId="0" fontId="0" fillId="0" borderId="142" xfId="0" applyBorder="1" applyProtection="1">
      <protection locked="0"/>
    </xf>
    <xf numFmtId="0" fontId="0" fillId="0" borderId="139" xfId="0" applyBorder="1" applyProtection="1">
      <protection locked="0"/>
    </xf>
    <xf numFmtId="0" fontId="60" fillId="36" borderId="148" xfId="0" applyFont="1" applyFill="1" applyBorder="1" applyAlignment="1" applyProtection="1">
      <alignment horizontal="center"/>
      <protection locked="0"/>
    </xf>
    <xf numFmtId="0" fontId="60" fillId="32" borderId="9" xfId="0" applyFont="1" applyFill="1" applyBorder="1" applyAlignment="1" applyProtection="1">
      <alignment vertical="center"/>
      <protection locked="0"/>
    </xf>
    <xf numFmtId="0" fontId="60" fillId="32" borderId="9" xfId="0" applyFont="1" applyFill="1" applyBorder="1" applyAlignment="1" applyProtection="1">
      <alignment horizontal="center" vertical="center"/>
      <protection locked="0"/>
    </xf>
    <xf numFmtId="0" fontId="61" fillId="35" borderId="149" xfId="0" applyFont="1" applyFill="1" applyBorder="1" applyAlignment="1" applyProtection="1">
      <alignment horizontal="center" vertical="center"/>
      <protection locked="0"/>
    </xf>
    <xf numFmtId="44" fontId="60" fillId="0" borderId="6" xfId="29" applyFont="1" applyBorder="1" applyAlignment="1" applyProtection="1">
      <alignment horizontal="center" vertical="center"/>
      <protection locked="0"/>
    </xf>
    <xf numFmtId="0" fontId="60" fillId="0" borderId="6" xfId="0" applyFont="1" applyBorder="1" applyAlignment="1" applyProtection="1">
      <alignment horizontal="center" vertical="center"/>
      <protection locked="0"/>
    </xf>
    <xf numFmtId="0" fontId="65" fillId="16" borderId="137" xfId="0" applyFont="1" applyFill="1" applyBorder="1" applyAlignment="1" applyProtection="1">
      <alignment horizontal="center"/>
      <protection locked="0"/>
    </xf>
    <xf numFmtId="0" fontId="65" fillId="16" borderId="143" xfId="0" applyFont="1" applyFill="1" applyBorder="1" applyAlignment="1" applyProtection="1">
      <alignment horizontal="center"/>
      <protection locked="0"/>
    </xf>
    <xf numFmtId="0" fontId="65" fillId="16" borderId="8" xfId="0" applyFont="1" applyFill="1" applyBorder="1" applyAlignment="1" applyProtection="1">
      <alignment horizontal="center"/>
      <protection locked="0"/>
    </xf>
    <xf numFmtId="0" fontId="0" fillId="0" borderId="150" xfId="0" applyBorder="1" applyProtection="1">
      <protection locked="0"/>
    </xf>
    <xf numFmtId="0" fontId="0" fillId="0" borderId="151" xfId="0" applyBorder="1" applyProtection="1">
      <protection locked="0"/>
    </xf>
    <xf numFmtId="0" fontId="0" fillId="0" borderId="152" xfId="0" applyBorder="1" applyProtection="1">
      <protection locked="0"/>
    </xf>
    <xf numFmtId="0" fontId="64" fillId="0" borderId="0" xfId="0" applyFont="1" applyProtection="1">
      <protection locked="0"/>
    </xf>
    <xf numFmtId="0" fontId="46" fillId="14" borderId="1" xfId="0" applyFont="1" applyFill="1" applyBorder="1" applyAlignment="1" applyProtection="1">
      <alignment horizontal="center" vertical="center"/>
      <protection locked="0"/>
    </xf>
    <xf numFmtId="0" fontId="46" fillId="14" borderId="10" xfId="0" applyFont="1" applyFill="1" applyBorder="1" applyAlignment="1" applyProtection="1">
      <alignment horizontal="center" vertical="center"/>
      <protection locked="0"/>
    </xf>
    <xf numFmtId="9" fontId="46" fillId="14" borderId="24" xfId="2" applyFont="1" applyFill="1" applyBorder="1" applyAlignment="1" applyProtection="1">
      <alignment horizontal="center" vertical="center"/>
      <protection locked="0"/>
    </xf>
    <xf numFmtId="0" fontId="61" fillId="38" borderId="140" xfId="0" applyFont="1" applyFill="1" applyBorder="1" applyAlignment="1">
      <alignment horizontal="center" vertical="center"/>
    </xf>
    <xf numFmtId="0" fontId="61" fillId="38" borderId="140" xfId="0" applyFont="1" applyFill="1" applyBorder="1" applyAlignment="1">
      <alignment horizontal="right" vertical="center"/>
    </xf>
    <xf numFmtId="185" fontId="60" fillId="5" borderId="138" xfId="29" applyNumberFormat="1" applyFont="1" applyFill="1" applyBorder="1" applyAlignment="1" applyProtection="1">
      <alignment horizontal="center" vertical="center"/>
    </xf>
    <xf numFmtId="185" fontId="60" fillId="5" borderId="9" xfId="29" applyNumberFormat="1" applyFont="1" applyFill="1" applyBorder="1" applyAlignment="1" applyProtection="1">
      <alignment vertical="center"/>
    </xf>
    <xf numFmtId="3" fontId="60" fillId="5" borderId="138" xfId="0" applyNumberFormat="1" applyFont="1" applyFill="1" applyBorder="1" applyAlignment="1">
      <alignment horizontal="center" vertical="center"/>
    </xf>
    <xf numFmtId="2" fontId="60" fillId="5" borderId="9" xfId="0" applyNumberFormat="1" applyFont="1" applyFill="1" applyBorder="1" applyAlignment="1">
      <alignment horizontal="center" vertical="center"/>
    </xf>
    <xf numFmtId="165" fontId="60" fillId="0" borderId="9" xfId="2" applyNumberFormat="1" applyFont="1" applyFill="1" applyBorder="1" applyAlignment="1" applyProtection="1">
      <alignment horizontal="center" vertical="center"/>
    </xf>
    <xf numFmtId="0" fontId="66" fillId="0" borderId="9" xfId="0" applyFont="1" applyBorder="1" applyAlignment="1">
      <alignment horizontal="center"/>
    </xf>
    <xf numFmtId="44" fontId="60" fillId="0" borderId="138" xfId="29" applyFont="1" applyFill="1" applyBorder="1" applyAlignment="1" applyProtection="1">
      <alignment horizontal="center" vertical="center"/>
    </xf>
    <xf numFmtId="0" fontId="61" fillId="3" borderId="140" xfId="0" applyFont="1" applyFill="1" applyBorder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0" fontId="39" fillId="19" borderId="0" xfId="0" applyFont="1" applyFill="1"/>
    <xf numFmtId="0" fontId="32" fillId="29" borderId="28" xfId="0" applyFont="1" applyFill="1" applyBorder="1" applyProtection="1">
      <protection locked="0"/>
    </xf>
    <xf numFmtId="0" fontId="32" fillId="19" borderId="0" xfId="0" applyFont="1" applyFill="1" applyAlignment="1">
      <alignment horizontal="center"/>
    </xf>
    <xf numFmtId="4" fontId="33" fillId="4" borderId="104" xfId="2" applyNumberFormat="1" applyFont="1" applyFill="1" applyBorder="1" applyAlignment="1" applyProtection="1">
      <alignment horizontal="center"/>
    </xf>
    <xf numFmtId="3" fontId="32" fillId="19" borderId="0" xfId="0" applyNumberFormat="1" applyFont="1" applyFill="1" applyAlignment="1">
      <alignment horizontal="center"/>
    </xf>
    <xf numFmtId="3" fontId="33" fillId="4" borderId="104" xfId="2" applyNumberFormat="1" applyFont="1" applyFill="1" applyBorder="1" applyAlignment="1" applyProtection="1">
      <alignment horizontal="center"/>
    </xf>
    <xf numFmtId="3" fontId="30" fillId="0" borderId="0" xfId="0" applyNumberFormat="1" applyFont="1" applyAlignment="1">
      <alignment horizontal="center"/>
    </xf>
    <xf numFmtId="1" fontId="32" fillId="19" borderId="104" xfId="2" applyNumberFormat="1" applyFont="1" applyFill="1" applyBorder="1" applyAlignment="1" applyProtection="1">
      <alignment horizontal="center"/>
    </xf>
    <xf numFmtId="165" fontId="0" fillId="0" borderId="0" xfId="0" applyNumberFormat="1"/>
    <xf numFmtId="165" fontId="8" fillId="0" borderId="0" xfId="0" applyNumberFormat="1" applyFont="1"/>
    <xf numFmtId="0" fontId="32" fillId="29" borderId="0" xfId="0" applyFont="1" applyFill="1" applyProtection="1">
      <protection locked="0"/>
    </xf>
    <xf numFmtId="0" fontId="27" fillId="0" borderId="126" xfId="0" applyFont="1" applyBorder="1"/>
    <xf numFmtId="10" fontId="30" fillId="0" borderId="0" xfId="2" applyNumberFormat="1" applyFont="1" applyAlignment="1">
      <alignment horizontal="center"/>
    </xf>
    <xf numFmtId="1" fontId="0" fillId="0" borderId="0" xfId="0" applyNumberFormat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186" fontId="0" fillId="0" borderId="0" xfId="0" applyNumberFormat="1"/>
    <xf numFmtId="5" fontId="0" fillId="0" borderId="0" xfId="0" applyNumberFormat="1"/>
    <xf numFmtId="14" fontId="27" fillId="4" borderId="0" xfId="0" applyNumberFormat="1" applyFont="1" applyFill="1" applyAlignment="1">
      <alignment horizontal="center"/>
    </xf>
    <xf numFmtId="3" fontId="33" fillId="5" borderId="104" xfId="2" applyNumberFormat="1" applyFont="1" applyFill="1" applyBorder="1" applyAlignment="1" applyProtection="1">
      <alignment horizontal="center"/>
    </xf>
    <xf numFmtId="0" fontId="44" fillId="39" borderId="48" xfId="0" applyFont="1" applyFill="1" applyBorder="1" applyAlignment="1">
      <alignment horizontal="center" vertical="center"/>
    </xf>
    <xf numFmtId="3" fontId="44" fillId="0" borderId="49" xfId="0" applyNumberFormat="1" applyFont="1" applyBorder="1" applyAlignment="1">
      <alignment horizontal="center" vertical="center"/>
    </xf>
    <xf numFmtId="2" fontId="44" fillId="0" borderId="49" xfId="0" applyNumberFormat="1" applyFont="1" applyBorder="1" applyAlignment="1">
      <alignment horizontal="center" vertical="center"/>
    </xf>
    <xf numFmtId="0" fontId="68" fillId="0" borderId="4" xfId="0" applyFont="1" applyBorder="1" applyProtection="1">
      <protection locked="0"/>
    </xf>
    <xf numFmtId="44" fontId="44" fillId="0" borderId="154" xfId="29" applyFont="1" applyBorder="1" applyAlignment="1" applyProtection="1">
      <alignment horizontal="center" vertical="center"/>
    </xf>
    <xf numFmtId="9" fontId="68" fillId="0" borderId="5" xfId="2" applyFont="1" applyBorder="1" applyProtection="1">
      <protection locked="0"/>
    </xf>
    <xf numFmtId="0" fontId="68" fillId="0" borderId="0" xfId="0" applyFont="1" applyProtection="1">
      <protection locked="0"/>
    </xf>
    <xf numFmtId="9" fontId="68" fillId="0" borderId="0" xfId="2" applyFont="1" applyProtection="1">
      <protection locked="0"/>
    </xf>
    <xf numFmtId="0" fontId="44" fillId="39" borderId="47" xfId="0" applyFont="1" applyFill="1" applyBorder="1" applyAlignment="1">
      <alignment horizontal="center" vertical="center"/>
    </xf>
    <xf numFmtId="0" fontId="69" fillId="34" borderId="9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9" fillId="19" borderId="0" xfId="0" applyFon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10" fontId="44" fillId="0" borderId="153" xfId="2" applyNumberFormat="1" applyFont="1" applyBorder="1" applyAlignment="1" applyProtection="1">
      <alignment horizontal="center" vertical="center"/>
    </xf>
    <xf numFmtId="0" fontId="10" fillId="4" borderId="0" xfId="8" applyFont="1" applyFill="1" applyProtection="1">
      <protection locked="0"/>
    </xf>
    <xf numFmtId="0" fontId="30" fillId="0" borderId="0" xfId="0" applyFont="1" applyAlignment="1">
      <alignment horizontal="center"/>
    </xf>
    <xf numFmtId="1" fontId="30" fillId="0" borderId="0" xfId="0" applyNumberFormat="1" applyFont="1" applyAlignment="1">
      <alignment horizontal="center"/>
    </xf>
    <xf numFmtId="0" fontId="24" fillId="29" borderId="28" xfId="0" applyFont="1" applyFill="1" applyBorder="1" applyAlignment="1" applyProtection="1">
      <alignment horizontal="left" vertical="center"/>
      <protection locked="0"/>
    </xf>
    <xf numFmtId="0" fontId="12" fillId="19" borderId="0" xfId="8" applyFont="1" applyFill="1" applyAlignment="1">
      <alignment horizontal="center"/>
    </xf>
    <xf numFmtId="0" fontId="10" fillId="13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5" fillId="19" borderId="0" xfId="8" applyFont="1" applyFill="1" applyAlignment="1">
      <alignment horizontal="center"/>
    </xf>
    <xf numFmtId="1" fontId="15" fillId="19" borderId="0" xfId="8" quotePrefix="1" applyNumberFormat="1" applyFont="1" applyFill="1" applyAlignment="1">
      <alignment horizontal="center"/>
    </xf>
    <xf numFmtId="0" fontId="1" fillId="0" borderId="0" xfId="30"/>
    <xf numFmtId="0" fontId="1" fillId="0" borderId="0" xfId="30" applyAlignment="1">
      <alignment wrapText="1"/>
    </xf>
    <xf numFmtId="173" fontId="1" fillId="0" borderId="0" xfId="30" applyNumberFormat="1"/>
    <xf numFmtId="2" fontId="1" fillId="0" borderId="0" xfId="30" applyNumberFormat="1"/>
    <xf numFmtId="0" fontId="71" fillId="0" borderId="0" xfId="30" applyFont="1"/>
    <xf numFmtId="0" fontId="72" fillId="0" borderId="0" xfId="30" applyFont="1"/>
    <xf numFmtId="0" fontId="73" fillId="0" borderId="42" xfId="30" applyFont="1" applyBorder="1"/>
    <xf numFmtId="0" fontId="74" fillId="0" borderId="42" xfId="30" applyFont="1" applyBorder="1" applyAlignment="1">
      <alignment wrapText="1"/>
    </xf>
    <xf numFmtId="0" fontId="75" fillId="0" borderId="42" xfId="30" applyFont="1" applyBorder="1"/>
    <xf numFmtId="0" fontId="73" fillId="0" borderId="42" xfId="30" applyFont="1" applyBorder="1" applyAlignment="1">
      <alignment horizontal="center"/>
    </xf>
    <xf numFmtId="0" fontId="71" fillId="0" borderId="155" xfId="30" applyFont="1" applyBorder="1"/>
    <xf numFmtId="0" fontId="1" fillId="0" borderId="155" xfId="30" applyBorder="1"/>
    <xf numFmtId="0" fontId="71" fillId="0" borderId="0" xfId="30" applyFont="1" applyAlignment="1">
      <alignment horizontal="right"/>
    </xf>
    <xf numFmtId="2" fontId="71" fillId="0" borderId="0" xfId="30" applyNumberFormat="1" applyFont="1" applyAlignment="1">
      <alignment horizontal="center"/>
    </xf>
    <xf numFmtId="0" fontId="27" fillId="11" borderId="11" xfId="0" applyFont="1" applyFill="1" applyBorder="1" applyProtection="1">
      <protection locked="0"/>
    </xf>
    <xf numFmtId="0" fontId="27" fillId="11" borderId="41" xfId="0" applyFont="1" applyFill="1" applyBorder="1" applyProtection="1">
      <protection locked="0"/>
    </xf>
    <xf numFmtId="0" fontId="27" fillId="11" borderId="41" xfId="0" applyFont="1" applyFill="1" applyBorder="1" applyAlignment="1" applyProtection="1">
      <alignment vertical="center"/>
      <protection locked="0"/>
    </xf>
    <xf numFmtId="0" fontId="27" fillId="11" borderId="12" xfId="0" applyFont="1" applyFill="1" applyBorder="1" applyProtection="1">
      <protection locked="0"/>
    </xf>
    <xf numFmtId="0" fontId="27" fillId="11" borderId="13" xfId="0" applyFont="1" applyFill="1" applyBorder="1" applyProtection="1">
      <protection locked="0"/>
    </xf>
    <xf numFmtId="0" fontId="27" fillId="11" borderId="0" xfId="0" applyFont="1" applyFill="1" applyProtection="1">
      <protection locked="0"/>
    </xf>
    <xf numFmtId="0" fontId="27" fillId="11" borderId="0" xfId="0" applyFont="1" applyFill="1" applyAlignment="1" applyProtection="1">
      <alignment vertical="center"/>
      <protection locked="0"/>
    </xf>
    <xf numFmtId="0" fontId="27" fillId="11" borderId="0" xfId="0" applyFont="1" applyFill="1" applyAlignment="1" applyProtection="1">
      <alignment horizontal="center" vertical="center" wrapText="1"/>
      <protection locked="0"/>
    </xf>
    <xf numFmtId="3" fontId="27" fillId="11" borderId="0" xfId="0" applyNumberFormat="1" applyFont="1" applyFill="1" applyProtection="1">
      <protection locked="0"/>
    </xf>
    <xf numFmtId="0" fontId="27" fillId="11" borderId="14" xfId="0" applyFont="1" applyFill="1" applyBorder="1" applyProtection="1">
      <protection locked="0"/>
    </xf>
    <xf numFmtId="0" fontId="27" fillId="11" borderId="15" xfId="0" applyFont="1" applyFill="1" applyBorder="1" applyProtection="1">
      <protection locked="0"/>
    </xf>
    <xf numFmtId="0" fontId="27" fillId="11" borderId="42" xfId="0" applyFont="1" applyFill="1" applyBorder="1" applyProtection="1">
      <protection locked="0"/>
    </xf>
    <xf numFmtId="0" fontId="27" fillId="11" borderId="42" xfId="0" applyFont="1" applyFill="1" applyBorder="1" applyAlignment="1" applyProtection="1">
      <alignment vertical="center"/>
      <protection locked="0"/>
    </xf>
    <xf numFmtId="0" fontId="27" fillId="11" borderId="16" xfId="0" applyFont="1" applyFill="1" applyBorder="1" applyProtection="1">
      <protection locked="0"/>
    </xf>
    <xf numFmtId="170" fontId="22" fillId="43" borderId="20" xfId="25" applyNumberFormat="1" applyFont="1" applyFill="1" applyBorder="1" applyAlignment="1" applyProtection="1">
      <alignment horizontal="center" vertical="center"/>
    </xf>
    <xf numFmtId="170" fontId="22" fillId="6" borderId="20" xfId="25" applyNumberFormat="1" applyFont="1" applyFill="1" applyBorder="1" applyAlignment="1" applyProtection="1">
      <alignment horizontal="center" vertical="center"/>
    </xf>
    <xf numFmtId="0" fontId="67" fillId="34" borderId="138" xfId="0" applyFont="1" applyFill="1" applyBorder="1" applyAlignment="1" applyProtection="1">
      <alignment vertical="center"/>
      <protection locked="0"/>
    </xf>
    <xf numFmtId="0" fontId="67" fillId="34" borderId="146" xfId="0" applyFont="1" applyFill="1" applyBorder="1" applyAlignment="1" applyProtection="1">
      <alignment vertical="center"/>
      <protection locked="0"/>
    </xf>
    <xf numFmtId="0" fontId="67" fillId="34" borderId="147" xfId="0" applyFont="1" applyFill="1" applyBorder="1" applyAlignment="1" applyProtection="1">
      <alignment vertical="center"/>
      <protection locked="0"/>
    </xf>
    <xf numFmtId="0" fontId="23" fillId="13" borderId="156" xfId="0" applyFont="1" applyFill="1" applyBorder="1" applyAlignment="1" applyProtection="1">
      <alignment vertical="center"/>
      <protection locked="0"/>
    </xf>
    <xf numFmtId="0" fontId="23" fillId="13" borderId="22" xfId="0" applyFont="1" applyFill="1" applyBorder="1" applyAlignment="1" applyProtection="1">
      <alignment vertical="center"/>
      <protection locked="0"/>
    </xf>
    <xf numFmtId="0" fontId="29" fillId="42" borderId="126" xfId="0" applyFont="1" applyFill="1" applyBorder="1" applyAlignment="1" applyProtection="1">
      <alignment horizontal="center"/>
      <protection locked="0"/>
    </xf>
    <xf numFmtId="44" fontId="44" fillId="0" borderId="9" xfId="29" applyFont="1" applyBorder="1" applyAlignment="1" applyProtection="1">
      <alignment horizontal="center" vertical="center"/>
    </xf>
    <xf numFmtId="1" fontId="0" fillId="44" borderId="0" xfId="0" applyNumberFormat="1" applyFill="1" applyAlignment="1">
      <alignment vertical="top"/>
    </xf>
    <xf numFmtId="3" fontId="78" fillId="0" borderId="0" xfId="0" applyNumberFormat="1" applyFont="1"/>
    <xf numFmtId="186" fontId="78" fillId="0" borderId="0" xfId="0" applyNumberFormat="1" applyFont="1"/>
    <xf numFmtId="5" fontId="78" fillId="0" borderId="0" xfId="0" applyNumberFormat="1" applyFont="1"/>
    <xf numFmtId="0" fontId="78" fillId="0" borderId="0" xfId="0" applyFont="1"/>
    <xf numFmtId="2" fontId="78" fillId="0" borderId="0" xfId="0" applyNumberFormat="1" applyFont="1"/>
    <xf numFmtId="3" fontId="44" fillId="0" borderId="21" xfId="0" applyNumberFormat="1" applyFont="1" applyBorder="1" applyAlignment="1">
      <alignment horizontal="center" vertical="center"/>
    </xf>
    <xf numFmtId="4" fontId="44" fillId="0" borderId="23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>
      <alignment horizontal="center" vertical="center"/>
    </xf>
    <xf numFmtId="4" fontId="44" fillId="21" borderId="9" xfId="0" applyNumberFormat="1" applyFont="1" applyFill="1" applyBorder="1" applyAlignment="1">
      <alignment horizontal="center" vertical="center"/>
    </xf>
    <xf numFmtId="2" fontId="44" fillId="21" borderId="9" xfId="0" applyNumberFormat="1" applyFont="1" applyFill="1" applyBorder="1" applyAlignment="1">
      <alignment horizontal="center" vertical="center"/>
    </xf>
    <xf numFmtId="170" fontId="10" fillId="0" borderId="157" xfId="25" applyNumberFormat="1" applyFont="1" applyFill="1" applyBorder="1" applyAlignment="1" applyProtection="1">
      <alignment horizontal="center" vertical="center"/>
      <protection locked="0"/>
    </xf>
    <xf numFmtId="0" fontId="30" fillId="4" borderId="20" xfId="0" applyFont="1" applyFill="1" applyBorder="1" applyAlignment="1">
      <alignment horizontal="center"/>
    </xf>
    <xf numFmtId="165" fontId="30" fillId="4" borderId="164" xfId="2" applyNumberFormat="1" applyFont="1" applyFill="1" applyBorder="1" applyAlignment="1" applyProtection="1">
      <alignment horizontal="center"/>
      <protection locked="0"/>
    </xf>
    <xf numFmtId="0" fontId="31" fillId="29" borderId="23" xfId="0" applyFont="1" applyFill="1" applyBorder="1" applyProtection="1">
      <protection locked="0"/>
    </xf>
    <xf numFmtId="174" fontId="30" fillId="0" borderId="170" xfId="0" applyNumberFormat="1" applyFont="1" applyBorder="1"/>
    <xf numFmtId="17" fontId="30" fillId="0" borderId="171" xfId="0" applyNumberFormat="1" applyFont="1" applyBorder="1" applyAlignment="1">
      <alignment horizontal="center"/>
    </xf>
    <xf numFmtId="174" fontId="30" fillId="0" borderId="171" xfId="0" applyNumberFormat="1" applyFont="1" applyBorder="1"/>
    <xf numFmtId="0" fontId="30" fillId="29" borderId="0" xfId="0" applyFont="1" applyFill="1" applyProtection="1">
      <protection locked="0"/>
    </xf>
    <xf numFmtId="0" fontId="30" fillId="0" borderId="173" xfId="0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65" fontId="33" fillId="4" borderId="172" xfId="2" applyNumberFormat="1" applyFont="1" applyFill="1" applyBorder="1" applyProtection="1"/>
    <xf numFmtId="10" fontId="33" fillId="4" borderId="172" xfId="2" applyNumberFormat="1" applyFont="1" applyFill="1" applyBorder="1" applyProtection="1"/>
    <xf numFmtId="0" fontId="30" fillId="4" borderId="172" xfId="0" applyFont="1" applyFill="1" applyBorder="1" applyAlignment="1" applyProtection="1">
      <alignment horizontal="center"/>
      <protection locked="0"/>
    </xf>
    <xf numFmtId="175" fontId="30" fillId="11" borderId="173" xfId="0" applyNumberFormat="1" applyFont="1" applyFill="1" applyBorder="1" applyProtection="1">
      <protection locked="0"/>
    </xf>
    <xf numFmtId="0" fontId="30" fillId="11" borderId="172" xfId="0" applyFont="1" applyFill="1" applyBorder="1" applyProtection="1">
      <protection locked="0"/>
    </xf>
    <xf numFmtId="0" fontId="33" fillId="11" borderId="172" xfId="0" applyFont="1" applyFill="1" applyBorder="1" applyProtection="1">
      <protection locked="0"/>
    </xf>
    <xf numFmtId="174" fontId="30" fillId="0" borderId="176" xfId="0" applyNumberFormat="1" applyFont="1" applyBorder="1"/>
    <xf numFmtId="174" fontId="30" fillId="0" borderId="178" xfId="0" applyNumberFormat="1" applyFont="1" applyBorder="1"/>
    <xf numFmtId="10" fontId="33" fillId="4" borderId="176" xfId="2" applyNumberFormat="1" applyFont="1" applyFill="1" applyBorder="1" applyProtection="1"/>
    <xf numFmtId="10" fontId="27" fillId="0" borderId="126" xfId="2" applyNumberFormat="1" applyFont="1" applyBorder="1" applyAlignment="1"/>
    <xf numFmtId="2" fontId="10" fillId="5" borderId="171" xfId="2" applyNumberFormat="1" applyFont="1" applyFill="1" applyBorder="1" applyAlignment="1" applyProtection="1">
      <alignment horizontal="center" vertical="center"/>
      <protection locked="0"/>
    </xf>
    <xf numFmtId="9" fontId="10" fillId="5" borderId="171" xfId="2" applyFont="1" applyFill="1" applyBorder="1" applyAlignment="1" applyProtection="1">
      <alignment horizontal="center" vertical="center"/>
      <protection locked="0"/>
    </xf>
    <xf numFmtId="10" fontId="33" fillId="45" borderId="178" xfId="2" applyNumberFormat="1" applyFont="1" applyFill="1" applyBorder="1" applyProtection="1"/>
    <xf numFmtId="10" fontId="11" fillId="14" borderId="0" xfId="2" applyNumberFormat="1" applyFont="1" applyFill="1" applyProtection="1">
      <protection locked="0"/>
    </xf>
    <xf numFmtId="0" fontId="32" fillId="0" borderId="0" xfId="0" applyFont="1" applyProtection="1">
      <protection locked="0"/>
    </xf>
    <xf numFmtId="3" fontId="33" fillId="0" borderId="0" xfId="2" applyNumberFormat="1" applyFont="1" applyFill="1" applyBorder="1" applyAlignment="1" applyProtection="1">
      <alignment horizontal="center"/>
    </xf>
    <xf numFmtId="0" fontId="10" fillId="2" borderId="171" xfId="8" applyFont="1" applyFill="1" applyBorder="1" applyAlignment="1">
      <alignment horizontal="center"/>
    </xf>
    <xf numFmtId="170" fontId="10" fillId="12" borderId="171" xfId="25" applyNumberFormat="1" applyFont="1" applyFill="1" applyBorder="1" applyAlignment="1" applyProtection="1">
      <alignment horizontal="center" vertical="center" wrapText="1"/>
    </xf>
    <xf numFmtId="171" fontId="9" fillId="2" borderId="171" xfId="25" applyNumberFormat="1" applyFont="1" applyFill="1" applyBorder="1" applyAlignment="1" applyProtection="1">
      <alignment horizontal="center" vertical="center"/>
    </xf>
    <xf numFmtId="170" fontId="10" fillId="12" borderId="171" xfId="25" applyNumberFormat="1" applyFont="1" applyFill="1" applyBorder="1" applyAlignment="1" applyProtection="1">
      <alignment horizontal="center" vertical="center"/>
    </xf>
    <xf numFmtId="170" fontId="9" fillId="23" borderId="171" xfId="25" applyNumberFormat="1" applyFont="1" applyFill="1" applyBorder="1" applyAlignment="1" applyProtection="1">
      <alignment horizontal="center" vertical="center"/>
    </xf>
    <xf numFmtId="175" fontId="30" fillId="0" borderId="175" xfId="0" applyNumberFormat="1" applyFont="1" applyBorder="1"/>
    <xf numFmtId="175" fontId="30" fillId="0" borderId="158" xfId="0" applyNumberFormat="1" applyFont="1" applyBorder="1"/>
    <xf numFmtId="175" fontId="30" fillId="0" borderId="177" xfId="0" applyNumberFormat="1" applyFont="1" applyBorder="1"/>
    <xf numFmtId="10" fontId="34" fillId="33" borderId="131" xfId="2" applyNumberFormat="1" applyFont="1" applyFill="1" applyBorder="1" applyAlignment="1" applyProtection="1">
      <alignment horizontal="center"/>
      <protection locked="0"/>
    </xf>
    <xf numFmtId="10" fontId="34" fillId="6" borderId="131" xfId="2" applyNumberFormat="1" applyFont="1" applyFill="1" applyBorder="1" applyAlignment="1" applyProtection="1">
      <alignment horizontal="center"/>
      <protection locked="0"/>
    </xf>
    <xf numFmtId="187" fontId="0" fillId="0" borderId="0" xfId="0" applyNumberFormat="1" applyProtection="1">
      <protection locked="0"/>
    </xf>
    <xf numFmtId="165" fontId="0" fillId="0" borderId="0" xfId="2" applyNumberFormat="1" applyFont="1" applyProtection="1">
      <protection locked="0"/>
    </xf>
    <xf numFmtId="10" fontId="0" fillId="0" borderId="0" xfId="2" applyNumberFormat="1" applyFont="1" applyProtection="1">
      <protection locked="0"/>
    </xf>
    <xf numFmtId="3" fontId="44" fillId="0" borderId="171" xfId="0" applyNumberFormat="1" applyFont="1" applyBorder="1" applyAlignment="1">
      <alignment horizontal="center" vertical="center"/>
    </xf>
    <xf numFmtId="4" fontId="44" fillId="0" borderId="171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 applyProtection="1">
      <alignment horizontal="center"/>
      <protection locked="0"/>
    </xf>
    <xf numFmtId="2" fontId="44" fillId="0" borderId="49" xfId="0" applyNumberFormat="1" applyFont="1" applyBorder="1" applyAlignment="1" applyProtection="1">
      <alignment horizontal="center"/>
      <protection locked="0"/>
    </xf>
    <xf numFmtId="0" fontId="0" fillId="46" borderId="143" xfId="0" applyFill="1" applyBorder="1" applyProtection="1">
      <protection locked="0"/>
    </xf>
    <xf numFmtId="0" fontId="0" fillId="46" borderId="4" xfId="0" applyFill="1" applyBorder="1" applyProtection="1">
      <protection locked="0"/>
    </xf>
    <xf numFmtId="9" fontId="0" fillId="46" borderId="5" xfId="2" applyFont="1" applyFill="1" applyBorder="1" applyProtection="1">
      <protection locked="0"/>
    </xf>
    <xf numFmtId="0" fontId="0" fillId="46" borderId="3" xfId="0" applyFill="1" applyBorder="1" applyProtection="1">
      <protection locked="0"/>
    </xf>
    <xf numFmtId="2" fontId="36" fillId="16" borderId="25" xfId="2" applyNumberFormat="1" applyFont="1" applyFill="1" applyBorder="1" applyAlignment="1" applyProtection="1">
      <alignment horizontal="center"/>
    </xf>
    <xf numFmtId="2" fontId="0" fillId="0" borderId="0" xfId="2" applyNumberFormat="1" applyFont="1"/>
    <xf numFmtId="2" fontId="8" fillId="0" borderId="0" xfId="0" applyNumberFormat="1" applyFont="1"/>
    <xf numFmtId="0" fontId="78" fillId="0" borderId="0" xfId="0" applyFont="1" applyAlignment="1">
      <alignment vertical="top"/>
    </xf>
    <xf numFmtId="186" fontId="0" fillId="0" borderId="0" xfId="0" applyNumberFormat="1" applyAlignment="1">
      <alignment horizontal="center"/>
    </xf>
    <xf numFmtId="9" fontId="82" fillId="0" borderId="138" xfId="2" applyFont="1" applyBorder="1" applyAlignment="1" applyProtection="1">
      <alignment horizontal="center" vertical="center"/>
      <protection locked="0"/>
    </xf>
    <xf numFmtId="10" fontId="82" fillId="5" borderId="147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" fillId="0" borderId="104" xfId="0" applyFont="1" applyBorder="1" applyAlignment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1" fontId="1" fillId="11" borderId="104" xfId="0" applyNumberFormat="1" applyFont="1" applyFill="1" applyBorder="1" applyAlignment="1" applyProtection="1">
      <alignment horizontal="center" vertical="center"/>
      <protection locked="0"/>
    </xf>
    <xf numFmtId="1" fontId="1" fillId="0" borderId="104" xfId="0" applyNumberFormat="1" applyFont="1" applyBorder="1" applyAlignment="1">
      <alignment horizontal="center" vertical="center"/>
    </xf>
    <xf numFmtId="2" fontId="1" fillId="0" borderId="104" xfId="3" applyNumberFormat="1" applyFont="1" applyFill="1" applyBorder="1" applyAlignment="1" applyProtection="1">
      <alignment horizontal="center" vertical="center"/>
    </xf>
    <xf numFmtId="0" fontId="12" fillId="25" borderId="171" xfId="8" applyFont="1" applyFill="1" applyBorder="1" applyAlignment="1">
      <alignment horizontal="center"/>
    </xf>
    <xf numFmtId="0" fontId="10" fillId="12" borderId="171" xfId="8" applyFont="1" applyFill="1" applyBorder="1" applyAlignment="1">
      <alignment horizontal="center"/>
    </xf>
    <xf numFmtId="168" fontId="10" fillId="12" borderId="171" xfId="25" applyNumberFormat="1" applyFont="1" applyFill="1" applyBorder="1" applyAlignment="1" applyProtection="1">
      <alignment horizontal="center" vertical="center"/>
    </xf>
    <xf numFmtId="170" fontId="9" fillId="11" borderId="171" xfId="25" applyNumberFormat="1" applyFont="1" applyFill="1" applyBorder="1" applyAlignment="1" applyProtection="1">
      <alignment horizontal="center" vertical="center"/>
      <protection locked="0"/>
    </xf>
    <xf numFmtId="0" fontId="9" fillId="11" borderId="171" xfId="8" applyFont="1" applyFill="1" applyBorder="1" applyProtection="1">
      <protection locked="0"/>
    </xf>
    <xf numFmtId="169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</xf>
    <xf numFmtId="170" fontId="9" fillId="2" borderId="171" xfId="25" applyNumberFormat="1" applyFont="1" applyFill="1" applyBorder="1" applyAlignment="1" applyProtection="1">
      <alignment horizontal="center" vertical="center"/>
    </xf>
    <xf numFmtId="171" fontId="25" fillId="0" borderId="171" xfId="25" applyNumberFormat="1" applyFont="1" applyFill="1" applyBorder="1" applyAlignment="1" applyProtection="1">
      <alignment horizontal="center" vertical="center"/>
    </xf>
    <xf numFmtId="171" fontId="9" fillId="4" borderId="171" xfId="25" applyNumberFormat="1" applyFont="1" applyFill="1" applyBorder="1" applyAlignment="1" applyProtection="1">
      <alignment horizontal="center" vertical="center"/>
    </xf>
    <xf numFmtId="169" fontId="70" fillId="11" borderId="171" xfId="25" applyNumberFormat="1" applyFont="1" applyFill="1" applyBorder="1" applyAlignment="1" applyProtection="1">
      <alignment horizontal="center" vertical="center"/>
      <protection locked="0"/>
    </xf>
    <xf numFmtId="10" fontId="9" fillId="11" borderId="171" xfId="2" applyNumberFormat="1" applyFont="1" applyFill="1" applyBorder="1" applyAlignment="1" applyProtection="1">
      <alignment horizontal="center" vertical="center"/>
      <protection locked="0"/>
    </xf>
    <xf numFmtId="171" fontId="10" fillId="4" borderId="171" xfId="25" applyNumberFormat="1" applyFont="1" applyFill="1" applyBorder="1" applyAlignment="1" applyProtection="1">
      <alignment horizontal="center" vertical="center"/>
    </xf>
    <xf numFmtId="170" fontId="10" fillId="4" borderId="171" xfId="25" applyNumberFormat="1" applyFont="1" applyFill="1" applyBorder="1" applyAlignment="1" applyProtection="1">
      <alignment horizontal="center" vertical="center"/>
    </xf>
    <xf numFmtId="170" fontId="10" fillId="0" borderId="171" xfId="25" applyNumberFormat="1" applyFont="1" applyFill="1" applyBorder="1" applyAlignment="1" applyProtection="1">
      <alignment horizontal="center" vertical="center"/>
    </xf>
    <xf numFmtId="170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10" fillId="17" borderId="171" xfId="25" applyNumberFormat="1" applyFont="1" applyFill="1" applyBorder="1" applyAlignment="1" applyProtection="1">
      <alignment horizontal="center" vertical="center"/>
    </xf>
    <xf numFmtId="0" fontId="10" fillId="17" borderId="171" xfId="8" applyFont="1" applyFill="1" applyBorder="1"/>
    <xf numFmtId="10" fontId="10" fillId="17" borderId="171" xfId="2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 applyAlignment="1">
      <alignment horizontal="center"/>
    </xf>
    <xf numFmtId="170" fontId="22" fillId="6" borderId="171" xfId="25" applyNumberFormat="1" applyFont="1" applyFill="1" applyBorder="1" applyAlignment="1" applyProtection="1">
      <alignment horizontal="center" vertical="center"/>
    </xf>
    <xf numFmtId="170" fontId="22" fillId="43" borderId="171" xfId="25" applyNumberFormat="1" applyFont="1" applyFill="1" applyBorder="1" applyAlignment="1" applyProtection="1">
      <alignment horizontal="center" vertical="center"/>
    </xf>
    <xf numFmtId="0" fontId="22" fillId="2" borderId="171" xfId="8" applyFont="1" applyFill="1" applyBorder="1" applyAlignment="1">
      <alignment horizontal="center"/>
    </xf>
    <xf numFmtId="17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  <protection locked="0"/>
    </xf>
    <xf numFmtId="170" fontId="25" fillId="0" borderId="171" xfId="25" applyNumberFormat="1" applyFont="1" applyFill="1" applyBorder="1" applyAlignment="1" applyProtection="1">
      <alignment horizontal="center" vertical="center"/>
    </xf>
    <xf numFmtId="170" fontId="70" fillId="11" borderId="171" xfId="25" applyNumberFormat="1" applyFont="1" applyFill="1" applyBorder="1" applyAlignment="1" applyProtection="1">
      <alignment horizontal="center" vertical="center"/>
      <protection locked="0"/>
    </xf>
    <xf numFmtId="170" fontId="10" fillId="4" borderId="171" xfId="25" applyNumberFormat="1" applyFont="1" applyFill="1" applyBorder="1" applyAlignment="1" applyProtection="1">
      <alignment horizontal="center" vertical="center"/>
      <protection locked="0"/>
    </xf>
    <xf numFmtId="10" fontId="9" fillId="4" borderId="171" xfId="2" applyNumberFormat="1" applyFont="1" applyFill="1" applyBorder="1" applyAlignment="1" applyProtection="1">
      <alignment horizontal="center" vertical="center"/>
      <protection locked="0"/>
    </xf>
    <xf numFmtId="170" fontId="9" fillId="23" borderId="171" xfId="25" applyNumberFormat="1" applyFont="1" applyFill="1" applyBorder="1" applyAlignment="1" applyProtection="1">
      <alignment horizontal="center" vertical="center"/>
      <protection locked="0"/>
    </xf>
    <xf numFmtId="0" fontId="22" fillId="23" borderId="171" xfId="8" applyFont="1" applyFill="1" applyBorder="1" applyProtection="1">
      <protection locked="0"/>
    </xf>
    <xf numFmtId="169" fontId="9" fillId="23" borderId="171" xfId="25" applyNumberFormat="1" applyFont="1" applyFill="1" applyBorder="1" applyAlignment="1" applyProtection="1">
      <alignment horizontal="center" vertical="center"/>
      <protection locked="0"/>
    </xf>
    <xf numFmtId="170" fontId="10" fillId="23" borderId="171" xfId="25" applyNumberFormat="1" applyFont="1" applyFill="1" applyBorder="1" applyAlignment="1" applyProtection="1">
      <alignment horizontal="center" vertical="center"/>
    </xf>
    <xf numFmtId="170" fontId="9" fillId="30" borderId="171" xfId="25" applyNumberFormat="1" applyFont="1" applyFill="1" applyBorder="1" applyAlignment="1" applyProtection="1">
      <alignment horizontal="center" vertical="center"/>
      <protection locked="0"/>
    </xf>
    <xf numFmtId="0" fontId="9" fillId="17" borderId="171" xfId="8" applyFont="1" applyFill="1" applyBorder="1"/>
    <xf numFmtId="0" fontId="49" fillId="25" borderId="171" xfId="8" applyFont="1" applyFill="1" applyBorder="1" applyAlignment="1">
      <alignment horizontal="center"/>
    </xf>
    <xf numFmtId="0" fontId="17" fillId="2" borderId="171" xfId="8" applyFont="1" applyFill="1" applyBorder="1" applyAlignment="1">
      <alignment horizontal="center"/>
    </xf>
    <xf numFmtId="168" fontId="17" fillId="2" borderId="171" xfId="8" applyNumberFormat="1" applyFont="1" applyFill="1" applyBorder="1" applyAlignment="1">
      <alignment horizontal="center"/>
    </xf>
    <xf numFmtId="0" fontId="17" fillId="12" borderId="171" xfId="8" applyFont="1" applyFill="1" applyBorder="1" applyAlignment="1">
      <alignment horizontal="center"/>
    </xf>
    <xf numFmtId="170" fontId="17" fillId="12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right" vertical="center"/>
    </xf>
    <xf numFmtId="170" fontId="11" fillId="12" borderId="171" xfId="25" applyNumberFormat="1" applyFont="1" applyFill="1" applyBorder="1" applyAlignment="1" applyProtection="1">
      <alignment horizontal="center" vertical="center"/>
    </xf>
    <xf numFmtId="0" fontId="11" fillId="11" borderId="171" xfId="8" applyFont="1" applyFill="1" applyBorder="1"/>
    <xf numFmtId="170" fontId="11" fillId="2" borderId="171" xfId="25" applyNumberFormat="1" applyFont="1" applyFill="1" applyBorder="1" applyAlignment="1" applyProtection="1">
      <alignment horizontal="center" vertical="center"/>
    </xf>
    <xf numFmtId="170" fontId="11" fillId="2" borderId="171" xfId="25" applyNumberFormat="1" applyFont="1" applyFill="1" applyBorder="1" applyAlignment="1" applyProtection="1">
      <alignment horizontal="right" vertical="center"/>
    </xf>
    <xf numFmtId="170" fontId="11" fillId="11" borderId="171" xfId="25" applyNumberFormat="1" applyFont="1" applyFill="1" applyBorder="1" applyAlignment="1" applyProtection="1">
      <alignment horizontal="right" vertical="center"/>
      <protection locked="0"/>
    </xf>
    <xf numFmtId="170" fontId="11" fillId="2" borderId="171" xfId="25" applyNumberFormat="1" applyFont="1" applyFill="1" applyBorder="1" applyAlignment="1" applyProtection="1">
      <alignment horizontal="center" vertical="center"/>
      <protection locked="0"/>
    </xf>
    <xf numFmtId="0" fontId="11" fillId="0" borderId="171" xfId="8" applyFont="1" applyBorder="1"/>
    <xf numFmtId="169" fontId="11" fillId="12" borderId="171" xfId="25" applyNumberFormat="1" applyFont="1" applyFill="1" applyBorder="1" applyAlignment="1" applyProtection="1">
      <alignment horizontal="right" vertical="center"/>
      <protection locked="0"/>
    </xf>
    <xf numFmtId="170" fontId="11" fillId="12" borderId="171" xfId="25" applyNumberFormat="1" applyFont="1" applyFill="1" applyBorder="1" applyAlignment="1" applyProtection="1">
      <alignment horizontal="center" vertical="center"/>
      <protection locked="0"/>
    </xf>
    <xf numFmtId="0" fontId="11" fillId="2" borderId="171" xfId="8" applyFont="1" applyFill="1" applyBorder="1"/>
    <xf numFmtId="170" fontId="11" fillId="2" borderId="171" xfId="8" applyNumberFormat="1" applyFont="1" applyFill="1" applyBorder="1" applyAlignment="1">
      <alignment horizontal="center"/>
    </xf>
    <xf numFmtId="0" fontId="11" fillId="4" borderId="171" xfId="8" applyFont="1" applyFill="1" applyBorder="1"/>
    <xf numFmtId="1" fontId="11" fillId="0" borderId="171" xfId="26" applyNumberFormat="1" applyFont="1" applyFill="1" applyBorder="1" applyAlignment="1" applyProtection="1">
      <alignment horizontal="center" vertical="center"/>
      <protection locked="0"/>
    </xf>
    <xf numFmtId="1" fontId="11" fillId="4" borderId="171" xfId="8" applyNumberFormat="1" applyFont="1" applyFill="1" applyBorder="1"/>
    <xf numFmtId="0" fontId="11" fillId="2" borderId="171" xfId="8" applyFont="1" applyFill="1" applyBorder="1" applyAlignment="1">
      <alignment horizontal="center"/>
    </xf>
    <xf numFmtId="1" fontId="11" fillId="0" borderId="171" xfId="26" applyNumberFormat="1" applyFont="1" applyFill="1" applyBorder="1" applyAlignment="1" applyProtection="1">
      <alignment horizontal="center" vertical="center"/>
    </xf>
    <xf numFmtId="169" fontId="11" fillId="12" borderId="171" xfId="25" applyNumberFormat="1" applyFont="1" applyFill="1" applyBorder="1" applyAlignment="1" applyProtection="1">
      <alignment horizontal="center" vertical="center"/>
      <protection locked="0"/>
    </xf>
    <xf numFmtId="169" fontId="11" fillId="12" borderId="171" xfId="25" applyNumberFormat="1" applyFont="1" applyFill="1" applyBorder="1" applyAlignment="1" applyProtection="1">
      <alignment horizontal="center" vertical="center"/>
    </xf>
    <xf numFmtId="2" fontId="11" fillId="2" borderId="171" xfId="8" applyNumberFormat="1" applyFont="1" applyFill="1" applyBorder="1"/>
    <xf numFmtId="169" fontId="11" fillId="2" borderId="171" xfId="25" applyNumberFormat="1" applyFont="1" applyFill="1" applyBorder="1" applyAlignment="1" applyProtection="1">
      <alignment horizontal="center" vertical="center"/>
    </xf>
    <xf numFmtId="168" fontId="17" fillId="12" borderId="171" xfId="25" applyNumberFormat="1" applyFont="1" applyFill="1" applyBorder="1" applyAlignment="1" applyProtection="1">
      <alignment horizontal="center" vertical="center"/>
    </xf>
    <xf numFmtId="179" fontId="17" fillId="4" borderId="171" xfId="26" applyNumberFormat="1" applyFont="1" applyFill="1" applyBorder="1" applyAlignment="1" applyProtection="1">
      <alignment horizontal="right" vertical="center"/>
    </xf>
    <xf numFmtId="179" fontId="11" fillId="4" borderId="171" xfId="26" applyNumberFormat="1" applyFont="1" applyFill="1" applyBorder="1" applyAlignment="1" applyProtection="1">
      <alignment horizontal="center" vertical="center"/>
    </xf>
    <xf numFmtId="169" fontId="11" fillId="17" borderId="171" xfId="25" applyNumberFormat="1" applyFont="1" applyFill="1" applyBorder="1" applyAlignment="1" applyProtection="1">
      <alignment horizontal="center" vertical="center"/>
    </xf>
    <xf numFmtId="1" fontId="22" fillId="43" borderId="171" xfId="8" applyNumberFormat="1" applyFont="1" applyFill="1" applyBorder="1" applyAlignment="1">
      <alignment horizontal="center"/>
    </xf>
    <xf numFmtId="0" fontId="22" fillId="43" borderId="171" xfId="8" applyFont="1" applyFill="1" applyBorder="1" applyAlignment="1">
      <alignment horizontal="center"/>
    </xf>
    <xf numFmtId="168" fontId="10" fillId="2" borderId="171" xfId="8" applyNumberFormat="1" applyFont="1" applyFill="1" applyBorder="1" applyAlignment="1">
      <alignment horizontal="center"/>
    </xf>
    <xf numFmtId="170" fontId="9" fillId="12" borderId="171" xfId="25" applyNumberFormat="1" applyFont="1" applyFill="1" applyBorder="1" applyAlignment="1" applyProtection="1">
      <alignment horizontal="center" vertical="center"/>
    </xf>
    <xf numFmtId="182" fontId="9" fillId="2" borderId="171" xfId="25" applyNumberFormat="1" applyFont="1" applyFill="1" applyBorder="1" applyAlignment="1" applyProtection="1">
      <alignment horizontal="center" vertical="center"/>
    </xf>
    <xf numFmtId="182" fontId="9" fillId="11" borderId="171" xfId="25" applyNumberFormat="1" applyFont="1" applyFill="1" applyBorder="1" applyAlignment="1" applyProtection="1">
      <alignment horizontal="right" vertical="center"/>
      <protection locked="0"/>
    </xf>
    <xf numFmtId="170" fontId="9" fillId="11" borderId="171" xfId="25" applyNumberFormat="1" applyFont="1" applyFill="1" applyBorder="1" applyAlignment="1" applyProtection="1">
      <alignment horizontal="right" vertical="center"/>
      <protection locked="0"/>
    </xf>
    <xf numFmtId="169" fontId="9" fillId="2" borderId="171" xfId="25" applyNumberFormat="1" applyFont="1" applyFill="1" applyBorder="1" applyAlignment="1" applyProtection="1">
      <alignment horizontal="right" vertical="center"/>
    </xf>
    <xf numFmtId="170" fontId="9" fillId="2" borderId="171" xfId="25" applyNumberFormat="1" applyFont="1" applyFill="1" applyBorder="1" applyAlignment="1" applyProtection="1">
      <alignment horizontal="center" vertical="center"/>
      <protection locked="0"/>
    </xf>
    <xf numFmtId="169" fontId="9" fillId="4" borderId="171" xfId="25" applyNumberFormat="1" applyFont="1" applyFill="1" applyBorder="1" applyAlignment="1" applyProtection="1">
      <alignment horizontal="right" vertical="center"/>
    </xf>
    <xf numFmtId="0" fontId="9" fillId="21" borderId="171" xfId="8" applyFont="1" applyFill="1" applyBorder="1" applyProtection="1">
      <protection locked="0"/>
    </xf>
    <xf numFmtId="182" fontId="9" fillId="21" borderId="171" xfId="25" applyNumberFormat="1" applyFont="1" applyFill="1" applyBorder="1" applyAlignment="1" applyProtection="1">
      <alignment horizontal="center" vertical="center"/>
      <protection locked="0"/>
    </xf>
    <xf numFmtId="182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10" fillId="21" borderId="171" xfId="25" applyNumberFormat="1" applyFont="1" applyFill="1" applyBorder="1" applyAlignment="1" applyProtection="1">
      <alignment horizontal="center" vertical="center"/>
    </xf>
    <xf numFmtId="0" fontId="9" fillId="4" borderId="171" xfId="8" applyFont="1" applyFill="1" applyBorder="1" applyProtection="1">
      <protection locked="0"/>
    </xf>
    <xf numFmtId="181" fontId="9" fillId="2" borderId="171" xfId="25" applyNumberFormat="1" applyFont="1" applyFill="1" applyBorder="1" applyAlignment="1" applyProtection="1">
      <alignment horizontal="center" vertical="center"/>
    </xf>
    <xf numFmtId="0" fontId="9" fillId="5" borderId="171" xfId="8" applyFont="1" applyFill="1" applyBorder="1" applyProtection="1">
      <protection locked="0"/>
    </xf>
    <xf numFmtId="181" fontId="9" fillId="41" borderId="171" xfId="25" applyNumberFormat="1" applyFont="1" applyFill="1" applyBorder="1" applyAlignment="1" applyProtection="1">
      <alignment horizontal="center" vertical="center"/>
    </xf>
    <xf numFmtId="170" fontId="9" fillId="41" borderId="171" xfId="25" applyNumberFormat="1" applyFont="1" applyFill="1" applyBorder="1" applyAlignment="1" applyProtection="1">
      <alignment horizontal="center" vertical="center"/>
      <protection locked="0"/>
    </xf>
    <xf numFmtId="170" fontId="9" fillId="41" borderId="171" xfId="25" applyNumberFormat="1" applyFont="1" applyFill="1" applyBorder="1" applyAlignment="1" applyProtection="1">
      <alignment horizontal="right" vertical="center"/>
    </xf>
    <xf numFmtId="169" fontId="9" fillId="41" borderId="171" xfId="25" applyNumberFormat="1" applyFont="1" applyFill="1" applyBorder="1" applyAlignment="1" applyProtection="1">
      <alignment horizontal="right" vertical="center"/>
    </xf>
    <xf numFmtId="181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right" vertical="center"/>
    </xf>
    <xf numFmtId="10" fontId="9" fillId="0" borderId="171" xfId="2" applyNumberFormat="1" applyFont="1" applyFill="1" applyBorder="1" applyAlignment="1" applyProtection="1">
      <alignment horizontal="center" vertical="center"/>
    </xf>
    <xf numFmtId="0" fontId="9" fillId="0" borderId="171" xfId="8" applyFont="1" applyBorder="1" applyProtection="1">
      <protection locked="0"/>
    </xf>
    <xf numFmtId="181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  <protection locked="0"/>
    </xf>
    <xf numFmtId="18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center" vertical="center"/>
      <protection locked="0"/>
    </xf>
    <xf numFmtId="0" fontId="9" fillId="0" borderId="171" xfId="8" applyFont="1" applyBorder="1"/>
    <xf numFmtId="182" fontId="9" fillId="21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</xf>
    <xf numFmtId="169" fontId="9" fillId="21" borderId="171" xfId="25" applyNumberFormat="1" applyFont="1" applyFill="1" applyBorder="1" applyAlignment="1" applyProtection="1">
      <alignment horizontal="right" vertical="center"/>
    </xf>
    <xf numFmtId="170" fontId="10" fillId="21" borderId="171" xfId="25" applyNumberFormat="1" applyFont="1" applyFill="1" applyBorder="1" applyAlignment="1" applyProtection="1">
      <alignment horizontal="center" vertical="center"/>
      <protection locked="0"/>
    </xf>
    <xf numFmtId="0" fontId="10" fillId="12" borderId="171" xfId="25" applyNumberFormat="1" applyFont="1" applyFill="1" applyBorder="1" applyAlignment="1" applyProtection="1">
      <alignment horizontal="center" vertical="center"/>
    </xf>
    <xf numFmtId="0" fontId="9" fillId="6" borderId="171" xfId="8" applyFont="1" applyFill="1" applyBorder="1" applyProtection="1">
      <protection locked="0"/>
    </xf>
    <xf numFmtId="169" fontId="9" fillId="2" borderId="171" xfId="25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right" vertical="center"/>
      <protection locked="0"/>
    </xf>
    <xf numFmtId="178" fontId="10" fillId="11" borderId="171" xfId="26" applyFont="1" applyFill="1" applyBorder="1" applyAlignment="1" applyProtection="1">
      <alignment horizontal="right" vertical="center"/>
      <protection locked="0"/>
    </xf>
    <xf numFmtId="179" fontId="10" fillId="4" borderId="171" xfId="26" applyNumberFormat="1" applyFont="1" applyFill="1" applyBorder="1" applyAlignment="1" applyProtection="1">
      <alignment horizontal="right" vertical="center"/>
    </xf>
    <xf numFmtId="179" fontId="9" fillId="4" borderId="171" xfId="26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center" vertical="center"/>
    </xf>
    <xf numFmtId="179" fontId="9" fillId="4" borderId="171" xfId="26" applyNumberFormat="1" applyFont="1" applyFill="1" applyBorder="1" applyAlignment="1" applyProtection="1">
      <alignment horizontal="right" vertical="center"/>
    </xf>
    <xf numFmtId="165" fontId="9" fillId="4" borderId="171" xfId="2" applyNumberFormat="1" applyFont="1" applyFill="1" applyBorder="1" applyAlignment="1" applyProtection="1">
      <alignment horizontal="center" vertical="center"/>
    </xf>
    <xf numFmtId="179" fontId="9" fillId="11" borderId="171" xfId="26" applyNumberFormat="1" applyFont="1" applyFill="1" applyBorder="1" applyAlignment="1" applyProtection="1">
      <alignment horizontal="right" vertical="center"/>
      <protection locked="0"/>
    </xf>
    <xf numFmtId="184" fontId="9" fillId="11" borderId="171" xfId="26" applyNumberFormat="1" applyFont="1" applyFill="1" applyBorder="1" applyAlignment="1" applyProtection="1">
      <alignment horizontal="center" vertical="center"/>
      <protection locked="0"/>
    </xf>
    <xf numFmtId="179" fontId="10" fillId="4" borderId="171" xfId="26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center" vertical="center"/>
      <protection locked="0"/>
    </xf>
    <xf numFmtId="178" fontId="9" fillId="4" borderId="171" xfId="26" applyFont="1" applyFill="1" applyBorder="1" applyAlignment="1" applyProtection="1">
      <alignment horizontal="center" vertical="center"/>
      <protection locked="0"/>
    </xf>
    <xf numFmtId="179" fontId="10" fillId="12" borderId="171" xfId="25" applyNumberFormat="1" applyFont="1" applyFill="1" applyBorder="1" applyAlignment="1" applyProtection="1">
      <alignment horizontal="center" vertical="center"/>
    </xf>
    <xf numFmtId="168" fontId="53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/>
    <xf numFmtId="179" fontId="9" fillId="4" borderId="171" xfId="26" applyNumberFormat="1" applyFont="1" applyFill="1" applyBorder="1" applyAlignment="1" applyProtection="1">
      <alignment horizontal="center" vertical="center"/>
    </xf>
    <xf numFmtId="10" fontId="10" fillId="4" borderId="171" xfId="2" applyNumberFormat="1" applyFont="1" applyFill="1" applyBorder="1" applyAlignment="1" applyProtection="1">
      <alignment horizontal="center" vertical="center"/>
    </xf>
    <xf numFmtId="10" fontId="10" fillId="12" borderId="171" xfId="2" applyNumberFormat="1" applyFont="1" applyFill="1" applyBorder="1" applyAlignment="1" applyProtection="1">
      <alignment horizontal="center" vertical="center"/>
    </xf>
    <xf numFmtId="0" fontId="10" fillId="21" borderId="171" xfId="8" applyFont="1" applyFill="1" applyBorder="1" applyAlignment="1">
      <alignment horizontal="center"/>
    </xf>
    <xf numFmtId="10" fontId="10" fillId="21" borderId="171" xfId="2" applyNumberFormat="1" applyFont="1" applyFill="1" applyBorder="1" applyAlignment="1" applyProtection="1">
      <alignment horizontal="center" vertical="center"/>
    </xf>
    <xf numFmtId="170" fontId="11" fillId="0" borderId="171" xfId="0" applyNumberFormat="1" applyFont="1" applyBorder="1" applyAlignment="1">
      <alignment horizontal="center" vertical="center"/>
    </xf>
    <xf numFmtId="165" fontId="11" fillId="0" borderId="171" xfId="2" applyNumberFormat="1" applyFont="1" applyBorder="1" applyAlignment="1">
      <alignment horizontal="center" vertical="center"/>
    </xf>
    <xf numFmtId="10" fontId="11" fillId="0" borderId="171" xfId="2" applyNumberFormat="1" applyFont="1" applyBorder="1" applyAlignment="1">
      <alignment horizontal="center" vertical="center"/>
    </xf>
    <xf numFmtId="168" fontId="17" fillId="2" borderId="171" xfId="8" applyNumberFormat="1" applyFont="1" applyFill="1" applyBorder="1" applyAlignment="1">
      <alignment horizontal="left"/>
    </xf>
    <xf numFmtId="168" fontId="17" fillId="12" borderId="171" xfId="25" applyNumberFormat="1" applyFont="1" applyFill="1" applyBorder="1" applyAlignment="1" applyProtection="1">
      <alignment horizontal="left" vertical="center"/>
    </xf>
    <xf numFmtId="170" fontId="11" fillId="2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center" vertical="center"/>
    </xf>
    <xf numFmtId="0" fontId="8" fillId="0" borderId="171" xfId="0" applyFont="1" applyBorder="1"/>
    <xf numFmtId="2" fontId="71" fillId="0" borderId="155" xfId="30" applyNumberFormat="1" applyFont="1" applyBorder="1" applyAlignment="1">
      <alignment horizontal="center"/>
    </xf>
    <xf numFmtId="2" fontId="1" fillId="0" borderId="0" xfId="30" applyNumberFormat="1" applyAlignment="1">
      <alignment horizontal="center"/>
    </xf>
    <xf numFmtId="2" fontId="71" fillId="0" borderId="155" xfId="31" applyNumberFormat="1" applyFont="1" applyBorder="1" applyAlignment="1">
      <alignment horizontal="center"/>
    </xf>
    <xf numFmtId="2" fontId="71" fillId="0" borderId="0" xfId="31" applyNumberFormat="1" applyFont="1" applyAlignment="1">
      <alignment horizontal="center"/>
    </xf>
    <xf numFmtId="170" fontId="25" fillId="11" borderId="171" xfId="25" applyNumberFormat="1" applyFont="1" applyFill="1" applyBorder="1" applyAlignment="1" applyProtection="1">
      <alignment horizontal="center" vertical="center"/>
      <protection locked="0"/>
    </xf>
    <xf numFmtId="0" fontId="25" fillId="11" borderId="171" xfId="8" applyFont="1" applyFill="1" applyBorder="1" applyProtection="1">
      <protection locked="0"/>
    </xf>
    <xf numFmtId="169" fontId="25" fillId="11" borderId="171" xfId="25" applyNumberFormat="1" applyFont="1" applyFill="1" applyBorder="1" applyAlignment="1" applyProtection="1">
      <alignment horizontal="center" vertical="center"/>
      <protection locked="0"/>
    </xf>
    <xf numFmtId="4" fontId="9" fillId="47" borderId="93" xfId="8" applyNumberFormat="1" applyFont="1" applyFill="1" applyBorder="1" applyAlignment="1">
      <alignment horizontal="center" vertical="center" wrapText="1"/>
    </xf>
    <xf numFmtId="4" fontId="9" fillId="47" borderId="102" xfId="8" applyNumberFormat="1" applyFont="1" applyFill="1" applyBorder="1" applyAlignment="1">
      <alignment horizontal="center" vertical="center" wrapText="1"/>
    </xf>
    <xf numFmtId="4" fontId="10" fillId="44" borderId="94" xfId="8" applyNumberFormat="1" applyFont="1" applyFill="1" applyBorder="1" applyAlignment="1">
      <alignment horizontal="center" vertical="center" wrapText="1"/>
    </xf>
    <xf numFmtId="4" fontId="10" fillId="44" borderId="100" xfId="8" applyNumberFormat="1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8" fillId="0" borderId="42" xfId="0" applyFont="1" applyBorder="1" applyAlignment="1">
      <alignment wrapText="1"/>
    </xf>
    <xf numFmtId="0" fontId="0" fillId="0" borderId="0" xfId="0" applyAlignment="1">
      <alignment wrapText="1"/>
    </xf>
    <xf numFmtId="171" fontId="9" fillId="4" borderId="171" xfId="25" applyNumberFormat="1" applyFont="1" applyFill="1" applyBorder="1" applyAlignment="1" applyProtection="1">
      <alignment horizontal="center" vertical="center"/>
      <protection locked="0"/>
    </xf>
    <xf numFmtId="0" fontId="1" fillId="11" borderId="104" xfId="0" applyFont="1" applyFill="1" applyBorder="1" applyAlignment="1" applyProtection="1">
      <alignment horizontal="left" vertical="center"/>
      <protection locked="0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0" fontId="41" fillId="4" borderId="0" xfId="0" applyFont="1" applyFill="1" applyAlignment="1">
      <alignment horizontal="center" vertical="center"/>
    </xf>
    <xf numFmtId="0" fontId="41" fillId="29" borderId="78" xfId="0" applyFont="1" applyFill="1" applyBorder="1" applyAlignment="1">
      <alignment horizontal="center" vertical="center"/>
    </xf>
    <xf numFmtId="0" fontId="41" fillId="29" borderId="0" xfId="0" applyFont="1" applyFill="1" applyAlignment="1">
      <alignment horizontal="center" vertical="center"/>
    </xf>
    <xf numFmtId="0" fontId="24" fillId="29" borderId="75" xfId="0" applyFont="1" applyFill="1" applyBorder="1" applyAlignment="1">
      <alignment horizontal="center" vertical="center"/>
    </xf>
    <xf numFmtId="0" fontId="24" fillId="29" borderId="82" xfId="0" applyFont="1" applyFill="1" applyBorder="1" applyAlignment="1">
      <alignment horizontal="center" vertical="center"/>
    </xf>
    <xf numFmtId="14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11" borderId="104" xfId="0" applyFont="1" applyFill="1" applyBorder="1" applyAlignment="1" applyProtection="1">
      <alignment horizontal="center" vertical="center"/>
      <protection locked="0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0" borderId="104" xfId="0" applyFont="1" applyBorder="1" applyAlignment="1">
      <alignment horizontal="center" vertical="center"/>
    </xf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51" fillId="11" borderId="104" xfId="0" applyFont="1" applyFill="1" applyBorder="1" applyAlignment="1" applyProtection="1">
      <alignment horizontal="left" vertical="center"/>
      <protection locked="0"/>
    </xf>
    <xf numFmtId="3" fontId="24" fillId="11" borderId="41" xfId="0" applyNumberFormat="1" applyFont="1" applyFill="1" applyBorder="1" applyAlignment="1" applyProtection="1">
      <alignment horizontal="center"/>
      <protection locked="0"/>
    </xf>
    <xf numFmtId="0" fontId="39" fillId="29" borderId="82" xfId="0" applyFont="1" applyFill="1" applyBorder="1" applyAlignment="1" applyProtection="1">
      <alignment horizontal="center"/>
      <protection locked="0"/>
    </xf>
    <xf numFmtId="0" fontId="39" fillId="29" borderId="83" xfId="0" applyFont="1" applyFill="1" applyBorder="1" applyAlignment="1" applyProtection="1">
      <alignment horizontal="center"/>
      <protection locked="0"/>
    </xf>
    <xf numFmtId="0" fontId="1" fillId="0" borderId="104" xfId="0" applyFont="1" applyBorder="1" applyAlignment="1" applyProtection="1">
      <alignment horizontal="center" vertical="center"/>
      <protection locked="0"/>
    </xf>
    <xf numFmtId="10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40" fillId="22" borderId="0" xfId="0" applyFont="1" applyFill="1" applyAlignment="1">
      <alignment horizontal="center"/>
    </xf>
    <xf numFmtId="170" fontId="27" fillId="0" borderId="104" xfId="0" applyNumberFormat="1" applyFont="1" applyBorder="1" applyAlignment="1">
      <alignment horizontal="center" vertical="center"/>
    </xf>
    <xf numFmtId="170" fontId="27" fillId="0" borderId="104" xfId="0" applyNumberFormat="1" applyFont="1" applyBorder="1" applyAlignment="1" applyProtection="1">
      <alignment horizontal="center" vertical="center"/>
      <protection locked="0"/>
    </xf>
    <xf numFmtId="0" fontId="29" fillId="0" borderId="42" xfId="0" applyFont="1" applyBorder="1" applyAlignment="1">
      <alignment horizontal="left"/>
    </xf>
    <xf numFmtId="0" fontId="27" fillId="0" borderId="126" xfId="0" applyFont="1" applyBorder="1" applyAlignment="1">
      <alignment horizontal="left"/>
    </xf>
    <xf numFmtId="10" fontId="27" fillId="0" borderId="126" xfId="2" applyNumberFormat="1" applyFont="1" applyBorder="1" applyAlignment="1">
      <alignment horizontal="center"/>
    </xf>
    <xf numFmtId="0" fontId="55" fillId="31" borderId="18" xfId="0" applyFont="1" applyFill="1" applyBorder="1" applyAlignment="1">
      <alignment horizontal="center"/>
    </xf>
    <xf numFmtId="2" fontId="27" fillId="0" borderId="126" xfId="0" applyNumberFormat="1" applyFont="1" applyBorder="1" applyAlignment="1">
      <alignment horizontal="center"/>
    </xf>
    <xf numFmtId="1" fontId="27" fillId="0" borderId="126" xfId="0" applyNumberFormat="1" applyFont="1" applyBorder="1" applyAlignment="1">
      <alignment horizontal="center"/>
    </xf>
    <xf numFmtId="0" fontId="27" fillId="0" borderId="126" xfId="0" applyFont="1" applyBorder="1" applyAlignment="1">
      <alignment horizontal="center"/>
    </xf>
    <xf numFmtId="165" fontId="27" fillId="0" borderId="126" xfId="2" applyNumberFormat="1" applyFont="1" applyBorder="1" applyAlignment="1">
      <alignment horizontal="center"/>
    </xf>
    <xf numFmtId="0" fontId="23" fillId="13" borderId="87" xfId="0" applyFont="1" applyFill="1" applyBorder="1" applyAlignment="1" applyProtection="1">
      <alignment horizontal="left" vertical="center"/>
      <protection locked="0"/>
    </xf>
    <xf numFmtId="0" fontId="23" fillId="13" borderId="80" xfId="0" applyFont="1" applyFill="1" applyBorder="1" applyAlignment="1" applyProtection="1">
      <alignment horizontal="left" vertical="center"/>
      <protection locked="0"/>
    </xf>
    <xf numFmtId="0" fontId="8" fillId="0" borderId="104" xfId="0" applyFont="1" applyBorder="1" applyAlignment="1" applyProtection="1">
      <alignment horizontal="left" wrapText="1"/>
      <protection locked="0"/>
    </xf>
    <xf numFmtId="0" fontId="0" fillId="0" borderId="104" xfId="0" applyBorder="1" applyAlignment="1" applyProtection="1">
      <alignment horizontal="left" wrapText="1"/>
      <protection locked="0"/>
    </xf>
    <xf numFmtId="0" fontId="1" fillId="11" borderId="104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27" fillId="0" borderId="157" xfId="0" applyFont="1" applyBorder="1" applyAlignment="1">
      <alignment horizontal="center" vertical="center"/>
    </xf>
    <xf numFmtId="10" fontId="79" fillId="14" borderId="18" xfId="8" applyNumberFormat="1" applyFont="1" applyFill="1" applyBorder="1" applyAlignment="1">
      <alignment horizontal="center" vertical="center"/>
    </xf>
    <xf numFmtId="10" fontId="79" fillId="14" borderId="19" xfId="8" applyNumberFormat="1" applyFont="1" applyFill="1" applyBorder="1" applyAlignment="1">
      <alignment horizontal="center" vertical="center"/>
    </xf>
    <xf numFmtId="10" fontId="79" fillId="14" borderId="20" xfId="8" applyNumberFormat="1" applyFont="1" applyFill="1" applyBorder="1" applyAlignment="1">
      <alignment horizontal="center" vertical="center"/>
    </xf>
    <xf numFmtId="168" fontId="22" fillId="10" borderId="42" xfId="8" applyNumberFormat="1" applyFont="1" applyFill="1" applyBorder="1" applyAlignment="1">
      <alignment horizontal="center"/>
    </xf>
    <xf numFmtId="168" fontId="22" fillId="8" borderId="42" xfId="8" applyNumberFormat="1" applyFont="1" applyFill="1" applyBorder="1" applyAlignment="1">
      <alignment horizontal="center"/>
    </xf>
    <xf numFmtId="10" fontId="79" fillId="14" borderId="171" xfId="8" applyNumberFormat="1" applyFont="1" applyFill="1" applyBorder="1" applyAlignment="1">
      <alignment horizontal="center" vertical="center"/>
    </xf>
    <xf numFmtId="0" fontId="79" fillId="14" borderId="171" xfId="8" applyFont="1" applyFill="1" applyBorder="1" applyAlignment="1">
      <alignment horizontal="center" vertical="center"/>
    </xf>
    <xf numFmtId="0" fontId="17" fillId="12" borderId="14" xfId="8" applyFont="1" applyFill="1" applyBorder="1" applyAlignment="1" applyProtection="1">
      <alignment horizontal="center" vertical="center" textRotation="90"/>
      <protection locked="0"/>
    </xf>
    <xf numFmtId="0" fontId="17" fillId="12" borderId="14" xfId="8" applyFont="1" applyFill="1" applyBorder="1" applyAlignment="1">
      <alignment horizontal="center" vertical="center" textRotation="90"/>
    </xf>
    <xf numFmtId="10" fontId="81" fillId="14" borderId="18" xfId="8" applyNumberFormat="1" applyFont="1" applyFill="1" applyBorder="1" applyAlignment="1">
      <alignment horizontal="center" vertical="center"/>
    </xf>
    <xf numFmtId="10" fontId="81" fillId="14" borderId="19" xfId="8" applyNumberFormat="1" applyFont="1" applyFill="1" applyBorder="1" applyAlignment="1">
      <alignment horizontal="center" vertical="center"/>
    </xf>
    <xf numFmtId="10" fontId="81" fillId="14" borderId="20" xfId="8" applyNumberFormat="1" applyFont="1" applyFill="1" applyBorder="1" applyAlignment="1">
      <alignment horizontal="center" vertical="center"/>
    </xf>
    <xf numFmtId="179" fontId="9" fillId="6" borderId="0" xfId="26" applyNumberFormat="1" applyFont="1" applyFill="1" applyBorder="1" applyAlignment="1" applyProtection="1">
      <alignment horizontal="center" vertical="center"/>
    </xf>
    <xf numFmtId="179" fontId="9" fillId="8" borderId="0" xfId="26" applyNumberFormat="1" applyFont="1" applyFill="1" applyBorder="1" applyAlignment="1" applyProtection="1">
      <alignment horizontal="center" vertical="center"/>
    </xf>
    <xf numFmtId="0" fontId="10" fillId="12" borderId="14" xfId="8" applyFont="1" applyFill="1" applyBorder="1" applyAlignment="1">
      <alignment horizontal="center" vertical="center" textRotation="90"/>
    </xf>
    <xf numFmtId="0" fontId="9" fillId="4" borderId="19" xfId="8" applyFont="1" applyFill="1" applyBorder="1" applyAlignment="1">
      <alignment horizontal="center" vertical="center" wrapText="1"/>
    </xf>
    <xf numFmtId="0" fontId="76" fillId="0" borderId="0" xfId="30" applyFont="1" applyAlignment="1">
      <alignment horizontal="center"/>
    </xf>
    <xf numFmtId="0" fontId="77" fillId="0" borderId="1" xfId="0" applyFont="1" applyBorder="1" applyAlignment="1">
      <alignment horizontal="left" vertical="center"/>
    </xf>
    <xf numFmtId="0" fontId="77" fillId="0" borderId="10" xfId="0" applyFont="1" applyBorder="1" applyAlignment="1">
      <alignment horizontal="left" vertical="center"/>
    </xf>
    <xf numFmtId="0" fontId="77" fillId="0" borderId="24" xfId="0" applyFont="1" applyBorder="1" applyAlignment="1">
      <alignment horizontal="left" vertical="center"/>
    </xf>
    <xf numFmtId="0" fontId="77" fillId="0" borderId="2" xfId="0" applyFont="1" applyBorder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77" fillId="0" borderId="3" xfId="0" applyFont="1" applyBorder="1" applyAlignment="1">
      <alignment horizontal="left" vertical="center"/>
    </xf>
    <xf numFmtId="0" fontId="77" fillId="0" borderId="143" xfId="0" applyFont="1" applyBorder="1" applyAlignment="1">
      <alignment horizontal="left" vertical="center"/>
    </xf>
    <xf numFmtId="0" fontId="77" fillId="0" borderId="4" xfId="0" applyFont="1" applyBorder="1" applyAlignment="1">
      <alignment horizontal="left" vertical="center"/>
    </xf>
    <xf numFmtId="0" fontId="77" fillId="0" borderId="5" xfId="0" applyFont="1" applyBorder="1" applyAlignment="1">
      <alignment horizontal="left" vertical="center"/>
    </xf>
    <xf numFmtId="0" fontId="81" fillId="0" borderId="1" xfId="0" applyFont="1" applyBorder="1" applyAlignment="1" applyProtection="1">
      <alignment horizontal="center" vertical="center"/>
      <protection locked="0"/>
    </xf>
    <xf numFmtId="0" fontId="81" fillId="0" borderId="10" xfId="0" applyFont="1" applyBorder="1" applyAlignment="1" applyProtection="1">
      <alignment horizontal="center" vertical="center"/>
      <protection locked="0"/>
    </xf>
    <xf numFmtId="0" fontId="81" fillId="0" borderId="24" xfId="0" applyFont="1" applyBorder="1" applyAlignment="1" applyProtection="1">
      <alignment horizontal="center" vertical="center"/>
      <protection locked="0"/>
    </xf>
    <xf numFmtId="0" fontId="81" fillId="0" borderId="2" xfId="0" applyFont="1" applyBorder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81" fillId="0" borderId="3" xfId="0" applyFont="1" applyBorder="1" applyAlignment="1" applyProtection="1">
      <alignment horizontal="center" vertical="center"/>
      <protection locked="0"/>
    </xf>
    <xf numFmtId="0" fontId="81" fillId="0" borderId="143" xfId="0" applyFont="1" applyBorder="1" applyAlignment="1" applyProtection="1">
      <alignment horizontal="center" vertical="center"/>
      <protection locked="0"/>
    </xf>
    <xf numFmtId="0" fontId="81" fillId="0" borderId="4" xfId="0" applyFont="1" applyBorder="1" applyAlignment="1" applyProtection="1">
      <alignment horizontal="center" vertical="center"/>
      <protection locked="0"/>
    </xf>
    <xf numFmtId="0" fontId="81" fillId="0" borderId="5" xfId="0" applyFont="1" applyBorder="1" applyAlignment="1" applyProtection="1">
      <alignment horizontal="center" vertical="center"/>
      <protection locked="0"/>
    </xf>
    <xf numFmtId="0" fontId="80" fillId="0" borderId="1" xfId="0" applyFont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14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9" fontId="63" fillId="38" borderId="138" xfId="2" applyFont="1" applyFill="1" applyBorder="1" applyAlignment="1" applyProtection="1">
      <alignment horizontal="center"/>
      <protection locked="0"/>
    </xf>
    <xf numFmtId="9" fontId="63" fillId="38" borderId="147" xfId="2" applyFont="1" applyFill="1" applyBorder="1" applyAlignment="1" applyProtection="1">
      <alignment horizontal="center"/>
      <protection locked="0"/>
    </xf>
    <xf numFmtId="0" fontId="60" fillId="14" borderId="132" xfId="0" applyFont="1" applyFill="1" applyBorder="1" applyAlignment="1" applyProtection="1">
      <alignment horizontal="center"/>
      <protection locked="0"/>
    </xf>
    <xf numFmtId="0" fontId="60" fillId="14" borderId="133" xfId="0" applyFont="1" applyFill="1" applyBorder="1" applyAlignment="1" applyProtection="1">
      <alignment horizontal="center"/>
      <protection locked="0"/>
    </xf>
    <xf numFmtId="0" fontId="60" fillId="14" borderId="134" xfId="0" applyFont="1" applyFill="1" applyBorder="1" applyAlignment="1" applyProtection="1">
      <alignment horizontal="center"/>
      <protection locked="0"/>
    </xf>
    <xf numFmtId="165" fontId="62" fillId="0" borderId="1" xfId="2" applyNumberFormat="1" applyFont="1" applyBorder="1" applyAlignment="1" applyProtection="1">
      <alignment horizontal="center" vertical="center"/>
    </xf>
    <xf numFmtId="165" fontId="62" fillId="0" borderId="141" xfId="2" applyNumberFormat="1" applyFont="1" applyBorder="1" applyAlignment="1" applyProtection="1">
      <alignment horizontal="center" vertical="center"/>
    </xf>
    <xf numFmtId="165" fontId="62" fillId="0" borderId="2" xfId="2" applyNumberFormat="1" applyFont="1" applyBorder="1" applyAlignment="1" applyProtection="1">
      <alignment horizontal="center" vertical="center"/>
    </xf>
    <xf numFmtId="165" fontId="62" fillId="0" borderId="139" xfId="2" applyNumberFormat="1" applyFont="1" applyBorder="1" applyAlignment="1" applyProtection="1">
      <alignment horizontal="center" vertical="center"/>
    </xf>
    <xf numFmtId="165" fontId="62" fillId="0" borderId="143" xfId="2" applyNumberFormat="1" applyFont="1" applyBorder="1" applyAlignment="1" applyProtection="1">
      <alignment horizontal="center" vertical="center"/>
    </xf>
    <xf numFmtId="165" fontId="62" fillId="0" borderId="144" xfId="2" applyNumberFormat="1" applyFont="1" applyBorder="1" applyAlignment="1" applyProtection="1">
      <alignment horizontal="center" vertical="center"/>
    </xf>
    <xf numFmtId="0" fontId="60" fillId="35" borderId="145" xfId="0" applyFont="1" applyFill="1" applyBorder="1" applyAlignment="1" applyProtection="1">
      <alignment horizontal="center"/>
      <protection locked="0"/>
    </xf>
    <xf numFmtId="0" fontId="60" fillId="35" borderId="146" xfId="0" applyFont="1" applyFill="1" applyBorder="1" applyAlignment="1" applyProtection="1">
      <alignment horizontal="center"/>
      <protection locked="0"/>
    </xf>
    <xf numFmtId="0" fontId="60" fillId="35" borderId="147" xfId="0" applyFont="1" applyFill="1" applyBorder="1" applyAlignment="1" applyProtection="1">
      <alignment horizontal="center"/>
      <protection locked="0"/>
    </xf>
    <xf numFmtId="0" fontId="60" fillId="17" borderId="145" xfId="0" applyFont="1" applyFill="1" applyBorder="1" applyAlignment="1" applyProtection="1">
      <alignment horizontal="center"/>
      <protection locked="0"/>
    </xf>
    <xf numFmtId="0" fontId="60" fillId="17" borderId="146" xfId="0" applyFont="1" applyFill="1" applyBorder="1" applyAlignment="1" applyProtection="1">
      <alignment horizontal="center"/>
      <protection locked="0"/>
    </xf>
    <xf numFmtId="0" fontId="60" fillId="17" borderId="147" xfId="0" applyFont="1" applyFill="1" applyBorder="1" applyAlignment="1" applyProtection="1">
      <alignment horizontal="center"/>
      <protection locked="0"/>
    </xf>
    <xf numFmtId="0" fontId="60" fillId="37" borderId="138" xfId="0" applyFont="1" applyFill="1" applyBorder="1" applyAlignment="1" applyProtection="1">
      <alignment horizontal="center"/>
      <protection locked="0"/>
    </xf>
    <xf numFmtId="0" fontId="60" fillId="37" borderId="147" xfId="0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4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4" fontId="30" fillId="4" borderId="128" xfId="0" applyNumberFormat="1" applyFont="1" applyFill="1" applyBorder="1" applyAlignment="1" applyProtection="1">
      <alignment horizontal="center"/>
      <protection locked="0"/>
    </xf>
    <xf numFmtId="174" fontId="30" fillId="4" borderId="129" xfId="0" applyNumberFormat="1" applyFont="1" applyFill="1" applyBorder="1" applyAlignment="1" applyProtection="1">
      <alignment horizontal="center"/>
      <protection locked="0"/>
    </xf>
    <xf numFmtId="174" fontId="34" fillId="33" borderId="179" xfId="2" applyNumberFormat="1" applyFont="1" applyFill="1" applyBorder="1" applyAlignment="1" applyProtection="1">
      <alignment horizontal="center"/>
      <protection locked="0"/>
    </xf>
    <xf numFmtId="10" fontId="34" fillId="33" borderId="180" xfId="2" applyNumberFormat="1" applyFont="1" applyFill="1" applyBorder="1" applyAlignment="1" applyProtection="1">
      <alignment horizontal="center"/>
      <protection locked="0"/>
    </xf>
    <xf numFmtId="175" fontId="30" fillId="4" borderId="158" xfId="0" applyNumberFormat="1" applyFont="1" applyFill="1" applyBorder="1" applyAlignment="1" applyProtection="1">
      <alignment horizontal="center"/>
      <protection locked="0"/>
    </xf>
    <xf numFmtId="0" fontId="30" fillId="4" borderId="170" xfId="0" applyFont="1" applyFill="1" applyBorder="1" applyAlignment="1" applyProtection="1">
      <alignment horizontal="center"/>
      <protection locked="0"/>
    </xf>
    <xf numFmtId="175" fontId="30" fillId="4" borderId="177" xfId="0" applyNumberFormat="1" applyFont="1" applyFill="1" applyBorder="1" applyAlignment="1" applyProtection="1">
      <alignment horizontal="center"/>
      <protection locked="0"/>
    </xf>
    <xf numFmtId="0" fontId="30" fillId="4" borderId="178" xfId="0" applyFont="1" applyFill="1" applyBorder="1" applyAlignment="1" applyProtection="1">
      <alignment horizontal="center"/>
      <protection locked="0"/>
    </xf>
    <xf numFmtId="174" fontId="30" fillId="4" borderId="173" xfId="0" applyNumberFormat="1" applyFont="1" applyFill="1" applyBorder="1" applyAlignment="1" applyProtection="1">
      <alignment horizontal="center"/>
      <protection locked="0"/>
    </xf>
    <xf numFmtId="174" fontId="30" fillId="4" borderId="174" xfId="0" applyNumberFormat="1" applyFont="1" applyFill="1" applyBorder="1" applyAlignment="1" applyProtection="1">
      <alignment horizontal="center"/>
      <protection locked="0"/>
    </xf>
    <xf numFmtId="174" fontId="30" fillId="4" borderId="162" xfId="0" applyNumberFormat="1" applyFont="1" applyFill="1" applyBorder="1" applyAlignment="1" applyProtection="1">
      <alignment horizontal="center"/>
      <protection locked="0"/>
    </xf>
    <xf numFmtId="174" fontId="30" fillId="4" borderId="163" xfId="0" applyNumberFormat="1" applyFont="1" applyFill="1" applyBorder="1" applyAlignment="1" applyProtection="1">
      <alignment horizontal="center"/>
      <protection locked="0"/>
    </xf>
    <xf numFmtId="175" fontId="30" fillId="4" borderId="175" xfId="0" applyNumberFormat="1" applyFont="1" applyFill="1" applyBorder="1" applyAlignment="1" applyProtection="1">
      <alignment horizontal="center"/>
      <protection locked="0"/>
    </xf>
    <xf numFmtId="0" fontId="30" fillId="4" borderId="176" xfId="0" applyFont="1" applyFill="1" applyBorder="1" applyAlignment="1" applyProtection="1">
      <alignment horizontal="center"/>
      <protection locked="0"/>
    </xf>
    <xf numFmtId="0" fontId="32" fillId="16" borderId="0" xfId="0" applyFont="1" applyFill="1" applyAlignment="1">
      <alignment horizontal="center"/>
    </xf>
    <xf numFmtId="175" fontId="30" fillId="41" borderId="173" xfId="0" applyNumberFormat="1" applyFont="1" applyFill="1" applyBorder="1" applyAlignment="1">
      <alignment horizontal="center"/>
    </xf>
    <xf numFmtId="175" fontId="30" fillId="41" borderId="172" xfId="0" applyNumberFormat="1" applyFont="1" applyFill="1" applyBorder="1" applyAlignment="1">
      <alignment horizontal="center"/>
    </xf>
    <xf numFmtId="175" fontId="30" fillId="0" borderId="177" xfId="0" applyNumberFormat="1" applyFont="1" applyBorder="1" applyAlignment="1">
      <alignment horizontal="center"/>
    </xf>
    <xf numFmtId="175" fontId="30" fillId="0" borderId="178" xfId="0" applyNumberFormat="1" applyFont="1" applyBorder="1" applyAlignment="1">
      <alignment horizontal="center"/>
    </xf>
    <xf numFmtId="0" fontId="31" fillId="29" borderId="174" xfId="0" applyFont="1" applyFill="1" applyBorder="1" applyAlignment="1" applyProtection="1">
      <alignment horizontal="center"/>
      <protection locked="0"/>
    </xf>
    <xf numFmtId="0" fontId="30" fillId="0" borderId="174" xfId="0" applyFont="1" applyBorder="1" applyAlignment="1">
      <alignment horizontal="center"/>
    </xf>
    <xf numFmtId="0" fontId="30" fillId="0" borderId="172" xfId="0" applyFont="1" applyBorder="1" applyAlignment="1">
      <alignment horizontal="center"/>
    </xf>
    <xf numFmtId="0" fontId="30" fillId="0" borderId="175" xfId="0" applyFont="1" applyBorder="1" applyAlignment="1">
      <alignment horizontal="center"/>
    </xf>
    <xf numFmtId="0" fontId="30" fillId="0" borderId="161" xfId="0" applyFont="1" applyBorder="1" applyAlignment="1">
      <alignment horizontal="center"/>
    </xf>
    <xf numFmtId="0" fontId="30" fillId="0" borderId="176" xfId="0" applyFont="1" applyBorder="1" applyAlignment="1">
      <alignment horizontal="center"/>
    </xf>
    <xf numFmtId="0" fontId="30" fillId="0" borderId="158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70" xfId="0" applyFont="1" applyBorder="1" applyAlignment="1">
      <alignment horizontal="center"/>
    </xf>
    <xf numFmtId="175" fontId="30" fillId="4" borderId="175" xfId="0" applyNumberFormat="1" applyFont="1" applyFill="1" applyBorder="1" applyAlignment="1">
      <alignment horizontal="center"/>
    </xf>
    <xf numFmtId="175" fontId="30" fillId="4" borderId="176" xfId="0" applyNumberFormat="1" applyFont="1" applyFill="1" applyBorder="1" applyAlignment="1">
      <alignment horizontal="center"/>
    </xf>
    <xf numFmtId="0" fontId="42" fillId="11" borderId="0" xfId="0" applyFont="1" applyFill="1" applyAlignment="1">
      <alignment horizontal="center"/>
    </xf>
    <xf numFmtId="175" fontId="30" fillId="4" borderId="158" xfId="0" applyNumberFormat="1" applyFont="1" applyFill="1" applyBorder="1" applyAlignment="1">
      <alignment horizontal="center"/>
    </xf>
    <xf numFmtId="175" fontId="30" fillId="4" borderId="170" xfId="0" applyNumberFormat="1" applyFont="1" applyFill="1" applyBorder="1" applyAlignment="1">
      <alignment horizontal="center"/>
    </xf>
    <xf numFmtId="175" fontId="30" fillId="4" borderId="177" xfId="0" applyNumberFormat="1" applyFont="1" applyFill="1" applyBorder="1" applyAlignment="1">
      <alignment horizontal="center"/>
    </xf>
    <xf numFmtId="175" fontId="30" fillId="4" borderId="178" xfId="0" applyNumberFormat="1" applyFont="1" applyFill="1" applyBorder="1" applyAlignment="1">
      <alignment horizontal="center"/>
    </xf>
    <xf numFmtId="3" fontId="30" fillId="0" borderId="0" xfId="0" applyNumberFormat="1" applyFont="1" applyAlignment="1">
      <alignment horizontal="right"/>
    </xf>
    <xf numFmtId="0" fontId="30" fillId="0" borderId="0" xfId="0" applyFont="1" applyAlignment="1">
      <alignment horizontal="right"/>
    </xf>
    <xf numFmtId="175" fontId="30" fillId="0" borderId="175" xfId="0" applyNumberFormat="1" applyFont="1" applyBorder="1" applyAlignment="1">
      <alignment horizontal="center"/>
    </xf>
    <xf numFmtId="175" fontId="30" fillId="0" borderId="176" xfId="0" applyNumberFormat="1" applyFont="1" applyBorder="1" applyAlignment="1">
      <alignment horizontal="center"/>
    </xf>
    <xf numFmtId="0" fontId="30" fillId="0" borderId="177" xfId="0" applyFont="1" applyBorder="1" applyAlignment="1">
      <alignment horizontal="center"/>
    </xf>
    <xf numFmtId="0" fontId="30" fillId="0" borderId="169" xfId="0" applyFont="1" applyBorder="1" applyAlignment="1">
      <alignment horizontal="center"/>
    </xf>
    <xf numFmtId="0" fontId="30" fillId="0" borderId="178" xfId="0" applyFont="1" applyBorder="1" applyAlignment="1">
      <alignment horizontal="center"/>
    </xf>
    <xf numFmtId="175" fontId="34" fillId="16" borderId="31" xfId="0" applyNumberFormat="1" applyFont="1" applyFill="1" applyBorder="1" applyAlignment="1">
      <alignment horizontal="center"/>
    </xf>
    <xf numFmtId="175" fontId="34" fillId="16" borderId="32" xfId="0" applyNumberFormat="1" applyFont="1" applyFill="1" applyBorder="1" applyAlignment="1">
      <alignment horizontal="center"/>
    </xf>
    <xf numFmtId="175" fontId="32" fillId="16" borderId="0" xfId="0" applyNumberFormat="1" applyFont="1" applyFill="1" applyAlignment="1">
      <alignment horizontal="center"/>
    </xf>
    <xf numFmtId="175" fontId="33" fillId="0" borderId="177" xfId="0" applyNumberFormat="1" applyFont="1" applyBorder="1" applyAlignment="1">
      <alignment horizontal="center"/>
    </xf>
    <xf numFmtId="175" fontId="33" fillId="0" borderId="169" xfId="0" applyNumberFormat="1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10" fontId="36" fillId="16" borderId="26" xfId="2" applyNumberFormat="1" applyFont="1" applyFill="1" applyBorder="1" applyAlignment="1" applyProtection="1">
      <alignment horizontal="center"/>
    </xf>
    <xf numFmtId="175" fontId="30" fillId="41" borderId="175" xfId="0" applyNumberFormat="1" applyFont="1" applyFill="1" applyBorder="1" applyAlignment="1">
      <alignment horizontal="center"/>
    </xf>
    <xf numFmtId="175" fontId="30" fillId="41" borderId="176" xfId="0" applyNumberFormat="1" applyFont="1" applyFill="1" applyBorder="1" applyAlignment="1">
      <alignment horizontal="center"/>
    </xf>
    <xf numFmtId="175" fontId="33" fillId="0" borderId="175" xfId="0" applyNumberFormat="1" applyFont="1" applyBorder="1" applyAlignment="1">
      <alignment horizontal="center"/>
    </xf>
    <xf numFmtId="175" fontId="33" fillId="0" borderId="161" xfId="0" applyNumberFormat="1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75" fontId="33" fillId="0" borderId="174" xfId="0" applyNumberFormat="1" applyFont="1" applyBorder="1" applyAlignment="1">
      <alignment horizontal="center"/>
    </xf>
    <xf numFmtId="172" fontId="42" fillId="17" borderId="0" xfId="0" applyNumberFormat="1" applyFont="1" applyFill="1" applyAlignment="1">
      <alignment horizontal="center"/>
    </xf>
    <xf numFmtId="175" fontId="30" fillId="4" borderId="165" xfId="0" applyNumberFormat="1" applyFont="1" applyFill="1" applyBorder="1" applyAlignment="1" applyProtection="1">
      <alignment horizontal="center"/>
      <protection locked="0"/>
    </xf>
    <xf numFmtId="0" fontId="30" fillId="4" borderId="166" xfId="0" applyFont="1" applyFill="1" applyBorder="1" applyAlignment="1" applyProtection="1">
      <alignment horizontal="center"/>
      <protection locked="0"/>
    </xf>
    <xf numFmtId="0" fontId="33" fillId="11" borderId="0" xfId="0" applyFont="1" applyFill="1" applyAlignment="1">
      <alignment horizontal="center" vertical="center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8" xfId="0" applyFont="1" applyBorder="1" applyAlignment="1">
      <alignment horizontal="left"/>
    </xf>
    <xf numFmtId="0" fontId="30" fillId="0" borderId="39" xfId="0" applyFont="1" applyBorder="1" applyAlignment="1">
      <alignment horizontal="left"/>
    </xf>
    <xf numFmtId="175" fontId="30" fillId="4" borderId="173" xfId="0" applyNumberFormat="1" applyFont="1" applyFill="1" applyBorder="1" applyAlignment="1" applyProtection="1">
      <alignment horizontal="center"/>
      <protection locked="0"/>
    </xf>
    <xf numFmtId="0" fontId="30" fillId="4" borderId="174" xfId="0" applyFont="1" applyFill="1" applyBorder="1" applyAlignment="1" applyProtection="1">
      <alignment horizontal="center"/>
      <protection locked="0"/>
    </xf>
    <xf numFmtId="175" fontId="30" fillId="4" borderId="159" xfId="0" applyNumberFormat="1" applyFont="1" applyFill="1" applyBorder="1" applyAlignment="1" applyProtection="1">
      <alignment horizontal="center"/>
      <protection locked="0"/>
    </xf>
    <xf numFmtId="0" fontId="30" fillId="4" borderId="160" xfId="0" applyFont="1" applyFill="1" applyBorder="1" applyAlignment="1" applyProtection="1">
      <alignment horizontal="center"/>
      <protection locked="0"/>
    </xf>
    <xf numFmtId="175" fontId="30" fillId="4" borderId="167" xfId="0" applyNumberFormat="1" applyFont="1" applyFill="1" applyBorder="1" applyAlignment="1" applyProtection="1">
      <alignment horizontal="center"/>
      <protection locked="0"/>
    </xf>
    <xf numFmtId="0" fontId="30" fillId="4" borderId="168" xfId="0" applyFont="1" applyFill="1" applyBorder="1" applyAlignment="1" applyProtection="1">
      <alignment horizontal="center"/>
      <protection locked="0"/>
    </xf>
    <xf numFmtId="0" fontId="32" fillId="19" borderId="0" xfId="0" applyFont="1" applyFill="1" applyAlignment="1">
      <alignment horizontal="center"/>
    </xf>
    <xf numFmtId="0" fontId="0" fillId="0" borderId="41" xfId="0" applyBorder="1" applyAlignment="1">
      <alignment horizontal="center"/>
    </xf>
    <xf numFmtId="0" fontId="0" fillId="0" borderId="12" xfId="0" applyBorder="1" applyAlignment="1">
      <alignment horizontal="center"/>
    </xf>
    <xf numFmtId="3" fontId="19" fillId="9" borderId="108" xfId="8" applyNumberFormat="1" applyFont="1" applyFill="1" applyBorder="1" applyAlignment="1">
      <alignment horizontal="center" vertical="center" wrapText="1"/>
    </xf>
    <xf numFmtId="3" fontId="19" fillId="9" borderId="109" xfId="8" applyNumberFormat="1" applyFont="1" applyFill="1" applyBorder="1" applyAlignment="1">
      <alignment horizontal="center" vertical="center" wrapText="1"/>
    </xf>
    <xf numFmtId="3" fontId="19" fillId="9" borderId="113" xfId="8" applyNumberFormat="1" applyFont="1" applyFill="1" applyBorder="1" applyAlignment="1">
      <alignment horizontal="center" vertical="center" wrapText="1"/>
    </xf>
    <xf numFmtId="3" fontId="19" fillId="9" borderId="114" xfId="8" applyNumberFormat="1" applyFont="1" applyFill="1" applyBorder="1" applyAlignment="1">
      <alignment horizontal="center" vertical="center" wrapText="1"/>
    </xf>
    <xf numFmtId="3" fontId="19" fillId="46" borderId="113" xfId="8" applyNumberFormat="1" applyFont="1" applyFill="1" applyBorder="1" applyAlignment="1">
      <alignment horizontal="center" vertical="center" wrapText="1"/>
    </xf>
    <xf numFmtId="3" fontId="19" fillId="46" borderId="114" xfId="8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</cellXfs>
  <cellStyles count="32">
    <cellStyle name="Euro" xfId="1" xr:uid="{00000000-0005-0000-0000-000000000000}"/>
    <cellStyle name="Millares" xfId="3" builtinId="3"/>
    <cellStyle name="Millares [0] 2" xfId="25" xr:uid="{E26FACFC-BDC0-4259-849B-1DAAABC50E13}"/>
    <cellStyle name="Millares 2" xfId="7" xr:uid="{00000000-0005-0000-0000-000002000000}"/>
    <cellStyle name="Millares 3" xfId="11" xr:uid="{B4AD11AA-69D9-4888-99FC-759DC0FF2CBB}"/>
    <cellStyle name="Millares 3 2" xfId="21" xr:uid="{F81F7DE7-4A2E-47B1-956B-33046B89900B}"/>
    <cellStyle name="Millares 4" xfId="14" xr:uid="{7B4604B4-95DE-4C32-BB54-57EA2DF4A258}"/>
    <cellStyle name="Millares 5" xfId="19" xr:uid="{E6675AB2-0F0F-40EA-A470-4E334C419763}"/>
    <cellStyle name="Millares 6" xfId="26" xr:uid="{657AA883-3684-4C48-A2CE-509628E0C65F}"/>
    <cellStyle name="Millares 7" xfId="27" xr:uid="{B8C9F6D6-D7D2-4DA9-A505-55E92B1F9AB2}"/>
    <cellStyle name="Moneda" xfId="29" builtinId="4"/>
    <cellStyle name="Moneda 2" xfId="5" xr:uid="{00000000-0005-0000-0000-000004000000}"/>
    <cellStyle name="Moneda 3" xfId="12" xr:uid="{CB801E52-47B9-480C-A095-4D0414840980}"/>
    <cellStyle name="Moneda 3 2" xfId="17" xr:uid="{01E7E69F-FD67-4EE9-A94D-3AB1C095E852}"/>
    <cellStyle name="Moneda 4" xfId="13" xr:uid="{E2F4F2E7-4927-45A5-BD74-50B122356E27}"/>
    <cellStyle name="Moneda 5" xfId="16" xr:uid="{E2F2F17B-89B8-4320-B73B-762E7FF9330E}"/>
    <cellStyle name="Moneda 6" xfId="23" xr:uid="{62081A03-6F38-4148-8CD2-0D9CC0112444}"/>
    <cellStyle name="Normal" xfId="0" builtinId="0"/>
    <cellStyle name="Normal 10" xfId="30" xr:uid="{E3A13672-537D-4906-B0E8-7CA67F7BBD3B}"/>
    <cellStyle name="Normal 2" xfId="4" xr:uid="{00000000-0005-0000-0000-000006000000}"/>
    <cellStyle name="Normal 3" xfId="8" xr:uid="{00000000-0005-0000-0000-000007000000}"/>
    <cellStyle name="Normal 4" xfId="9" xr:uid="{F7748D13-1DE9-44D7-8D74-1D14B82B3CDE}"/>
    <cellStyle name="Normal 5" xfId="10" xr:uid="{BD2E5815-2A71-4935-BDE2-CF933A624C8A}"/>
    <cellStyle name="Normal 5 2" xfId="20" xr:uid="{604AC203-983F-41FF-A0EC-63ED8B1D807D}"/>
    <cellStyle name="Normal 6" xfId="15" xr:uid="{C7724914-7C66-480B-8E49-41D8FFA3786F}"/>
    <cellStyle name="Normal 7" xfId="22" xr:uid="{FC8F30BC-BC59-48C1-B1DE-C35AFC1DB4ED}"/>
    <cellStyle name="Normal 8" xfId="24" xr:uid="{A683EF59-14D4-4413-B49C-B415899EE642}"/>
    <cellStyle name="Normal 9" xfId="28" xr:uid="{E94B439B-193B-4AAF-A860-101094EE9B3C}"/>
    <cellStyle name="Porcentaje" xfId="2" builtinId="5"/>
    <cellStyle name="Porcentaje 2" xfId="18" xr:uid="{E2B33EC4-24C4-444E-B9A7-99E14DB60619}"/>
    <cellStyle name="Porcentaje 3" xfId="31" xr:uid="{D3BAD68D-68AB-4A95-AC4E-A19291091C7C}"/>
    <cellStyle name="Porcentual 2" xfId="6" xr:uid="{00000000-0005-0000-0000-000009000000}"/>
  </cellStyles>
  <dxfs count="7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9" defaultPivotStyle="PivotStyleLight16"/>
  <colors>
    <mruColors>
      <color rgb="FFFFFF61"/>
      <color rgb="FFB918CA"/>
      <color rgb="FFFF3399"/>
      <color rgb="FFB72E1B"/>
      <color rgb="FFB8ACCC"/>
      <color rgb="FFF6FDCB"/>
      <color rgb="FFFEF1E6"/>
      <color rgb="FFEFF6CE"/>
      <color rgb="FF993300"/>
      <color rgb="FFFFF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21</xdr:row>
          <xdr:rowOff>257175</xdr:rowOff>
        </xdr:from>
        <xdr:to>
          <xdr:col>14</xdr:col>
          <xdr:colOff>714375</xdr:colOff>
          <xdr:row>23</xdr:row>
          <xdr:rowOff>152400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01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CONSOLIDAR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714375</xdr:rowOff>
        </xdr:from>
        <xdr:to>
          <xdr:col>1</xdr:col>
          <xdr:colOff>676275</xdr:colOff>
          <xdr:row>7</xdr:row>
          <xdr:rowOff>28575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01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485775</xdr:colOff>
          <xdr:row>5</xdr:row>
          <xdr:rowOff>142875</xdr:rowOff>
        </xdr:from>
        <xdr:to>
          <xdr:col>21</xdr:col>
          <xdr:colOff>571500</xdr:colOff>
          <xdr:row>8</xdr:row>
          <xdr:rowOff>104775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01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2</xdr:row>
          <xdr:rowOff>142875</xdr:rowOff>
        </xdr:from>
        <xdr:to>
          <xdr:col>17</xdr:col>
          <xdr:colOff>904875</xdr:colOff>
          <xdr:row>6</xdr:row>
          <xdr:rowOff>28575</xdr:rowOff>
        </xdr:to>
        <xdr:sp macro="" textlink="">
          <xdr:nvSpPr>
            <xdr:cNvPr id="105496" name="Button 24" hidden="1">
              <a:extLst>
                <a:ext uri="{63B3BB69-23CF-44E3-9099-C40C66FF867C}">
                  <a14:compatExt spid="_x0000_s105496"/>
                </a:ext>
                <a:ext uri="{FF2B5EF4-FFF2-40B4-BE49-F238E27FC236}">
                  <a16:creationId xmlns:a16="http://schemas.microsoft.com/office/drawing/2014/main" id="{00000000-0008-0000-0200-00001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monitores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35</xdr:row>
          <xdr:rowOff>142875</xdr:rowOff>
        </xdr:from>
        <xdr:to>
          <xdr:col>17</xdr:col>
          <xdr:colOff>981075</xdr:colOff>
          <xdr:row>39</xdr:row>
          <xdr:rowOff>38100</xdr:rowOff>
        </xdr:to>
        <xdr:sp macro="" textlink="">
          <xdr:nvSpPr>
            <xdr:cNvPr id="105506" name="Button 34" hidden="1">
              <a:extLst>
                <a:ext uri="{63B3BB69-23CF-44E3-9099-C40C66FF867C}">
                  <a14:compatExt spid="_x0000_s105506"/>
                </a:ext>
                <a:ext uri="{FF2B5EF4-FFF2-40B4-BE49-F238E27FC236}">
                  <a16:creationId xmlns:a16="http://schemas.microsoft.com/office/drawing/2014/main" id="{00000000-0008-0000-0200-00002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cocineros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28575</xdr:rowOff>
        </xdr:from>
        <xdr:to>
          <xdr:col>8</xdr:col>
          <xdr:colOff>904875</xdr:colOff>
          <xdr:row>9</xdr:row>
          <xdr:rowOff>38100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dias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17</xdr:row>
          <xdr:rowOff>0</xdr:rowOff>
        </xdr:from>
        <xdr:to>
          <xdr:col>8</xdr:col>
          <xdr:colOff>914400</xdr:colOff>
          <xdr:row>20</xdr:row>
          <xdr:rowOff>28575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3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servicio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28575</xdr:rowOff>
        </xdr:from>
        <xdr:to>
          <xdr:col>10</xdr:col>
          <xdr:colOff>1019175</xdr:colOff>
          <xdr:row>9</xdr:row>
          <xdr:rowOff>38100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4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complementos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39</xdr:row>
          <xdr:rowOff>28575</xdr:rowOff>
        </xdr:from>
        <xdr:to>
          <xdr:col>10</xdr:col>
          <xdr:colOff>990600</xdr:colOff>
          <xdr:row>42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4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88</xdr:row>
          <xdr:rowOff>38100</xdr:rowOff>
        </xdr:from>
        <xdr:to>
          <xdr:col>10</xdr:col>
          <xdr:colOff>981075</xdr:colOff>
          <xdr:row>92</xdr:row>
          <xdr:rowOff>28575</xdr:rowOff>
        </xdr:to>
        <xdr:sp macro="" textlink="">
          <xdr:nvSpPr>
            <xdr:cNvPr id="108571" name="Button 27" hidden="1">
              <a:extLst>
                <a:ext uri="{63B3BB69-23CF-44E3-9099-C40C66FF867C}">
                  <a14:compatExt spid="_x0000_s108571"/>
                </a:ext>
                <a:ext uri="{FF2B5EF4-FFF2-40B4-BE49-F238E27FC236}">
                  <a16:creationId xmlns:a16="http://schemas.microsoft.com/office/drawing/2014/main" id="{00000000-0008-0000-0400-00001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Inversion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69</xdr:row>
          <xdr:rowOff>76200</xdr:rowOff>
        </xdr:from>
        <xdr:to>
          <xdr:col>10</xdr:col>
          <xdr:colOff>981075</xdr:colOff>
          <xdr:row>73</xdr:row>
          <xdr:rowOff>66675</xdr:rowOff>
        </xdr:to>
        <xdr:sp macro="" textlink="">
          <xdr:nvSpPr>
            <xdr:cNvPr id="108577" name="Button 33" hidden="1">
              <a:extLst>
                <a:ext uri="{63B3BB69-23CF-44E3-9099-C40C66FF867C}">
                  <a14:compatExt spid="_x0000_s108577"/>
                </a:ext>
                <a:ext uri="{FF2B5EF4-FFF2-40B4-BE49-F238E27FC236}">
                  <a16:creationId xmlns:a16="http://schemas.microsoft.com/office/drawing/2014/main" id="{00000000-0008-0000-0400-00002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Proyecto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106</xdr:row>
          <xdr:rowOff>28575</xdr:rowOff>
        </xdr:from>
        <xdr:to>
          <xdr:col>10</xdr:col>
          <xdr:colOff>981075</xdr:colOff>
          <xdr:row>110</xdr:row>
          <xdr:rowOff>28575</xdr:rowOff>
        </xdr:to>
        <xdr:sp macro="" textlink="">
          <xdr:nvSpPr>
            <xdr:cNvPr id="108579" name="Button 35" hidden="1">
              <a:extLst>
                <a:ext uri="{63B3BB69-23CF-44E3-9099-C40C66FF867C}">
                  <a14:compatExt spid="_x0000_s108579"/>
                </a:ext>
                <a:ext uri="{FF2B5EF4-FFF2-40B4-BE49-F238E27FC236}">
                  <a16:creationId xmlns:a16="http://schemas.microsoft.com/office/drawing/2014/main" id="{00000000-0008-0000-0400-00002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142875</xdr:rowOff>
    </xdr:from>
    <xdr:to>
      <xdr:col>0</xdr:col>
      <xdr:colOff>2017316</xdr:colOff>
      <xdr:row>3</xdr:row>
      <xdr:rowOff>606425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666875"/>
          <a:ext cx="1674416" cy="1292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 flipV="1">
          <a:off x="11987893" y="1632857"/>
          <a:ext cx="1772103" cy="9620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 flipH="1" flipV="1">
          <a:off x="8106229" y="0"/>
          <a:ext cx="1465035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28575</xdr:rowOff>
        </xdr:from>
        <xdr:to>
          <xdr:col>0</xdr:col>
          <xdr:colOff>1590675</xdr:colOff>
          <xdr:row>4</xdr:row>
          <xdr:rowOff>142875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9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DATOS GENERALES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.qg\OneDrive%20-%20IRCO\Documentos%20-%20Comun\00.%20COTIZACIONES%202023_2024\AAconsolidado2324.xlsm" TargetMode="External"/><Relationship Id="rId1" Type="http://schemas.openxmlformats.org/officeDocument/2006/relationships/externalLinkPath" Target="https://ircosl.sharepoint.com/sites/Comun/Documentos%20compartidos/00.%20COTIZACIONES%202023_2024/RENOVACIONES/Paula%20Garcia%20Fresquet/AAconsolidado23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olidado"/>
      <sheetName val="consolidadoBi"/>
      <sheetName val="consolidadoCOE"/>
      <sheetName val="Hoja4"/>
      <sheetName val="Hoja5"/>
      <sheetName val="Hoja2"/>
      <sheetName val="Hoja3"/>
      <sheetName val="DESGLOSE CONSELLERIA"/>
      <sheetName val="Hoja1"/>
      <sheetName val="Desglose_real"/>
      <sheetName val="Desglose_conselleria"/>
      <sheetName val="Datos"/>
      <sheetName val="Datos_monitores"/>
      <sheetName val="imprimir_masivo"/>
      <sheetName val="listadoExportar"/>
      <sheetName val="datos_powerBi"/>
      <sheetName val="comparativ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8278-0AFA-4347-B7DE-9CD04BE38EE8}">
  <sheetPr codeName="Hoja23"/>
  <dimension ref="B4:R89"/>
  <sheetViews>
    <sheetView topLeftCell="A57" workbookViewId="0">
      <selection activeCell="C101" sqref="C101"/>
    </sheetView>
  </sheetViews>
  <sheetFormatPr baseColWidth="10" defaultColWidth="11.42578125" defaultRowHeight="12.75" x14ac:dyDescent="0.2"/>
  <cols>
    <col min="13" max="13" width="43.5703125" customWidth="1"/>
    <col min="14" max="14" width="19.42578125" style="100" customWidth="1"/>
    <col min="15" max="15" width="15.42578125" style="100" customWidth="1"/>
    <col min="16" max="16" width="14.42578125" style="100" customWidth="1"/>
    <col min="17" max="17" width="16.42578125" style="100" customWidth="1"/>
  </cols>
  <sheetData>
    <row r="4" spans="2:10" x14ac:dyDescent="0.2">
      <c r="B4" s="264">
        <v>45202</v>
      </c>
    </row>
    <row r="5" spans="2:10" x14ac:dyDescent="0.2">
      <c r="C5" s="1" t="s">
        <v>0</v>
      </c>
    </row>
    <row r="6" spans="2:10" x14ac:dyDescent="0.2">
      <c r="D6" s="1" t="s">
        <v>1</v>
      </c>
    </row>
    <row r="7" spans="2:10" x14ac:dyDescent="0.2">
      <c r="D7" s="1" t="s">
        <v>2</v>
      </c>
    </row>
    <row r="8" spans="2:10" x14ac:dyDescent="0.2">
      <c r="D8" s="1" t="s">
        <v>3</v>
      </c>
    </row>
    <row r="9" spans="2:10" x14ac:dyDescent="0.2">
      <c r="D9" s="1" t="s">
        <v>4</v>
      </c>
    </row>
    <row r="10" spans="2:10" x14ac:dyDescent="0.2">
      <c r="D10" s="1" t="s">
        <v>5</v>
      </c>
    </row>
    <row r="11" spans="2:10" x14ac:dyDescent="0.2">
      <c r="D11" s="1" t="s">
        <v>6</v>
      </c>
    </row>
    <row r="12" spans="2:10" x14ac:dyDescent="0.2">
      <c r="D12" s="1" t="s">
        <v>7</v>
      </c>
    </row>
    <row r="13" spans="2:10" x14ac:dyDescent="0.2">
      <c r="D13" s="1"/>
    </row>
    <row r="15" spans="2:10" x14ac:dyDescent="0.2">
      <c r="C15" s="1" t="s">
        <v>8</v>
      </c>
    </row>
    <row r="16" spans="2:10" x14ac:dyDescent="0.2">
      <c r="D16" s="1" t="s">
        <v>9</v>
      </c>
      <c r="J16" s="1" t="s">
        <v>10</v>
      </c>
    </row>
    <row r="17" spans="3:18" x14ac:dyDescent="0.2">
      <c r="D17" s="1" t="s">
        <v>11</v>
      </c>
    </row>
    <row r="18" spans="3:18" x14ac:dyDescent="0.2">
      <c r="D18" s="1" t="s">
        <v>12</v>
      </c>
    </row>
    <row r="22" spans="3:18" x14ac:dyDescent="0.2">
      <c r="C22" s="1" t="s">
        <v>13</v>
      </c>
    </row>
    <row r="23" spans="3:18" x14ac:dyDescent="0.2">
      <c r="D23" s="287" t="s">
        <v>14</v>
      </c>
    </row>
    <row r="24" spans="3:18" x14ac:dyDescent="0.2">
      <c r="D24" s="1" t="s">
        <v>15</v>
      </c>
    </row>
    <row r="25" spans="3:18" x14ac:dyDescent="0.2">
      <c r="D25" s="1" t="s">
        <v>16</v>
      </c>
    </row>
    <row r="26" spans="3:18" x14ac:dyDescent="0.2">
      <c r="D26" s="1" t="s">
        <v>17</v>
      </c>
    </row>
    <row r="27" spans="3:18" x14ac:dyDescent="0.2">
      <c r="D27" s="287" t="s">
        <v>18</v>
      </c>
    </row>
    <row r="28" spans="3:18" x14ac:dyDescent="0.2">
      <c r="D28" s="287" t="s">
        <v>19</v>
      </c>
    </row>
    <row r="29" spans="3:18" x14ac:dyDescent="0.2">
      <c r="D29" s="287" t="s">
        <v>20</v>
      </c>
    </row>
    <row r="30" spans="3:18" x14ac:dyDescent="0.2">
      <c r="D30" s="287" t="s">
        <v>21</v>
      </c>
    </row>
    <row r="31" spans="3:18" x14ac:dyDescent="0.2">
      <c r="D31" s="1" t="s">
        <v>22</v>
      </c>
    </row>
    <row r="32" spans="3:18" x14ac:dyDescent="0.2">
      <c r="M32" s="457" t="s">
        <v>23</v>
      </c>
      <c r="N32" s="458" t="s">
        <v>24</v>
      </c>
      <c r="O32" s="458" t="s">
        <v>25</v>
      </c>
      <c r="P32" s="458" t="s">
        <v>26</v>
      </c>
      <c r="Q32" s="458" t="s">
        <v>27</v>
      </c>
      <c r="R32" s="458" t="s">
        <v>28</v>
      </c>
    </row>
    <row r="34" spans="2:18" x14ac:dyDescent="0.2">
      <c r="M34" t="s">
        <v>29</v>
      </c>
      <c r="O34" s="100">
        <v>-30374</v>
      </c>
      <c r="P34" s="100">
        <v>2400630</v>
      </c>
      <c r="Q34" s="456">
        <f>+O34/P34</f>
        <v>-1.2652512048920492E-2</v>
      </c>
      <c r="R34" s="462">
        <v>45292</v>
      </c>
    </row>
    <row r="35" spans="2:18" x14ac:dyDescent="0.2">
      <c r="B35" s="264">
        <v>45205</v>
      </c>
      <c r="M35" s="1"/>
      <c r="N35" s="460"/>
      <c r="Q35" s="456"/>
      <c r="R35" s="462">
        <v>45292</v>
      </c>
    </row>
    <row r="36" spans="2:18" x14ac:dyDescent="0.2">
      <c r="C36" s="1" t="s">
        <v>0</v>
      </c>
      <c r="M36" s="69" t="s">
        <v>30</v>
      </c>
      <c r="N36" s="460" t="s">
        <v>31</v>
      </c>
      <c r="O36" s="459">
        <v>-15603.970000000001</v>
      </c>
      <c r="P36" s="100">
        <v>814174</v>
      </c>
      <c r="Q36" s="456">
        <f>+O36/P36</f>
        <v>-1.9165399533760598E-2</v>
      </c>
      <c r="R36" s="462">
        <v>45292</v>
      </c>
    </row>
    <row r="37" spans="2:18" x14ac:dyDescent="0.2">
      <c r="C37" s="1"/>
      <c r="D37" s="1" t="s">
        <v>32</v>
      </c>
      <c r="M37" s="69" t="s">
        <v>33</v>
      </c>
      <c r="N37" s="460" t="s">
        <v>31</v>
      </c>
      <c r="O37" s="459">
        <v>-28458.6</v>
      </c>
      <c r="P37" s="100">
        <v>814174</v>
      </c>
      <c r="Q37" s="456">
        <f t="shared" ref="Q37:Q49" si="0">+O37/P37</f>
        <v>-3.495395333184307E-2</v>
      </c>
      <c r="R37" s="462">
        <v>45292</v>
      </c>
    </row>
    <row r="38" spans="2:18" x14ac:dyDescent="0.2">
      <c r="D38" s="1" t="s">
        <v>34</v>
      </c>
      <c r="M38" s="69" t="s">
        <v>35</v>
      </c>
      <c r="N38" s="460" t="s">
        <v>31</v>
      </c>
      <c r="O38" s="459">
        <v>-2399.25</v>
      </c>
      <c r="P38" s="100">
        <v>814174</v>
      </c>
      <c r="Q38" s="456">
        <f t="shared" si="0"/>
        <v>-2.9468516557885661E-3</v>
      </c>
      <c r="R38" s="462">
        <v>45292</v>
      </c>
    </row>
    <row r="39" spans="2:18" x14ac:dyDescent="0.2">
      <c r="D39" s="1" t="s">
        <v>36</v>
      </c>
      <c r="M39" s="69" t="s">
        <v>37</v>
      </c>
      <c r="N39" s="460" t="s">
        <v>31</v>
      </c>
      <c r="O39" s="459">
        <v>-64</v>
      </c>
      <c r="P39" s="100">
        <v>814174</v>
      </c>
      <c r="Q39" s="456">
        <f t="shared" si="0"/>
        <v>-7.8607275594651756E-5</v>
      </c>
      <c r="R39" s="462">
        <v>45292</v>
      </c>
    </row>
    <row r="40" spans="2:18" x14ac:dyDescent="0.2">
      <c r="D40" s="1" t="s">
        <v>38</v>
      </c>
      <c r="M40" s="69" t="s">
        <v>39</v>
      </c>
      <c r="N40" s="460" t="s">
        <v>31</v>
      </c>
      <c r="O40" s="459">
        <v>-49.24</v>
      </c>
      <c r="P40" s="100">
        <v>814174</v>
      </c>
      <c r="Q40" s="456">
        <f t="shared" si="0"/>
        <v>-6.0478472660635199E-5</v>
      </c>
      <c r="R40" s="462">
        <v>45292</v>
      </c>
    </row>
    <row r="41" spans="2:18" x14ac:dyDescent="0.2">
      <c r="D41" s="1" t="s">
        <v>40</v>
      </c>
      <c r="M41" s="69" t="s">
        <v>41</v>
      </c>
      <c r="N41" s="460" t="s">
        <v>31</v>
      </c>
      <c r="O41" s="459">
        <v>-383.1</v>
      </c>
      <c r="P41" s="100">
        <v>814174</v>
      </c>
      <c r="Q41" s="456">
        <f t="shared" si="0"/>
        <v>-4.7053823875486077E-4</v>
      </c>
      <c r="R41" s="462">
        <v>45292</v>
      </c>
    </row>
    <row r="42" spans="2:18" x14ac:dyDescent="0.2">
      <c r="M42" s="69" t="s">
        <v>42</v>
      </c>
      <c r="N42" s="460" t="s">
        <v>31</v>
      </c>
      <c r="O42" s="459">
        <v>-10431.400000000001</v>
      </c>
      <c r="P42" s="100">
        <v>814174</v>
      </c>
      <c r="Q42" s="456">
        <f t="shared" si="0"/>
        <v>-1.2812248978719538E-2</v>
      </c>
      <c r="R42" s="462">
        <v>45292</v>
      </c>
    </row>
    <row r="43" spans="2:18" x14ac:dyDescent="0.2">
      <c r="M43" s="69" t="s">
        <v>43</v>
      </c>
      <c r="N43" s="460" t="s">
        <v>31</v>
      </c>
      <c r="O43" s="459">
        <v>-618.53</v>
      </c>
      <c r="P43" s="100">
        <v>814174</v>
      </c>
      <c r="Q43" s="456">
        <f t="shared" si="0"/>
        <v>-7.5970247146187422E-4</v>
      </c>
      <c r="R43" s="462">
        <v>45292</v>
      </c>
    </row>
    <row r="44" spans="2:18" x14ac:dyDescent="0.2">
      <c r="B44" s="264">
        <v>45239</v>
      </c>
      <c r="M44" s="69" t="s">
        <v>44</v>
      </c>
      <c r="N44" s="460" t="s">
        <v>31</v>
      </c>
      <c r="O44" s="459">
        <v>1498.42</v>
      </c>
      <c r="P44" s="100">
        <v>814174</v>
      </c>
      <c r="Q44" s="456">
        <f t="shared" si="0"/>
        <v>1.8404174046334077E-3</v>
      </c>
      <c r="R44" s="462">
        <v>45292</v>
      </c>
    </row>
    <row r="45" spans="2:18" x14ac:dyDescent="0.2">
      <c r="M45" s="69" t="s">
        <v>45</v>
      </c>
      <c r="N45" s="460" t="s">
        <v>31</v>
      </c>
      <c r="O45" s="459">
        <v>-41718.950000000004</v>
      </c>
      <c r="P45" s="100">
        <v>814174</v>
      </c>
      <c r="Q45" s="456">
        <f t="shared" si="0"/>
        <v>-5.1240828127648394E-2</v>
      </c>
      <c r="R45" s="462">
        <v>45292</v>
      </c>
    </row>
    <row r="46" spans="2:18" x14ac:dyDescent="0.2">
      <c r="C46" s="1" t="s">
        <v>0</v>
      </c>
      <c r="M46" s="69" t="s">
        <v>46</v>
      </c>
      <c r="N46" s="460" t="s">
        <v>31</v>
      </c>
      <c r="O46" s="459">
        <v>-661.73</v>
      </c>
      <c r="P46" s="100">
        <v>814174</v>
      </c>
      <c r="Q46" s="456">
        <f t="shared" si="0"/>
        <v>-8.1276238248826423E-4</v>
      </c>
      <c r="R46" s="462">
        <v>45292</v>
      </c>
    </row>
    <row r="47" spans="2:18" x14ac:dyDescent="0.2">
      <c r="D47" s="1" t="s">
        <v>47</v>
      </c>
      <c r="M47" s="69" t="s">
        <v>48</v>
      </c>
      <c r="N47" s="460" t="s">
        <v>31</v>
      </c>
      <c r="O47" s="459">
        <v>-56519.989999999991</v>
      </c>
      <c r="P47" s="100">
        <v>814174</v>
      </c>
      <c r="Q47" s="456">
        <f t="shared" si="0"/>
        <v>-6.9420037977140012E-2</v>
      </c>
      <c r="R47" s="462">
        <v>45292</v>
      </c>
    </row>
    <row r="48" spans="2:18" x14ac:dyDescent="0.2">
      <c r="D48" s="1" t="s">
        <v>49</v>
      </c>
      <c r="M48" s="69" t="s">
        <v>50</v>
      </c>
      <c r="N48" s="460" t="s">
        <v>31</v>
      </c>
      <c r="O48" s="459">
        <v>-4862.1499999999996</v>
      </c>
      <c r="P48" s="100">
        <v>814174</v>
      </c>
      <c r="Q48" s="456">
        <f t="shared" si="0"/>
        <v>-5.9718807036333752E-3</v>
      </c>
      <c r="R48" s="462">
        <v>45292</v>
      </c>
    </row>
    <row r="49" spans="2:18" x14ac:dyDescent="0.2">
      <c r="D49" s="1" t="s">
        <v>51</v>
      </c>
      <c r="M49" s="69" t="s">
        <v>52</v>
      </c>
      <c r="N49" s="460" t="s">
        <v>31</v>
      </c>
      <c r="O49" s="459">
        <v>-578.5100000000001</v>
      </c>
      <c r="P49" s="100">
        <v>814174</v>
      </c>
      <c r="Q49" s="456">
        <f t="shared" si="0"/>
        <v>-7.1054835944159365E-4</v>
      </c>
      <c r="R49" s="462">
        <v>45292</v>
      </c>
    </row>
    <row r="50" spans="2:18" ht="15" x14ac:dyDescent="0.25">
      <c r="M50" s="461" t="s">
        <v>53</v>
      </c>
      <c r="N50" s="461"/>
      <c r="O50" s="461">
        <f>SUM(O36:O49)</f>
        <v>-160850.99999999997</v>
      </c>
      <c r="P50" s="461"/>
      <c r="Q50" s="461">
        <f>SUM(Q36:Q49)+Q34</f>
        <v>-0.21021593215322251</v>
      </c>
      <c r="R50" s="462">
        <v>45292</v>
      </c>
    </row>
    <row r="51" spans="2:18" x14ac:dyDescent="0.2">
      <c r="M51" s="69" t="s">
        <v>54</v>
      </c>
      <c r="N51" s="460" t="s">
        <v>55</v>
      </c>
      <c r="O51" s="459">
        <v>-4409.4799999999996</v>
      </c>
      <c r="P51" s="100">
        <v>1586456</v>
      </c>
      <c r="Q51" s="456">
        <f>+O51/P51</f>
        <v>-2.7794530702395779E-3</v>
      </c>
      <c r="R51" s="462">
        <v>45292</v>
      </c>
    </row>
    <row r="52" spans="2:18" x14ac:dyDescent="0.2">
      <c r="B52" s="264">
        <v>45265</v>
      </c>
      <c r="C52" s="1" t="s">
        <v>0</v>
      </c>
      <c r="D52" s="1" t="s">
        <v>56</v>
      </c>
      <c r="M52" s="69" t="s">
        <v>57</v>
      </c>
      <c r="N52" s="460" t="s">
        <v>55</v>
      </c>
      <c r="O52" s="459">
        <v>-10094.25</v>
      </c>
      <c r="P52" s="100">
        <v>1586456</v>
      </c>
      <c r="Q52" s="456">
        <f t="shared" ref="Q52:Q61" si="1">+O52/P52</f>
        <v>-6.3627670732752748E-3</v>
      </c>
      <c r="R52" s="462">
        <v>45292</v>
      </c>
    </row>
    <row r="53" spans="2:18" x14ac:dyDescent="0.2">
      <c r="M53" s="69" t="s">
        <v>58</v>
      </c>
      <c r="N53" s="460" t="s">
        <v>55</v>
      </c>
      <c r="O53" s="459">
        <v>-2658.36</v>
      </c>
      <c r="P53" s="100">
        <v>1586456</v>
      </c>
      <c r="Q53" s="456">
        <f t="shared" si="1"/>
        <v>-1.6756594573060961E-3</v>
      </c>
      <c r="R53" s="462">
        <v>45292</v>
      </c>
    </row>
    <row r="54" spans="2:18" x14ac:dyDescent="0.2">
      <c r="B54" s="264">
        <v>45306</v>
      </c>
      <c r="M54" s="69" t="s">
        <v>59</v>
      </c>
      <c r="N54" s="460" t="s">
        <v>55</v>
      </c>
      <c r="O54" s="459">
        <v>-114.02000000000001</v>
      </c>
      <c r="P54" s="100">
        <v>1586456</v>
      </c>
      <c r="Q54" s="456">
        <f t="shared" si="1"/>
        <v>-7.1870887058954057E-5</v>
      </c>
      <c r="R54" s="462">
        <v>45292</v>
      </c>
    </row>
    <row r="55" spans="2:18" x14ac:dyDescent="0.2">
      <c r="C55" s="1" t="s">
        <v>0</v>
      </c>
      <c r="M55" s="69" t="s">
        <v>60</v>
      </c>
      <c r="N55" s="460" t="s">
        <v>55</v>
      </c>
      <c r="O55" s="459">
        <v>-13.14</v>
      </c>
      <c r="P55" s="100">
        <v>1586456</v>
      </c>
      <c r="Q55" s="456">
        <f t="shared" si="1"/>
        <v>-8.2826123132315053E-6</v>
      </c>
      <c r="R55" s="462">
        <v>45292</v>
      </c>
    </row>
    <row r="56" spans="2:18" x14ac:dyDescent="0.2">
      <c r="D56" s="1" t="s">
        <v>61</v>
      </c>
      <c r="M56" s="69" t="s">
        <v>62</v>
      </c>
      <c r="N56" s="460" t="s">
        <v>55</v>
      </c>
      <c r="O56" s="459">
        <v>-305.58999999999997</v>
      </c>
      <c r="P56" s="100">
        <v>1586456</v>
      </c>
      <c r="Q56" s="456">
        <f t="shared" si="1"/>
        <v>-1.9262431482499357E-4</v>
      </c>
      <c r="R56" s="462">
        <v>45292</v>
      </c>
    </row>
    <row r="57" spans="2:18" x14ac:dyDescent="0.2">
      <c r="D57" s="1" t="s">
        <v>63</v>
      </c>
      <c r="M57" s="69" t="s">
        <v>64</v>
      </c>
      <c r="N57" s="460" t="s">
        <v>55</v>
      </c>
      <c r="O57" s="459">
        <v>-180</v>
      </c>
      <c r="P57" s="100">
        <v>1586456</v>
      </c>
      <c r="Q57" s="456">
        <f t="shared" si="1"/>
        <v>-1.1346044264700691E-4</v>
      </c>
      <c r="R57" s="462">
        <v>45292</v>
      </c>
    </row>
    <row r="58" spans="2:18" x14ac:dyDescent="0.2">
      <c r="M58" s="69" t="s">
        <v>65</v>
      </c>
      <c r="N58" s="460" t="s">
        <v>55</v>
      </c>
      <c r="O58" s="459">
        <v>-168.3</v>
      </c>
      <c r="P58" s="100">
        <v>1586456</v>
      </c>
      <c r="Q58" s="456">
        <f t="shared" si="1"/>
        <v>-1.0608551387495147E-4</v>
      </c>
      <c r="R58" s="462">
        <v>45292</v>
      </c>
    </row>
    <row r="59" spans="2:18" x14ac:dyDescent="0.2">
      <c r="M59" s="69" t="s">
        <v>66</v>
      </c>
      <c r="N59" s="460" t="s">
        <v>55</v>
      </c>
      <c r="O59" s="459">
        <v>-13898.029999999995</v>
      </c>
      <c r="P59" s="100">
        <v>1586456</v>
      </c>
      <c r="Q59" s="456">
        <f t="shared" si="1"/>
        <v>-8.7604257540076728E-3</v>
      </c>
      <c r="R59" s="462">
        <v>45292</v>
      </c>
    </row>
    <row r="60" spans="2:18" x14ac:dyDescent="0.2">
      <c r="M60" s="69" t="s">
        <v>67</v>
      </c>
      <c r="N60" s="460" t="s">
        <v>55</v>
      </c>
      <c r="O60" s="459">
        <v>-18615.869999999995</v>
      </c>
      <c r="P60" s="100">
        <v>1586456</v>
      </c>
      <c r="Q60" s="456">
        <f t="shared" si="1"/>
        <v>-1.1734249169217422E-2</v>
      </c>
      <c r="R60" s="462">
        <v>45292</v>
      </c>
    </row>
    <row r="61" spans="2:18" x14ac:dyDescent="0.2">
      <c r="B61" s="264">
        <v>45330</v>
      </c>
      <c r="M61" s="69" t="s">
        <v>68</v>
      </c>
      <c r="N61" s="460" t="s">
        <v>55</v>
      </c>
      <c r="O61" s="459">
        <v>-509.9</v>
      </c>
      <c r="P61" s="100">
        <v>1586456</v>
      </c>
      <c r="Q61" s="456">
        <f t="shared" si="1"/>
        <v>-3.2140822058727124E-4</v>
      </c>
      <c r="R61" s="462">
        <v>45292</v>
      </c>
    </row>
    <row r="62" spans="2:18" ht="15" x14ac:dyDescent="0.25">
      <c r="C62" t="s">
        <v>0</v>
      </c>
      <c r="M62" s="461" t="s">
        <v>53</v>
      </c>
      <c r="N62" s="461"/>
      <c r="O62" s="461">
        <f>SUM(O51:O61)</f>
        <v>-50966.939999999995</v>
      </c>
      <c r="P62" s="461"/>
      <c r="Q62" s="461">
        <f>SUM(Q51:Q61)+Q34</f>
        <v>-4.4778798564272942E-2</v>
      </c>
      <c r="R62" s="462">
        <v>45292</v>
      </c>
    </row>
    <row r="63" spans="2:18" x14ac:dyDescent="0.2">
      <c r="D63" t="s">
        <v>69</v>
      </c>
    </row>
    <row r="64" spans="2:18" x14ac:dyDescent="0.2">
      <c r="D64" t="s">
        <v>70</v>
      </c>
    </row>
    <row r="65" spans="2:4" x14ac:dyDescent="0.2">
      <c r="D65" s="1" t="s">
        <v>71</v>
      </c>
    </row>
    <row r="66" spans="2:4" x14ac:dyDescent="0.2">
      <c r="D66" s="1" t="s">
        <v>72</v>
      </c>
    </row>
    <row r="69" spans="2:4" x14ac:dyDescent="0.2">
      <c r="B69" s="510">
        <v>45331</v>
      </c>
    </row>
    <row r="70" spans="2:4" x14ac:dyDescent="0.2">
      <c r="C70" s="1" t="s">
        <v>0</v>
      </c>
    </row>
    <row r="71" spans="2:4" x14ac:dyDescent="0.2">
      <c r="D71" s="1" t="s">
        <v>73</v>
      </c>
    </row>
    <row r="74" spans="2:4" x14ac:dyDescent="0.2">
      <c r="B74" s="1" t="s">
        <v>74</v>
      </c>
    </row>
    <row r="75" spans="2:4" x14ac:dyDescent="0.2">
      <c r="C75" s="1" t="s">
        <v>0</v>
      </c>
    </row>
    <row r="76" spans="2:4" x14ac:dyDescent="0.2">
      <c r="D76" s="1" t="s">
        <v>75</v>
      </c>
    </row>
    <row r="78" spans="2:4" x14ac:dyDescent="0.2">
      <c r="B78" s="264">
        <v>45366</v>
      </c>
    </row>
    <row r="79" spans="2:4" x14ac:dyDescent="0.2">
      <c r="C79" s="1" t="s">
        <v>0</v>
      </c>
    </row>
    <row r="80" spans="2:4" x14ac:dyDescent="0.2">
      <c r="D80" s="1" t="s">
        <v>76</v>
      </c>
    </row>
    <row r="82" spans="2:4" x14ac:dyDescent="0.2">
      <c r="B82" s="264">
        <v>45383</v>
      </c>
    </row>
    <row r="83" spans="2:4" x14ac:dyDescent="0.2">
      <c r="C83" s="1" t="s">
        <v>77</v>
      </c>
    </row>
    <row r="84" spans="2:4" x14ac:dyDescent="0.2">
      <c r="D84" s="1" t="s">
        <v>78</v>
      </c>
    </row>
    <row r="85" spans="2:4" x14ac:dyDescent="0.2">
      <c r="D85" s="1" t="s">
        <v>79</v>
      </c>
    </row>
    <row r="87" spans="2:4" x14ac:dyDescent="0.2">
      <c r="B87" s="264">
        <v>45385</v>
      </c>
    </row>
    <row r="88" spans="2:4" x14ac:dyDescent="0.2">
      <c r="C88" s="1" t="s">
        <v>77</v>
      </c>
    </row>
    <row r="89" spans="2:4" x14ac:dyDescent="0.2">
      <c r="D89" s="1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4CDD-D026-48A5-A984-F6E632442426}">
  <sheetPr codeName="Hoja20">
    <tabColor theme="3" tint="0.39997558519241921"/>
  </sheetPr>
  <dimension ref="A1:Z58"/>
  <sheetViews>
    <sheetView showGridLines="0" tabSelected="1" zoomScale="70" zoomScaleNormal="70" workbookViewId="0">
      <selection activeCell="R10" sqref="R10"/>
    </sheetView>
  </sheetViews>
  <sheetFormatPr baseColWidth="10" defaultColWidth="11.5703125" defaultRowHeight="15" x14ac:dyDescent="0.25"/>
  <cols>
    <col min="1" max="1" width="12.42578125" style="15" customWidth="1"/>
    <col min="2" max="2" width="10.5703125" style="15" customWidth="1"/>
    <col min="3" max="3" width="1.42578125" style="15" customWidth="1"/>
    <col min="4" max="4" width="26.42578125" style="15" customWidth="1"/>
    <col min="5" max="9" width="11" style="15" customWidth="1"/>
    <col min="10" max="10" width="12.42578125" style="15" customWidth="1"/>
    <col min="11" max="13" width="11" style="15" customWidth="1"/>
    <col min="14" max="14" width="16.42578125" style="15" customWidth="1"/>
    <col min="15" max="15" width="13.5703125" style="15" customWidth="1"/>
    <col min="16" max="16" width="11" style="15" customWidth="1"/>
    <col min="17" max="17" width="11.5703125" style="15"/>
    <col min="18" max="18" width="12.5703125" style="15" customWidth="1"/>
    <col min="19" max="19" width="11.5703125" style="15"/>
    <col min="20" max="20" width="16" style="15" customWidth="1"/>
    <col min="21" max="16384" width="11.5703125" style="15"/>
  </cols>
  <sheetData>
    <row r="1" spans="1:22" ht="57" customHeight="1" x14ac:dyDescent="0.25">
      <c r="A1" s="115" t="s">
        <v>2340</v>
      </c>
    </row>
    <row r="2" spans="1:22" ht="12.75" customHeight="1" thickBot="1" x14ac:dyDescent="0.3">
      <c r="D2" s="901" t="s">
        <v>81</v>
      </c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</row>
    <row r="3" spans="1:22" ht="12.75" customHeight="1" thickBot="1" x14ac:dyDescent="0.3">
      <c r="D3" s="901"/>
      <c r="E3" s="902"/>
      <c r="F3" s="902"/>
      <c r="G3" s="902"/>
      <c r="H3" s="902"/>
      <c r="I3" s="902"/>
      <c r="J3" s="902"/>
      <c r="K3" s="902"/>
      <c r="L3" s="902"/>
      <c r="M3" s="902"/>
      <c r="N3" s="902"/>
      <c r="O3" s="902"/>
      <c r="P3" s="902"/>
      <c r="Q3" s="902"/>
      <c r="R3" s="902"/>
      <c r="S3" s="902"/>
      <c r="U3" s="387"/>
    </row>
    <row r="4" spans="1:22" ht="12.75" customHeight="1" x14ac:dyDescent="0.25">
      <c r="D4" s="901"/>
      <c r="E4" s="902"/>
      <c r="F4" s="902"/>
      <c r="G4" s="902"/>
      <c r="H4" s="902"/>
      <c r="I4" s="902"/>
      <c r="J4" s="902"/>
      <c r="K4" s="902"/>
      <c r="L4" s="902"/>
      <c r="M4" s="902"/>
      <c r="N4" s="902"/>
      <c r="O4" s="902"/>
      <c r="P4" s="902"/>
      <c r="Q4" s="902"/>
      <c r="R4" s="902"/>
      <c r="S4" s="902"/>
    </row>
    <row r="5" spans="1:22" ht="6.75" customHeight="1" x14ac:dyDescent="0.25"/>
    <row r="6" spans="1:22" ht="52.35" customHeight="1" x14ac:dyDescent="0.25">
      <c r="D6" s="900" t="str">
        <f>IFERROR(IF(VLOOKUP(E16,controller,17,FALSE)&gt;0.19,"CLIENTE FAVORABLE",IF(VLOOKUP(E16,controller,17,FALSE)&gt;0.14,"CLIENTE COMPROMETIDO","CLIENTE CRITICO")),"")</f>
        <v/>
      </c>
      <c r="E6" s="900"/>
      <c r="F6" s="900"/>
      <c r="G6" s="900"/>
      <c r="H6" s="900"/>
      <c r="I6" s="900"/>
      <c r="J6" s="900"/>
      <c r="K6" s="900"/>
      <c r="L6" s="900"/>
      <c r="M6" s="900"/>
      <c r="N6" s="900"/>
      <c r="O6" s="900"/>
      <c r="P6" s="900"/>
      <c r="Q6" s="900"/>
      <c r="R6" s="900"/>
      <c r="S6" s="900"/>
    </row>
    <row r="7" spans="1:22" ht="23.1" customHeight="1" x14ac:dyDescent="0.25">
      <c r="D7" s="388" t="s">
        <v>82</v>
      </c>
      <c r="E7" s="906"/>
      <c r="F7" s="906"/>
      <c r="G7" s="906"/>
      <c r="H7" s="16"/>
      <c r="I7" s="388" t="s">
        <v>83</v>
      </c>
      <c r="J7" s="389"/>
      <c r="K7" s="907"/>
      <c r="L7" s="907"/>
      <c r="M7" s="16"/>
      <c r="N7" s="903" t="s">
        <v>84</v>
      </c>
      <c r="O7" s="904"/>
      <c r="P7" s="904" t="s">
        <v>85</v>
      </c>
      <c r="Q7" s="904"/>
      <c r="R7" s="390" t="s">
        <v>86</v>
      </c>
      <c r="S7" s="391" t="s">
        <v>87</v>
      </c>
    </row>
    <row r="8" spans="1:22" ht="24" customHeight="1" x14ac:dyDescent="0.25">
      <c r="D8" s="388" t="s">
        <v>88</v>
      </c>
      <c r="E8" s="906"/>
      <c r="F8" s="906"/>
      <c r="G8" s="906"/>
      <c r="H8" s="16"/>
      <c r="I8" s="388" t="s">
        <v>89</v>
      </c>
      <c r="J8" s="389"/>
      <c r="K8" s="907"/>
      <c r="L8" s="907"/>
      <c r="M8" s="16"/>
      <c r="N8" s="912"/>
      <c r="O8" s="912"/>
      <c r="P8" s="911"/>
      <c r="Q8" s="911"/>
      <c r="R8" s="402"/>
      <c r="S8" s="738">
        <f>IFERROR(R8*$K$13,"")</f>
        <v>0</v>
      </c>
    </row>
    <row r="9" spans="1:22" ht="24" customHeight="1" x14ac:dyDescent="0.25">
      <c r="D9" s="388" t="s">
        <v>90</v>
      </c>
      <c r="E9" s="908" t="str">
        <f>IFERROR(VLOOKUP(E8,Codigos_Centros,2,FALSE),"No encontrado")</f>
        <v>No encontrado</v>
      </c>
      <c r="F9" s="908"/>
      <c r="G9" s="908"/>
      <c r="H9" s="16"/>
      <c r="I9" s="388" t="s">
        <v>91</v>
      </c>
      <c r="J9" s="389"/>
      <c r="K9" s="917">
        <f>+P33</f>
        <v>3.6999999999999998E-2</v>
      </c>
      <c r="L9" s="917"/>
      <c r="M9" s="16"/>
      <c r="N9" s="898"/>
      <c r="O9" s="898"/>
      <c r="P9" s="899"/>
      <c r="Q9" s="899"/>
      <c r="R9" s="739"/>
      <c r="S9" s="738">
        <f t="shared" ref="S9:S19" si="0">IFERROR(R9*$K$13,"")</f>
        <v>0</v>
      </c>
    </row>
    <row r="10" spans="1:22" ht="24" customHeight="1" x14ac:dyDescent="0.25">
      <c r="D10" s="388" t="s">
        <v>92</v>
      </c>
      <c r="E10" s="906"/>
      <c r="F10" s="906"/>
      <c r="G10" s="906"/>
      <c r="H10" s="16"/>
      <c r="I10" s="909" t="s">
        <v>93</v>
      </c>
      <c r="J10" s="910"/>
      <c r="K10" s="917">
        <v>0</v>
      </c>
      <c r="L10" s="917"/>
      <c r="M10" s="87"/>
      <c r="N10" s="898"/>
      <c r="O10" s="898"/>
      <c r="P10" s="899"/>
      <c r="Q10" s="899"/>
      <c r="R10" s="739"/>
      <c r="S10" s="738">
        <f t="shared" si="0"/>
        <v>0</v>
      </c>
    </row>
    <row r="11" spans="1:22" ht="24" customHeight="1" x14ac:dyDescent="0.25">
      <c r="D11" s="388" t="s">
        <v>94</v>
      </c>
      <c r="E11" s="906"/>
      <c r="F11" s="906"/>
      <c r="G11" s="906"/>
      <c r="H11" s="16"/>
      <c r="I11" s="909" t="s">
        <v>95</v>
      </c>
      <c r="J11" s="910"/>
      <c r="K11" s="905"/>
      <c r="L11" s="905"/>
      <c r="M11" s="16"/>
      <c r="N11" s="898"/>
      <c r="O11" s="898"/>
      <c r="P11" s="899"/>
      <c r="Q11" s="899"/>
      <c r="R11" s="739"/>
      <c r="S11" s="738">
        <f t="shared" si="0"/>
        <v>0</v>
      </c>
    </row>
    <row r="12" spans="1:22" ht="24" customHeight="1" x14ac:dyDescent="0.25">
      <c r="D12" s="388" t="s">
        <v>96</v>
      </c>
      <c r="E12" s="906"/>
      <c r="F12" s="906"/>
      <c r="G12" s="906"/>
      <c r="H12" s="16"/>
      <c r="I12" s="388" t="s">
        <v>97</v>
      </c>
      <c r="J12" s="389"/>
      <c r="K12" s="907" t="s">
        <v>98</v>
      </c>
      <c r="L12" s="907"/>
      <c r="N12" s="898"/>
      <c r="O12" s="898"/>
      <c r="P12" s="899"/>
      <c r="Q12" s="899"/>
      <c r="R12" s="740"/>
      <c r="S12" s="738">
        <f t="shared" si="0"/>
        <v>0</v>
      </c>
    </row>
    <row r="13" spans="1:22" ht="24" customHeight="1" x14ac:dyDescent="0.25">
      <c r="D13" s="388" t="s">
        <v>99</v>
      </c>
      <c r="E13" s="906"/>
      <c r="F13" s="906"/>
      <c r="G13" s="906"/>
      <c r="H13" s="16"/>
      <c r="I13" s="388" t="s">
        <v>100</v>
      </c>
      <c r="J13" s="389"/>
      <c r="K13" s="919">
        <f>SUM(E40:P40)</f>
        <v>0</v>
      </c>
      <c r="L13" s="908"/>
      <c r="M13" s="16"/>
      <c r="N13" s="898"/>
      <c r="O13" s="898"/>
      <c r="P13" s="899"/>
      <c r="Q13" s="899"/>
      <c r="R13" s="740"/>
      <c r="S13" s="738">
        <f t="shared" si="0"/>
        <v>0</v>
      </c>
    </row>
    <row r="14" spans="1:22" ht="24" customHeight="1" x14ac:dyDescent="0.25">
      <c r="D14" s="388" t="s">
        <v>101</v>
      </c>
      <c r="E14" s="906"/>
      <c r="F14" s="906"/>
      <c r="G14" s="906"/>
      <c r="H14" s="16"/>
      <c r="I14" s="388" t="s">
        <v>102</v>
      </c>
      <c r="J14" s="389"/>
      <c r="K14" s="400"/>
      <c r="L14" s="401">
        <f>IF(K14="SI",180,0)</f>
        <v>0</v>
      </c>
      <c r="N14" s="898"/>
      <c r="O14" s="898"/>
      <c r="P14" s="899"/>
      <c r="Q14" s="899"/>
      <c r="R14" s="740"/>
      <c r="S14" s="738">
        <f t="shared" si="0"/>
        <v>0</v>
      </c>
    </row>
    <row r="15" spans="1:22" ht="24" customHeight="1" x14ac:dyDescent="0.25">
      <c r="D15" s="388" t="s">
        <v>103</v>
      </c>
      <c r="E15" s="906"/>
      <c r="F15" s="906"/>
      <c r="G15" s="906"/>
      <c r="H15" s="16"/>
      <c r="I15" s="388" t="s">
        <v>104</v>
      </c>
      <c r="J15" s="389"/>
      <c r="K15" s="400"/>
      <c r="L15" s="401">
        <f>IF(K15="SI",120,0)</f>
        <v>0</v>
      </c>
      <c r="M15" s="16"/>
      <c r="N15" s="898"/>
      <c r="O15" s="898"/>
      <c r="P15" s="899"/>
      <c r="Q15" s="899"/>
      <c r="R15" s="740"/>
      <c r="S15" s="738">
        <f t="shared" si="0"/>
        <v>0</v>
      </c>
    </row>
    <row r="16" spans="1:22" ht="21.75" customHeight="1" x14ac:dyDescent="0.25">
      <c r="D16" s="388" t="s">
        <v>105</v>
      </c>
      <c r="E16" s="935">
        <f>IFERROR(VLOOKUP(E8,Listado!CG3:CI212,3,FALSE),0)</f>
        <v>0</v>
      </c>
      <c r="F16" s="935"/>
      <c r="G16" s="935"/>
      <c r="H16" s="16"/>
      <c r="I16" s="388" t="s">
        <v>106</v>
      </c>
      <c r="J16" s="389"/>
      <c r="K16" s="920">
        <f>+Complementos!J63</f>
        <v>0</v>
      </c>
      <c r="L16" s="920"/>
      <c r="N16" s="898"/>
      <c r="O16" s="898"/>
      <c r="P16" s="899"/>
      <c r="Q16" s="899"/>
      <c r="R16" s="740"/>
      <c r="S16" s="738">
        <f t="shared" si="0"/>
        <v>0</v>
      </c>
      <c r="T16" s="17"/>
      <c r="U16" s="17"/>
      <c r="V16" s="17"/>
    </row>
    <row r="17" spans="3:23" ht="21" customHeight="1" x14ac:dyDescent="0.25">
      <c r="D17" s="388" t="s">
        <v>107</v>
      </c>
      <c r="E17" s="908">
        <f ca="1">IFERROR(CONCATENATE(E16,"-",RIGHT(TRUNC(Presupuesto_final!G44,4),4)),0)</f>
        <v>0</v>
      </c>
      <c r="F17" s="908"/>
      <c r="G17" s="908"/>
      <c r="I17" s="388" t="s">
        <v>108</v>
      </c>
      <c r="J17" s="389"/>
      <c r="K17" s="919">
        <f>+Complementos!J64</f>
        <v>0</v>
      </c>
      <c r="L17" s="919"/>
      <c r="N17" s="898"/>
      <c r="O17" s="898"/>
      <c r="P17" s="899"/>
      <c r="Q17" s="899"/>
      <c r="R17" s="740"/>
      <c r="S17" s="738">
        <f t="shared" si="0"/>
        <v>0</v>
      </c>
    </row>
    <row r="18" spans="3:23" ht="21" customHeight="1" x14ac:dyDescent="0.25">
      <c r="N18" s="916" t="s">
        <v>109</v>
      </c>
      <c r="O18" s="916"/>
      <c r="P18" s="933" t="s">
        <v>110</v>
      </c>
      <c r="Q18" s="933"/>
      <c r="R18" s="740"/>
      <c r="S18" s="738">
        <f t="shared" si="0"/>
        <v>0</v>
      </c>
    </row>
    <row r="19" spans="3:23" ht="24" customHeight="1" x14ac:dyDescent="0.25">
      <c r="E19" s="918" t="s">
        <v>111</v>
      </c>
      <c r="F19" s="918"/>
      <c r="G19" s="918"/>
      <c r="H19" s="918"/>
      <c r="I19" s="918"/>
      <c r="J19" s="918"/>
      <c r="K19" s="288"/>
      <c r="L19" s="290"/>
      <c r="M19" s="289"/>
      <c r="N19" s="916" t="s">
        <v>112</v>
      </c>
      <c r="O19" s="916"/>
      <c r="P19" s="934"/>
      <c r="Q19" s="934"/>
      <c r="R19" s="741">
        <f>+Mano_obra!A31+Mano_obra!A63</f>
        <v>0</v>
      </c>
      <c r="S19" s="738">
        <f t="shared" si="0"/>
        <v>0</v>
      </c>
      <c r="T19" s="509" t="s">
        <v>113</v>
      </c>
      <c r="W19" s="295"/>
    </row>
    <row r="20" spans="3:23" ht="24" customHeight="1" x14ac:dyDescent="0.25">
      <c r="E20" s="18" t="s">
        <v>114</v>
      </c>
      <c r="F20" s="18" t="s">
        <v>115</v>
      </c>
      <c r="G20" s="18" t="s">
        <v>116</v>
      </c>
      <c r="H20" s="18" t="s">
        <v>117</v>
      </c>
      <c r="I20" s="18" t="s">
        <v>118</v>
      </c>
      <c r="J20" s="18" t="s">
        <v>119</v>
      </c>
      <c r="K20" s="288"/>
      <c r="L20" s="290"/>
      <c r="M20" s="290"/>
      <c r="N20" s="18"/>
      <c r="O20" s="18"/>
      <c r="P20" s="929" t="s">
        <v>120</v>
      </c>
      <c r="Q20" s="930"/>
      <c r="R20" s="930"/>
      <c r="S20" s="303">
        <f ca="1">SUMIF(N8:O17,"Comida",S8:S17)+S18+S19</f>
        <v>0</v>
      </c>
      <c r="T20" s="508" t="str">
        <f>IFERROR(VLOOKUP(E16,controller,5,FALSE)/7*9,"")</f>
        <v/>
      </c>
      <c r="W20" s="295"/>
    </row>
    <row r="21" spans="3:23" ht="24" customHeight="1" x14ac:dyDescent="0.25">
      <c r="C21" s="124"/>
      <c r="D21" s="392">
        <f>+N8</f>
        <v>0</v>
      </c>
      <c r="E21" s="404">
        <f t="shared" ref="E21:E30" si="1">IFERROR(IF($T$13=0,VLOOKUP(CONCATENATE($E$13,$E$11,N8,P8),Escandallo_Dietas,7,FALSE),$T$30),0)</f>
        <v>0</v>
      </c>
      <c r="F21" s="405"/>
      <c r="G21" s="742">
        <f>IFERROR((E21+F21),"")</f>
        <v>0</v>
      </c>
      <c r="H21" s="406"/>
      <c r="I21" s="420"/>
      <c r="J21" s="407">
        <f>+H21*(1+I21)</f>
        <v>0</v>
      </c>
      <c r="K21" s="298"/>
      <c r="L21" s="288"/>
      <c r="M21" s="288"/>
      <c r="P21" s="299" t="s">
        <v>121</v>
      </c>
      <c r="Q21" s="300"/>
      <c r="R21" s="301"/>
      <c r="S21" s="302">
        <f>SUMIF(N8:N17,"Pension Completa",S8:S17)+SUMIF(N8:N17,"Comida",S8:S17)+SUMIF(N8:N17,"Medio Menu",S8:S17)+SUMIF(N8:N17,"Menu",S8:S17)+SUMIF(N8:N17,"Minuta",S8:S17)</f>
        <v>0</v>
      </c>
      <c r="T21" s="508" t="str">
        <f>IFERROR(VLOOKUP(E16,controller,6,FALSE)/7*9,"")</f>
        <v/>
      </c>
      <c r="W21" s="295"/>
    </row>
    <row r="22" spans="3:23" ht="24" customHeight="1" x14ac:dyDescent="0.25">
      <c r="C22" s="124"/>
      <c r="D22" s="392">
        <f t="shared" ref="D22:D30" si="2">+N9</f>
        <v>0</v>
      </c>
      <c r="E22" s="404">
        <f t="shared" si="1"/>
        <v>0</v>
      </c>
      <c r="F22" s="405"/>
      <c r="G22" s="742">
        <f t="shared" ref="G22:G32" si="3">IFERROR((E22+F22),"")</f>
        <v>0</v>
      </c>
      <c r="H22" s="406"/>
      <c r="I22" s="420"/>
      <c r="J22" s="407">
        <f t="shared" ref="J22:J32" si="4">+H22*(1+I22)</f>
        <v>0</v>
      </c>
      <c r="K22" s="122"/>
      <c r="P22" s="667" t="s">
        <v>122</v>
      </c>
      <c r="Q22" s="668"/>
      <c r="R22" s="668"/>
      <c r="S22" s="302" t="e">
        <f>+S21/K13</f>
        <v>#DIV/0!</v>
      </c>
      <c r="T22" s="508"/>
    </row>
    <row r="23" spans="3:23" ht="24" customHeight="1" x14ac:dyDescent="0.25">
      <c r="C23" s="124"/>
      <c r="D23" s="392">
        <f t="shared" si="2"/>
        <v>0</v>
      </c>
      <c r="E23" s="404">
        <f t="shared" si="1"/>
        <v>0</v>
      </c>
      <c r="F23" s="405"/>
      <c r="G23" s="742">
        <f t="shared" si="3"/>
        <v>0</v>
      </c>
      <c r="H23" s="406"/>
      <c r="I23" s="420"/>
      <c r="J23" s="407">
        <f t="shared" si="4"/>
        <v>0</v>
      </c>
      <c r="K23" s="122"/>
    </row>
    <row r="24" spans="3:23" ht="24.75" customHeight="1" x14ac:dyDescent="0.25">
      <c r="C24" s="124"/>
      <c r="D24" s="392">
        <f t="shared" si="2"/>
        <v>0</v>
      </c>
      <c r="E24" s="404">
        <f t="shared" si="1"/>
        <v>0</v>
      </c>
      <c r="F24" s="405"/>
      <c r="G24" s="742">
        <f t="shared" si="3"/>
        <v>0</v>
      </c>
      <c r="H24" s="406"/>
      <c r="I24" s="420"/>
      <c r="J24" s="407">
        <f t="shared" si="4"/>
        <v>0</v>
      </c>
      <c r="K24" s="122"/>
    </row>
    <row r="25" spans="3:23" ht="24.75" customHeight="1" x14ac:dyDescent="0.25">
      <c r="C25" s="124"/>
      <c r="D25" s="392">
        <f t="shared" si="2"/>
        <v>0</v>
      </c>
      <c r="E25" s="404">
        <f t="shared" si="1"/>
        <v>0</v>
      </c>
      <c r="F25" s="405"/>
      <c r="G25" s="742">
        <f t="shared" si="3"/>
        <v>0</v>
      </c>
      <c r="H25" s="406"/>
      <c r="I25" s="420"/>
      <c r="J25" s="407">
        <f t="shared" si="4"/>
        <v>0</v>
      </c>
      <c r="K25" s="122"/>
      <c r="N25" s="393"/>
      <c r="O25" s="396" t="s">
        <v>123</v>
      </c>
      <c r="P25" s="914" t="s">
        <v>124</v>
      </c>
      <c r="Q25" s="914"/>
      <c r="R25" s="914"/>
      <c r="S25" s="914"/>
      <c r="T25" s="914"/>
      <c r="U25" s="914"/>
      <c r="V25" s="914"/>
      <c r="W25" s="915"/>
    </row>
    <row r="26" spans="3:23" ht="27" customHeight="1" x14ac:dyDescent="0.25">
      <c r="C26" s="124"/>
      <c r="D26" s="392">
        <f t="shared" si="2"/>
        <v>0</v>
      </c>
      <c r="E26" s="404">
        <f t="shared" si="1"/>
        <v>0</v>
      </c>
      <c r="F26" s="405"/>
      <c r="G26" s="742">
        <f t="shared" si="3"/>
        <v>0</v>
      </c>
      <c r="H26" s="406"/>
      <c r="I26" s="420"/>
      <c r="J26" s="407">
        <f t="shared" si="4"/>
        <v>0</v>
      </c>
      <c r="N26" s="394"/>
      <c r="O26" s="403"/>
      <c r="P26" s="931"/>
      <c r="Q26" s="932"/>
      <c r="R26" s="932"/>
      <c r="S26" s="932"/>
      <c r="T26" s="932"/>
      <c r="U26" s="932"/>
      <c r="V26" s="932"/>
      <c r="W26" s="932"/>
    </row>
    <row r="27" spans="3:23" ht="27" customHeight="1" x14ac:dyDescent="0.25">
      <c r="C27" s="124"/>
      <c r="D27" s="392">
        <f t="shared" si="2"/>
        <v>0</v>
      </c>
      <c r="E27" s="404">
        <f t="shared" si="1"/>
        <v>0</v>
      </c>
      <c r="F27" s="405"/>
      <c r="G27" s="742">
        <f t="shared" si="3"/>
        <v>0</v>
      </c>
      <c r="H27" s="406"/>
      <c r="I27" s="420"/>
      <c r="J27" s="407">
        <f t="shared" si="4"/>
        <v>0</v>
      </c>
      <c r="N27" s="395"/>
      <c r="O27" s="403"/>
      <c r="P27" s="931"/>
      <c r="Q27" s="932"/>
      <c r="R27" s="932"/>
      <c r="S27" s="932"/>
      <c r="T27" s="932"/>
      <c r="U27" s="932"/>
      <c r="V27" s="932"/>
      <c r="W27" s="932"/>
    </row>
    <row r="28" spans="3:23" ht="27" customHeight="1" x14ac:dyDescent="0.25">
      <c r="C28" s="124"/>
      <c r="D28" s="392">
        <f t="shared" si="2"/>
        <v>0</v>
      </c>
      <c r="E28" s="404">
        <f t="shared" si="1"/>
        <v>0</v>
      </c>
      <c r="F28" s="405"/>
      <c r="G28" s="742">
        <f t="shared" si="3"/>
        <v>0</v>
      </c>
      <c r="H28" s="406"/>
      <c r="I28" s="420"/>
      <c r="J28" s="407">
        <f t="shared" si="4"/>
        <v>0</v>
      </c>
      <c r="Q28" s="121"/>
      <c r="R28" s="121"/>
      <c r="S28" s="20"/>
      <c r="T28" s="20"/>
      <c r="U28" s="20"/>
      <c r="V28" s="20"/>
    </row>
    <row r="29" spans="3:23" ht="27" customHeight="1" x14ac:dyDescent="0.25">
      <c r="C29" s="124"/>
      <c r="D29" s="392">
        <f t="shared" si="2"/>
        <v>0</v>
      </c>
      <c r="E29" s="404">
        <f t="shared" si="1"/>
        <v>0</v>
      </c>
      <c r="F29" s="405"/>
      <c r="G29" s="742">
        <f t="shared" si="3"/>
        <v>0</v>
      </c>
      <c r="H29" s="406"/>
      <c r="I29" s="420"/>
      <c r="J29" s="407">
        <f t="shared" si="4"/>
        <v>0</v>
      </c>
      <c r="N29" s="924" t="s">
        <v>125</v>
      </c>
      <c r="O29" s="924"/>
      <c r="P29" s="924"/>
      <c r="Q29" s="924"/>
      <c r="R29" s="924" t="s">
        <v>126</v>
      </c>
      <c r="S29" s="924"/>
      <c r="T29" s="924"/>
      <c r="U29" s="924"/>
      <c r="V29" s="20"/>
    </row>
    <row r="30" spans="3:23" ht="27" customHeight="1" x14ac:dyDescent="0.25">
      <c r="C30" s="124"/>
      <c r="D30" s="392">
        <f t="shared" si="2"/>
        <v>0</v>
      </c>
      <c r="E30" s="404">
        <f t="shared" si="1"/>
        <v>0</v>
      </c>
      <c r="F30" s="405"/>
      <c r="G30" s="742">
        <f t="shared" si="3"/>
        <v>0</v>
      </c>
      <c r="H30" s="406"/>
      <c r="I30" s="420"/>
      <c r="J30" s="407">
        <f t="shared" si="4"/>
        <v>0</v>
      </c>
      <c r="N30" s="922" t="s">
        <v>127</v>
      </c>
      <c r="O30" s="922"/>
      <c r="P30" s="926">
        <f>IFERROR(VLOOKUP(E16,controller,5,FALSE)/T31,IFERROR(VLOOKUP(E16,Codigos_Centros,4,FALSE)*K13,0))</f>
        <v>0</v>
      </c>
      <c r="Q30" s="926"/>
      <c r="R30" s="922" t="s">
        <v>128</v>
      </c>
      <c r="S30" s="922"/>
      <c r="T30" s="925">
        <f>IFERROR(VLOOKUP(E16,controller,10,FALSE),0)</f>
        <v>0</v>
      </c>
      <c r="U30" s="925"/>
      <c r="V30" s="20"/>
    </row>
    <row r="31" spans="3:23" ht="27" customHeight="1" x14ac:dyDescent="0.25">
      <c r="C31" s="119"/>
      <c r="D31" s="392" t="str">
        <f t="shared" ref="D31" si="5">CONCATENATE(N18," ",P18)</f>
        <v>BECAS_DIARIAS Escolar</v>
      </c>
      <c r="E31" s="404">
        <f>IFERROR(VLOOKUP(CONCATENATE($E$13,$E$11,"comida",P18),Escandallo_Dietas,7,FALSE),0)</f>
        <v>0</v>
      </c>
      <c r="F31" s="405"/>
      <c r="G31" s="742">
        <f t="shared" si="3"/>
        <v>0</v>
      </c>
      <c r="H31" s="406"/>
      <c r="I31" s="420"/>
      <c r="J31" s="407">
        <f t="shared" si="4"/>
        <v>0</v>
      </c>
      <c r="N31" s="922" t="s">
        <v>129</v>
      </c>
      <c r="O31" s="922"/>
      <c r="P31" s="927" t="str">
        <f>IFERROR(VLOOKUP(E16,Listado!$CI$3:$CK$267,3,FALSE),"")</f>
        <v/>
      </c>
      <c r="Q31" s="927"/>
      <c r="R31" s="922" t="s">
        <v>130</v>
      </c>
      <c r="S31" s="922"/>
      <c r="T31" s="927">
        <v>109</v>
      </c>
      <c r="U31" s="927"/>
      <c r="V31" s="20"/>
    </row>
    <row r="32" spans="3:23" ht="27" customHeight="1" x14ac:dyDescent="0.25">
      <c r="C32" s="119"/>
      <c r="D32" s="392" t="str">
        <f>+N19</f>
        <v>DIETAS_IRCO</v>
      </c>
      <c r="E32" s="404">
        <f>+E21</f>
        <v>0</v>
      </c>
      <c r="F32" s="405"/>
      <c r="G32" s="742">
        <f t="shared" si="3"/>
        <v>0</v>
      </c>
      <c r="H32" s="406"/>
      <c r="I32" s="420"/>
      <c r="J32" s="407">
        <f t="shared" si="4"/>
        <v>0</v>
      </c>
      <c r="N32" s="922" t="s">
        <v>131</v>
      </c>
      <c r="O32" s="922"/>
      <c r="P32" s="928" t="str">
        <f>IFERROR(VLOOKUP(E16,controller,17,FALSE),"")</f>
        <v/>
      </c>
      <c r="Q32" s="928"/>
      <c r="R32" s="922"/>
      <c r="S32" s="922"/>
      <c r="T32" s="927"/>
      <c r="U32" s="927"/>
      <c r="V32" s="20"/>
    </row>
    <row r="33" spans="3:26" ht="27" customHeight="1" x14ac:dyDescent="0.25">
      <c r="C33" s="119"/>
      <c r="D33" s="296" t="s">
        <v>132</v>
      </c>
      <c r="E33" s="297">
        <f>IFERROR(SUMPRODUCT(E21:E32,$R$8:$R$19)/SUM($R$8:$R$19),0)</f>
        <v>0</v>
      </c>
      <c r="F33" s="297">
        <f t="shared" ref="F33:J33" si="6">IFERROR(SUMPRODUCT(F21:F32,$R$8:$R$19)/SUM($R$8:$R$19),0)</f>
        <v>0</v>
      </c>
      <c r="G33" s="297">
        <f t="shared" si="6"/>
        <v>0</v>
      </c>
      <c r="H33" s="297">
        <f t="shared" si="6"/>
        <v>0</v>
      </c>
      <c r="I33" s="297">
        <f t="shared" si="6"/>
        <v>0</v>
      </c>
      <c r="J33" s="297">
        <f t="shared" si="6"/>
        <v>0</v>
      </c>
      <c r="N33" s="600" t="s">
        <v>133</v>
      </c>
      <c r="O33" s="669" t="s">
        <v>98</v>
      </c>
      <c r="P33" s="701">
        <f>IF(O33="SI",IFERROR(VLOOKUP(E16,Listado!$CI$3:$CM$267,5,FALSE),3.8),0.037)</f>
        <v>3.6999999999999998E-2</v>
      </c>
      <c r="Q33" s="701"/>
      <c r="R33" s="922"/>
      <c r="S33" s="922"/>
      <c r="T33" s="923"/>
      <c r="U33" s="923"/>
      <c r="V33" s="20"/>
    </row>
    <row r="34" spans="3:26" ht="27" customHeight="1" x14ac:dyDescent="0.25">
      <c r="C34" s="123"/>
      <c r="M34" s="261"/>
      <c r="S34" s="20"/>
      <c r="T34" s="20"/>
      <c r="U34" s="20"/>
      <c r="V34" s="20"/>
    </row>
    <row r="35" spans="3:26" ht="27" customHeight="1" x14ac:dyDescent="0.25">
      <c r="C35" s="119"/>
      <c r="D35" s="388"/>
      <c r="E35" s="397" t="s">
        <v>134</v>
      </c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S35" s="20"/>
      <c r="T35" s="20"/>
      <c r="U35" s="20"/>
      <c r="V35" s="20"/>
    </row>
    <row r="36" spans="3:26" ht="27" customHeight="1" x14ac:dyDescent="0.25">
      <c r="D36" s="399" t="s">
        <v>135</v>
      </c>
      <c r="E36" s="408">
        <v>45596</v>
      </c>
      <c r="F36" s="409">
        <f>EOMONTH(E36,1)</f>
        <v>45626</v>
      </c>
      <c r="G36" s="409">
        <f t="shared" ref="G36:P36" si="7">EOMONTH(F36,1)</f>
        <v>45657</v>
      </c>
      <c r="H36" s="409">
        <f t="shared" si="7"/>
        <v>45688</v>
      </c>
      <c r="I36" s="409">
        <f t="shared" si="7"/>
        <v>45716</v>
      </c>
      <c r="J36" s="409">
        <f t="shared" si="7"/>
        <v>45747</v>
      </c>
      <c r="K36" s="409">
        <f t="shared" si="7"/>
        <v>45777</v>
      </c>
      <c r="L36" s="409">
        <f t="shared" si="7"/>
        <v>45808</v>
      </c>
      <c r="M36" s="409">
        <f t="shared" si="7"/>
        <v>45838</v>
      </c>
      <c r="N36" s="409">
        <f t="shared" si="7"/>
        <v>45869</v>
      </c>
      <c r="O36" s="409">
        <f t="shared" si="7"/>
        <v>45900</v>
      </c>
      <c r="P36" s="409">
        <f t="shared" si="7"/>
        <v>45930</v>
      </c>
      <c r="S36" s="20"/>
      <c r="T36" s="607"/>
      <c r="U36" s="20"/>
      <c r="V36" s="20"/>
    </row>
    <row r="37" spans="3:26" ht="27" customHeight="1" x14ac:dyDescent="0.25">
      <c r="D37" s="388" t="s">
        <v>136</v>
      </c>
      <c r="E37" s="410">
        <f>IFERROR(IF($E$15&gt;0,VLOOKUP(E36,Meses_Matriz,VLOOKUP(Datos_Generales!$E$12,Tipo_cliente_Matriz,2,FALSE),FALSE)+Datos_Generales!E347,0),0)</f>
        <v>0</v>
      </c>
      <c r="F37" s="410">
        <f>IFERROR(IF($E$15&gt;1,VLOOKUP(F36,Meses_Matriz,VLOOKUP(Datos_Generales!$E$12,Tipo_cliente_Matriz,2,FALSE),FALSE)+Datos_Generales!F347,0),0)</f>
        <v>0</v>
      </c>
      <c r="G37" s="410">
        <f>IFERROR(IF($E$15&gt;2,VLOOKUP(G36,Meses_Matriz,VLOOKUP(Datos_Generales!$E$12,Tipo_cliente_Matriz,2,FALSE),FALSE)+Datos_Generales!G347,0),0)</f>
        <v>0</v>
      </c>
      <c r="H37" s="410">
        <f>IFERROR(IF($E$15&gt;3,VLOOKUP(H36,Meses_Matriz,VLOOKUP(Datos_Generales!$E$12,Tipo_cliente_Matriz,2,FALSE),FALSE)+Datos_Generales!H347,0),0)</f>
        <v>0</v>
      </c>
      <c r="I37" s="410">
        <f>IFERROR(IF($E$15&gt;4,VLOOKUP(I36,Meses_Matriz,VLOOKUP(Datos_Generales!$E$12,Tipo_cliente_Matriz,2,FALSE),FALSE)+Datos_Generales!I347,0),0)</f>
        <v>0</v>
      </c>
      <c r="J37" s="410">
        <f>IFERROR(IF($E$15&gt;5,VLOOKUP(J36,Meses_Matriz,VLOOKUP(Datos_Generales!$E$12,Tipo_cliente_Matriz,2,FALSE),FALSE)+Datos_Generales!J347,0),0)</f>
        <v>0</v>
      </c>
      <c r="K37" s="410">
        <f>IFERROR(IF($E$15&gt;6,VLOOKUP(K36,Meses_Matriz,VLOOKUP(Datos_Generales!$E$12,Tipo_cliente_Matriz,2,FALSE),FALSE)+Datos_Generales!K347,0),0)</f>
        <v>0</v>
      </c>
      <c r="L37" s="410">
        <f>IFERROR(IF($E$15&gt;7,VLOOKUP(L36,Meses_Matriz,VLOOKUP(Datos_Generales!$E$12,Tipo_cliente_Matriz,2,FALSE),FALSE)+Datos_Generales!L347,0),0)</f>
        <v>0</v>
      </c>
      <c r="M37" s="410">
        <f>IFERROR(IF($E$15&gt;8,VLOOKUP(M36,Meses_Matriz,VLOOKUP(Datos_Generales!$E$12,Tipo_cliente_Matriz,2,FALSE),FALSE)+Datos_Generales!M347,0),0)</f>
        <v>0</v>
      </c>
      <c r="N37" s="410">
        <f>IFERROR(IF($E$15&gt;9,VLOOKUP(N36,Meses_Matriz,VLOOKUP(Datos_Generales!$E$12,Tipo_cliente_Matriz,2,FALSE),FALSE)+Datos_Generales!N347,0),0)</f>
        <v>0</v>
      </c>
      <c r="O37" s="410">
        <f>IFERROR(IF($E$15&gt;10,VLOOKUP(O36,Meses_Matriz,VLOOKUP(Datos_Generales!$E$12,Tipo_cliente_Matriz,2,FALSE),FALSE)+Datos_Generales!O347,0),0)</f>
        <v>0</v>
      </c>
      <c r="P37" s="410">
        <f>IFERROR(IF($E$15&gt;11,VLOOKUP(P36,Meses_Matriz,VLOOKUP(Datos_Generales!$E$12,Tipo_cliente_Matriz,2,FALSE),FALSE)+Datos_Generales!P347,0),0)</f>
        <v>0</v>
      </c>
      <c r="S37" s="20"/>
      <c r="T37" s="607"/>
      <c r="U37" s="20"/>
      <c r="V37" s="20"/>
    </row>
    <row r="38" spans="3:26" ht="27" customHeight="1" x14ac:dyDescent="0.25">
      <c r="D38" s="388" t="s">
        <v>137</v>
      </c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  <c r="S38" s="20"/>
      <c r="T38" s="20"/>
      <c r="U38" s="20"/>
      <c r="V38" s="20"/>
    </row>
    <row r="39" spans="3:26" ht="24.75" customHeight="1" x14ac:dyDescent="0.25">
      <c r="D39" s="388" t="s">
        <v>138</v>
      </c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21"/>
      <c r="R39" s="21"/>
      <c r="S39" s="20"/>
      <c r="T39" s="20"/>
      <c r="U39" s="20"/>
      <c r="V39" s="20"/>
    </row>
    <row r="40" spans="3:26" ht="24.75" customHeight="1" x14ac:dyDescent="0.25">
      <c r="D40" s="388" t="s">
        <v>139</v>
      </c>
      <c r="E40" s="410">
        <f>+E37+E39</f>
        <v>0</v>
      </c>
      <c r="F40" s="410">
        <f t="shared" ref="F40:P40" si="8">+F37+F39</f>
        <v>0</v>
      </c>
      <c r="G40" s="410">
        <f t="shared" si="8"/>
        <v>0</v>
      </c>
      <c r="H40" s="410">
        <f t="shared" si="8"/>
        <v>0</v>
      </c>
      <c r="I40" s="410">
        <f t="shared" si="8"/>
        <v>0</v>
      </c>
      <c r="J40" s="410">
        <f t="shared" si="8"/>
        <v>0</v>
      </c>
      <c r="K40" s="410">
        <f t="shared" si="8"/>
        <v>0</v>
      </c>
      <c r="L40" s="410">
        <f t="shared" si="8"/>
        <v>0</v>
      </c>
      <c r="M40" s="410">
        <f t="shared" si="8"/>
        <v>0</v>
      </c>
      <c r="N40" s="410">
        <f t="shared" si="8"/>
        <v>0</v>
      </c>
      <c r="O40" s="410">
        <f t="shared" si="8"/>
        <v>0</v>
      </c>
      <c r="P40" s="410">
        <f t="shared" si="8"/>
        <v>0</v>
      </c>
      <c r="Q40" s="21"/>
      <c r="R40" s="21"/>
      <c r="S40" s="20"/>
      <c r="T40" s="20"/>
      <c r="U40" s="20"/>
      <c r="V40" s="20"/>
    </row>
    <row r="41" spans="3:26" ht="24.75" customHeight="1" x14ac:dyDescent="0.25">
      <c r="D41" s="628" t="s">
        <v>140</v>
      </c>
      <c r="E41" s="682">
        <f>IFERROR(IF($E$15&gt;0,VLOOKUP(E36,Meses_Matriz,8,FALSE),0),0)</f>
        <v>0</v>
      </c>
      <c r="F41" s="682">
        <f>IFERROR(IF($E$15&gt;1,VLOOKUP(F36,Meses_Matriz,8,FALSE),0),0)</f>
        <v>0</v>
      </c>
      <c r="G41" s="682">
        <f>IFERROR(IF($E$15&gt;2,VLOOKUP(G36,Meses_Matriz,8,FALSE),0),0)</f>
        <v>0</v>
      </c>
      <c r="H41" s="682">
        <f>IFERROR(IF($E$15&gt;3,VLOOKUP(H36,Meses_Matriz,8,FALSE),0),0)</f>
        <v>0</v>
      </c>
      <c r="I41" s="682">
        <f>IFERROR(IF($E$15&gt;4,VLOOKUP(I36,Meses_Matriz,8,FALSE),0),0)</f>
        <v>0</v>
      </c>
      <c r="J41" s="682">
        <f>IFERROR(IF($E$15&gt;5,VLOOKUP(J36,Meses_Matriz,8,FALSE),0),0)</f>
        <v>0</v>
      </c>
      <c r="K41" s="682">
        <f>IFERROR(IF($E$15&gt;6,VLOOKUP(K36,Meses_Matriz,8,FALSE),0),0)</f>
        <v>0</v>
      </c>
      <c r="L41" s="682">
        <f>IFERROR(IF($E$15&gt;7,VLOOKUP(L36,Meses_Matriz,8,FALSE),0),0)</f>
        <v>0</v>
      </c>
      <c r="M41" s="682">
        <f>IFERROR(IF($E$15&gt;8,VLOOKUP(M36,Meses_Matriz,8,FALSE),0),0)</f>
        <v>0</v>
      </c>
      <c r="N41" s="682">
        <f>IFERROR(IF($E$15&gt;9,VLOOKUP(N36,Meses_Matriz,8,FALSE),0),0)</f>
        <v>0</v>
      </c>
      <c r="O41" s="682">
        <f>IFERROR(IF($E$15&gt;10,VLOOKUP(O36,Meses_Matriz,8,FALSE),0),0)</f>
        <v>0</v>
      </c>
      <c r="P41" s="682">
        <f>IFERROR(IF($E$15&gt;11,VLOOKUP(P36,Meses_Matriz,8,FALSE),0),0)</f>
        <v>0</v>
      </c>
      <c r="Q41" s="21"/>
      <c r="R41" s="21"/>
      <c r="S41" s="20"/>
      <c r="T41" s="20"/>
      <c r="U41" s="20"/>
      <c r="V41" s="20"/>
    </row>
    <row r="42" spans="3:26" ht="24.75" customHeight="1" x14ac:dyDescent="0.25">
      <c r="D42" s="921" t="s">
        <v>124</v>
      </c>
      <c r="E42" s="921"/>
      <c r="F42" s="921"/>
      <c r="G42" s="921"/>
      <c r="O42" s="16"/>
      <c r="P42" s="87"/>
      <c r="Q42" s="110"/>
      <c r="R42" s="19"/>
      <c r="S42" s="20"/>
      <c r="T42" s="20"/>
      <c r="U42" s="20"/>
      <c r="V42" s="20"/>
    </row>
    <row r="43" spans="3:26" ht="24.75" customHeight="1" x14ac:dyDescent="0.25">
      <c r="D43" s="648"/>
      <c r="E43" s="649"/>
      <c r="F43" s="649"/>
      <c r="G43" s="649"/>
      <c r="H43" s="649"/>
      <c r="I43" s="649"/>
      <c r="J43" s="649"/>
      <c r="K43" s="649"/>
      <c r="L43" s="649"/>
      <c r="M43" s="649"/>
      <c r="N43" s="649"/>
      <c r="O43" s="650"/>
      <c r="P43" s="650"/>
      <c r="Q43" s="913"/>
      <c r="R43" s="913"/>
      <c r="S43" s="649"/>
      <c r="T43" s="649"/>
      <c r="U43" s="649"/>
      <c r="V43" s="649"/>
      <c r="W43" s="649"/>
      <c r="X43" s="649"/>
      <c r="Y43" s="649"/>
      <c r="Z43" s="651"/>
    </row>
    <row r="44" spans="3:26" ht="24.75" customHeight="1" x14ac:dyDescent="0.25">
      <c r="D44" s="652"/>
      <c r="E44" s="653"/>
      <c r="F44" s="653"/>
      <c r="G44" s="653"/>
      <c r="H44" s="653"/>
      <c r="I44" s="653"/>
      <c r="J44" s="653"/>
      <c r="K44" s="653"/>
      <c r="L44" s="653"/>
      <c r="M44" s="653"/>
      <c r="N44" s="653"/>
      <c r="O44" s="654"/>
      <c r="P44" s="655"/>
      <c r="Q44" s="656"/>
      <c r="R44" s="656"/>
      <c r="S44" s="653"/>
      <c r="T44" s="653"/>
      <c r="U44" s="653"/>
      <c r="V44" s="653"/>
      <c r="W44" s="653"/>
      <c r="X44" s="653"/>
      <c r="Y44" s="653"/>
      <c r="Z44" s="657"/>
    </row>
    <row r="45" spans="3:26" ht="24.75" customHeight="1" x14ac:dyDescent="0.25">
      <c r="D45" s="652"/>
      <c r="E45" s="653"/>
      <c r="F45" s="653"/>
      <c r="G45" s="653"/>
      <c r="H45" s="653"/>
      <c r="I45" s="653"/>
      <c r="J45" s="653"/>
      <c r="K45" s="653"/>
      <c r="L45" s="653"/>
      <c r="M45" s="653"/>
      <c r="N45" s="653"/>
      <c r="O45" s="654"/>
      <c r="P45" s="655"/>
      <c r="Q45" s="656"/>
      <c r="R45" s="656"/>
      <c r="S45" s="653"/>
      <c r="T45" s="653"/>
      <c r="U45" s="653"/>
      <c r="V45" s="653"/>
      <c r="W45" s="653"/>
      <c r="X45" s="653"/>
      <c r="Y45" s="653"/>
      <c r="Z45" s="657"/>
    </row>
    <row r="46" spans="3:26" ht="24.75" customHeight="1" x14ac:dyDescent="0.25">
      <c r="D46" s="652"/>
      <c r="E46" s="653"/>
      <c r="F46" s="653"/>
      <c r="G46" s="653"/>
      <c r="H46" s="653"/>
      <c r="I46" s="653"/>
      <c r="J46" s="653"/>
      <c r="K46" s="653"/>
      <c r="L46" s="653"/>
      <c r="M46" s="653"/>
      <c r="N46" s="653"/>
      <c r="O46" s="653"/>
      <c r="P46" s="655"/>
      <c r="Q46" s="656"/>
      <c r="R46" s="656"/>
      <c r="S46" s="653"/>
      <c r="T46" s="653"/>
      <c r="U46" s="653"/>
      <c r="V46" s="653"/>
      <c r="W46" s="653"/>
      <c r="X46" s="653"/>
      <c r="Y46" s="653"/>
      <c r="Z46" s="657"/>
    </row>
    <row r="47" spans="3:26" ht="24.75" customHeight="1" x14ac:dyDescent="0.25">
      <c r="D47" s="652"/>
      <c r="E47" s="653"/>
      <c r="F47" s="653"/>
      <c r="G47" s="653"/>
      <c r="H47" s="653"/>
      <c r="I47" s="653"/>
      <c r="J47" s="653"/>
      <c r="K47" s="653"/>
      <c r="L47" s="653"/>
      <c r="M47" s="653"/>
      <c r="N47" s="653"/>
      <c r="O47" s="653"/>
      <c r="P47" s="655"/>
      <c r="Q47" s="656"/>
      <c r="R47" s="656"/>
      <c r="S47" s="653"/>
      <c r="T47" s="653"/>
      <c r="U47" s="653"/>
      <c r="V47" s="653"/>
      <c r="W47" s="653"/>
      <c r="X47" s="653"/>
      <c r="Y47" s="653"/>
      <c r="Z47" s="657"/>
    </row>
    <row r="48" spans="3:26" ht="24.75" customHeight="1" x14ac:dyDescent="0.25">
      <c r="D48" s="652"/>
      <c r="E48" s="653"/>
      <c r="F48" s="653"/>
      <c r="G48" s="653"/>
      <c r="H48" s="653"/>
      <c r="I48" s="653"/>
      <c r="J48" s="653"/>
      <c r="K48" s="653"/>
      <c r="L48" s="653"/>
      <c r="M48" s="653"/>
      <c r="N48" s="653"/>
      <c r="O48" s="653"/>
      <c r="P48" s="655"/>
      <c r="Q48" s="656"/>
      <c r="R48" s="656"/>
      <c r="S48" s="653"/>
      <c r="T48" s="653"/>
      <c r="U48" s="653"/>
      <c r="V48" s="653"/>
      <c r="W48" s="653"/>
      <c r="X48" s="653"/>
      <c r="Y48" s="653"/>
      <c r="Z48" s="657"/>
    </row>
    <row r="49" spans="4:26" ht="24.75" customHeight="1" x14ac:dyDescent="0.25">
      <c r="D49" s="652"/>
      <c r="E49" s="653"/>
      <c r="F49" s="653"/>
      <c r="G49" s="653"/>
      <c r="H49" s="653"/>
      <c r="I49" s="653"/>
      <c r="J49" s="653"/>
      <c r="K49" s="653"/>
      <c r="L49" s="653"/>
      <c r="M49" s="653"/>
      <c r="N49" s="653"/>
      <c r="O49" s="653"/>
      <c r="P49" s="655"/>
      <c r="Q49" s="656"/>
      <c r="R49" s="656"/>
      <c r="S49" s="653"/>
      <c r="T49" s="653"/>
      <c r="U49" s="653"/>
      <c r="V49" s="653"/>
      <c r="W49" s="653"/>
      <c r="X49" s="653"/>
      <c r="Y49" s="653"/>
      <c r="Z49" s="657"/>
    </row>
    <row r="50" spans="4:26" ht="24.75" customHeight="1" x14ac:dyDescent="0.25">
      <c r="D50" s="652"/>
      <c r="E50" s="653"/>
      <c r="F50" s="653"/>
      <c r="G50" s="653"/>
      <c r="H50" s="653"/>
      <c r="I50" s="653"/>
      <c r="J50" s="653"/>
      <c r="K50" s="653"/>
      <c r="L50" s="653"/>
      <c r="M50" s="653"/>
      <c r="N50" s="653"/>
      <c r="O50" s="653"/>
      <c r="P50" s="655"/>
      <c r="Q50" s="656"/>
      <c r="R50" s="656"/>
      <c r="S50" s="653"/>
      <c r="T50" s="653"/>
      <c r="U50" s="653"/>
      <c r="V50" s="653"/>
      <c r="W50" s="653"/>
      <c r="X50" s="653"/>
      <c r="Y50" s="653"/>
      <c r="Z50" s="657"/>
    </row>
    <row r="51" spans="4:26" ht="24.75" customHeight="1" x14ac:dyDescent="0.25">
      <c r="D51" s="652"/>
      <c r="E51" s="653"/>
      <c r="F51" s="653"/>
      <c r="G51" s="653"/>
      <c r="H51" s="653"/>
      <c r="I51" s="653"/>
      <c r="J51" s="653"/>
      <c r="K51" s="653"/>
      <c r="L51" s="653"/>
      <c r="M51" s="653"/>
      <c r="N51" s="653"/>
      <c r="O51" s="653"/>
      <c r="P51" s="655"/>
      <c r="Q51" s="656"/>
      <c r="R51" s="656"/>
      <c r="S51" s="653"/>
      <c r="T51" s="653"/>
      <c r="U51" s="653"/>
      <c r="V51" s="653"/>
      <c r="W51" s="653"/>
      <c r="X51" s="653"/>
      <c r="Y51" s="653"/>
      <c r="Z51" s="657"/>
    </row>
    <row r="52" spans="4:26" x14ac:dyDescent="0.25">
      <c r="D52" s="652"/>
      <c r="E52" s="653"/>
      <c r="F52" s="653"/>
      <c r="G52" s="653"/>
      <c r="H52" s="653"/>
      <c r="I52" s="653"/>
      <c r="J52" s="653" t="s">
        <v>141</v>
      </c>
      <c r="K52" s="653"/>
      <c r="L52" s="653"/>
      <c r="M52" s="653"/>
      <c r="N52" s="653"/>
      <c r="O52" s="653"/>
      <c r="P52" s="654"/>
      <c r="Q52" s="653"/>
      <c r="R52" s="653"/>
      <c r="S52" s="653"/>
      <c r="T52" s="653"/>
      <c r="U52" s="653"/>
      <c r="V52" s="653"/>
      <c r="W52" s="653"/>
      <c r="X52" s="653"/>
      <c r="Y52" s="653"/>
      <c r="Z52" s="657"/>
    </row>
    <row r="53" spans="4:26" x14ac:dyDescent="0.25">
      <c r="D53" s="658"/>
      <c r="E53" s="659"/>
      <c r="F53" s="659"/>
      <c r="G53" s="659"/>
      <c r="H53" s="659"/>
      <c r="I53" s="659"/>
      <c r="J53" s="659"/>
      <c r="K53" s="659"/>
      <c r="L53" s="659"/>
      <c r="M53" s="659"/>
      <c r="N53" s="659"/>
      <c r="O53" s="659"/>
      <c r="P53" s="660"/>
      <c r="Q53" s="659"/>
      <c r="R53" s="659"/>
      <c r="S53" s="659"/>
      <c r="T53" s="659"/>
      <c r="U53" s="659"/>
      <c r="V53" s="659"/>
      <c r="W53" s="659"/>
      <c r="X53" s="659"/>
      <c r="Y53" s="659"/>
      <c r="Z53" s="661"/>
    </row>
    <row r="54" spans="4:26" x14ac:dyDescent="0.25">
      <c r="P54" s="16"/>
    </row>
    <row r="55" spans="4:26" x14ac:dyDescent="0.25">
      <c r="P55" s="16"/>
    </row>
    <row r="56" spans="4:26" x14ac:dyDescent="0.25">
      <c r="P56" s="16"/>
    </row>
    <row r="57" spans="4:26" x14ac:dyDescent="0.25">
      <c r="P57" s="16"/>
    </row>
    <row r="58" spans="4:26" x14ac:dyDescent="0.25">
      <c r="P58" s="16"/>
    </row>
  </sheetData>
  <sheetProtection algorithmName="SHA-512" hashValue="NGD4VUVCOJCjzdudvxnPOrmQXB7xDqDfr96k5u9yWjO9NO6QrvrsWhsKG+AJTWxr13XJGldbwDfKqCR7JdgiwA==" saltValue="QqPlBmlHiKaBWc9s9MkoUA==" spinCount="100000" sheet="1" formatCells="0" formatColumns="0"/>
  <mergeCells count="73">
    <mergeCell ref="E16:G16"/>
    <mergeCell ref="N30:O30"/>
    <mergeCell ref="N31:O31"/>
    <mergeCell ref="E17:G17"/>
    <mergeCell ref="N32:O32"/>
    <mergeCell ref="P30:Q30"/>
    <mergeCell ref="P31:Q31"/>
    <mergeCell ref="P32:Q32"/>
    <mergeCell ref="K17:L17"/>
    <mergeCell ref="P17:Q17"/>
    <mergeCell ref="P20:R20"/>
    <mergeCell ref="P26:W26"/>
    <mergeCell ref="P27:W27"/>
    <mergeCell ref="P18:Q18"/>
    <mergeCell ref="P19:Q19"/>
    <mergeCell ref="N17:O17"/>
    <mergeCell ref="N29:Q29"/>
    <mergeCell ref="T31:U31"/>
    <mergeCell ref="R32:S32"/>
    <mergeCell ref="T32:U32"/>
    <mergeCell ref="R33:S33"/>
    <mergeCell ref="T33:U33"/>
    <mergeCell ref="R29:U29"/>
    <mergeCell ref="R30:S30"/>
    <mergeCell ref="T30:U30"/>
    <mergeCell ref="R31:S31"/>
    <mergeCell ref="Q43:R43"/>
    <mergeCell ref="P25:W25"/>
    <mergeCell ref="N19:O19"/>
    <mergeCell ref="K9:L9"/>
    <mergeCell ref="E13:G13"/>
    <mergeCell ref="I11:J11"/>
    <mergeCell ref="E19:J19"/>
    <mergeCell ref="E14:G14"/>
    <mergeCell ref="E15:G15"/>
    <mergeCell ref="K10:L10"/>
    <mergeCell ref="K12:L12"/>
    <mergeCell ref="K13:L13"/>
    <mergeCell ref="E12:G12"/>
    <mergeCell ref="N18:O18"/>
    <mergeCell ref="K16:L16"/>
    <mergeCell ref="D42:G42"/>
    <mergeCell ref="P10:Q10"/>
    <mergeCell ref="P11:Q11"/>
    <mergeCell ref="N8:O8"/>
    <mergeCell ref="N9:O9"/>
    <mergeCell ref="N10:O10"/>
    <mergeCell ref="N11:O11"/>
    <mergeCell ref="D6:S6"/>
    <mergeCell ref="D2:S4"/>
    <mergeCell ref="N14:O14"/>
    <mergeCell ref="N7:O7"/>
    <mergeCell ref="P7:Q7"/>
    <mergeCell ref="K11:L11"/>
    <mergeCell ref="E10:G10"/>
    <mergeCell ref="E11:G11"/>
    <mergeCell ref="E7:G7"/>
    <mergeCell ref="K7:L7"/>
    <mergeCell ref="E9:G9"/>
    <mergeCell ref="I10:J10"/>
    <mergeCell ref="K8:L8"/>
    <mergeCell ref="E8:G8"/>
    <mergeCell ref="P8:Q8"/>
    <mergeCell ref="P9:Q9"/>
    <mergeCell ref="N15:O15"/>
    <mergeCell ref="N16:O16"/>
    <mergeCell ref="P12:Q12"/>
    <mergeCell ref="P13:Q13"/>
    <mergeCell ref="P14:Q14"/>
    <mergeCell ref="P15:Q15"/>
    <mergeCell ref="P16:Q16"/>
    <mergeCell ref="N12:O12"/>
    <mergeCell ref="N13:O13"/>
  </mergeCells>
  <conditionalFormatting sqref="E40:P40 E36:P38">
    <cfRule type="cellIs" dxfId="75" priority="7" operator="equal">
      <formula>0</formula>
    </cfRule>
  </conditionalFormatting>
  <conditionalFormatting sqref="E39:P39">
    <cfRule type="cellIs" dxfId="74" priority="6" operator="equal">
      <formula>0</formula>
    </cfRule>
  </conditionalFormatting>
  <conditionalFormatting sqref="E41:P41">
    <cfRule type="cellIs" dxfId="73" priority="4" operator="equal">
      <formula>0</formula>
    </cfRule>
  </conditionalFormatting>
  <conditionalFormatting sqref="D6:S6">
    <cfRule type="cellIs" dxfId="72" priority="1" operator="equal">
      <formula>"CLIENTE FAVORABLE"</formula>
    </cfRule>
    <cfRule type="cellIs" dxfId="71" priority="2" operator="equal">
      <formula>"CLIENTE COMPROMETIDO"</formula>
    </cfRule>
    <cfRule type="cellIs" dxfId="70" priority="3" operator="equal">
      <formula>"CLIENTE CRITICO"</formula>
    </cfRule>
  </conditionalFormatting>
  <dataValidations count="16">
    <dataValidation type="list" allowBlank="1" showInputMessage="1" showErrorMessage="1" sqref="E13:G13" xr:uid="{9F212901-E4D2-42CA-93C2-D6A167923C13}">
      <formula1>"Catering,Autónoma,Catering_Frio"</formula1>
    </dataValidation>
    <dataValidation type="list" allowBlank="1" showInputMessage="1" showErrorMessage="1" sqref="E10" xr:uid="{11AC363F-97F5-4778-BCFC-0E26367FE88A}">
      <formula1>"Captación,Renovación"</formula1>
    </dataValidation>
    <dataValidation type="list" allowBlank="1" showInputMessage="1" showErrorMessage="1" sqref="K8:L8 K14:K15 K12:L12 O33" xr:uid="{ED3E9731-46C3-48EB-A36D-BB7EF85C38DB}">
      <formula1>"SI,NO"</formula1>
    </dataValidation>
    <dataValidation type="list" allowBlank="1" showInputMessage="1" showErrorMessage="1" sqref="E11:G11" xr:uid="{96BECF91-86EE-4611-9123-7F48F4C5829A}">
      <formula1>"Valencia,Castellon,Alicante,,Málaga,Madrid,Córdoba,Sevilla,Granada,Jaén"</formula1>
    </dataValidation>
    <dataValidation type="list" allowBlank="1" showInputMessage="1" showErrorMessage="1" sqref="E12:G12" xr:uid="{7BE68248-8302-4305-BF21-F035A6A1A009}">
      <formula1>Tipo_Cliente</formula1>
    </dataValidation>
    <dataValidation type="list" allowBlank="1" showInputMessage="1" showErrorMessage="1" sqref="H7" xr:uid="{E120FD8B-F002-4031-B638-BFEAC84E843A}">
      <formula1>D_responsables</formula1>
    </dataValidation>
    <dataValidation type="list" allowBlank="1" showInputMessage="1" showErrorMessage="1" sqref="M7" xr:uid="{CEC5DD06-7ACC-443E-B460-900D6C34F0F0}">
      <formula1>D_competencia</formula1>
    </dataValidation>
    <dataValidation type="list" allowBlank="1" showInputMessage="1" showErrorMessage="1" sqref="E15" xr:uid="{7F42FD83-0D91-4B86-A5D3-95AF4607D85B}">
      <formula1>"1,2,3,4,5,6,7,8,9,10,11,12"</formula1>
    </dataValidation>
    <dataValidation type="list" allowBlank="1" showInputMessage="1" showErrorMessage="1" sqref="J12 O9:O17 N8:N17" xr:uid="{5F286B77-CE5C-4D08-8DCD-F69FAA897431}">
      <formula1>Tipo_Dieta</formula1>
    </dataValidation>
    <dataValidation type="list" allowBlank="1" showInputMessage="1" showErrorMessage="1" sqref="E7" xr:uid="{DF8A61FC-0424-44BE-AEA2-63DAF158F2B8}">
      <formula1>Responsable</formula1>
    </dataValidation>
    <dataValidation type="list" allowBlank="1" showInputMessage="1" showErrorMessage="1" sqref="K7:L7" xr:uid="{2610D18D-58B9-4B75-B480-3FA774117C69}">
      <formula1>Competencia</formula1>
    </dataValidation>
    <dataValidation type="list" allowBlank="1" showInputMessage="1" showErrorMessage="1" sqref="P8:P19 Q9:Q17" xr:uid="{1E75EF3D-99FB-4E3A-96B8-EEB10535BA14}">
      <formula1>Tipo_Comensal</formula1>
    </dataValidation>
    <dataValidation type="list" allowBlank="1" showInputMessage="1" showErrorMessage="1" sqref="E36:P36" xr:uid="{103D4633-4C8B-4CFB-AE1A-ACFD3555B5D3}">
      <formula1>Meses</formula1>
    </dataValidation>
    <dataValidation type="list" allowBlank="1" showInputMessage="1" showErrorMessage="1" sqref="O26:O27" xr:uid="{11AC1915-4648-4477-9C19-B209537A02C0}">
      <formula1>"Autorizado,No autorizado, Revisar,Improven"</formula1>
    </dataValidation>
    <dataValidation type="list" sqref="E8:G8" xr:uid="{BDCFBA16-1890-41CC-8FA5-B45CBE4097ED}">
      <formula1>INDIRECT($E$7)</formula1>
    </dataValidation>
    <dataValidation type="list" allowBlank="1" showInputMessage="1" showErrorMessage="1" sqref="E14:G14" xr:uid="{7FAEE334-5C90-405C-8CA7-3C7844E17B3E}">
      <formula1>"1,2,3,4,5,6,7,8,9"</formula1>
    </dataValidation>
  </dataValidations>
  <pageMargins left="0.23622047244094491" right="0.23622047244094491" top="0.15748031496062992" bottom="0.15748031496062992" header="0" footer="0"/>
  <pageSetup paperSize="9" scale="56" orientation="landscape" horizontalDpi="300" verticalDpi="300" r:id="rId1"/>
  <rowBreaks count="1" manualBreakCount="1">
    <brk id="41" max="19" man="1"/>
  </rowBreaks>
  <colBreaks count="1" manualBreakCount="1">
    <brk id="20" max="1048575" man="1"/>
  </colBreaks>
  <ignoredErrors>
    <ignoredError sqref="S8:S19 D21:D30 D32" unlockedFormula="1"/>
    <ignoredError sqref="D31" formula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2" r:id="rId4" name="Button 52">
              <controlPr defaultSize="0" print="0" autoFill="0" autoPict="0" macro="[0]!Consolidar.consolidar">
                <anchor moveWithCells="1" sizeWithCells="1">
                  <from>
                    <xdr:col>12</xdr:col>
                    <xdr:colOff>723900</xdr:colOff>
                    <xdr:row>21</xdr:row>
                    <xdr:rowOff>257175</xdr:rowOff>
                  </from>
                  <to>
                    <xdr:col>14</xdr:col>
                    <xdr:colOff>714375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5" name="Button 64">
              <controlPr defaultSize="0" print="0" autoFill="0" autoPict="0" macro="[0]!borrar_Completo">
                <anchor moveWithCells="1" sizeWithCells="1">
                  <from>
                    <xdr:col>0</xdr:col>
                    <xdr:colOff>104775</xdr:colOff>
                    <xdr:row>0</xdr:row>
                    <xdr:rowOff>714375</xdr:rowOff>
                  </from>
                  <to>
                    <xdr:col>1</xdr:col>
                    <xdr:colOff>676275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" name="Button 66">
              <controlPr defaultSize="0" print="0" autoFill="0" autoPict="0" macro="[0]!color">
                <anchor moveWithCells="1" sizeWithCells="1">
                  <from>
                    <xdr:col>19</xdr:col>
                    <xdr:colOff>485775</xdr:colOff>
                    <xdr:row>5</xdr:row>
                    <xdr:rowOff>142875</xdr:rowOff>
                  </from>
                  <to>
                    <xdr:col>21</xdr:col>
                    <xdr:colOff>571500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2E48E-F7AE-474E-9C65-A250076198BC}">
  <sheetPr codeName="Hoja27">
    <tabColor theme="3" tint="0.39997558519241921"/>
    <pageSetUpPr fitToPage="1"/>
  </sheetPr>
  <dimension ref="A1:AQ70"/>
  <sheetViews>
    <sheetView zoomScale="85" zoomScaleNormal="85" zoomScaleSheetLayoutView="85" workbookViewId="0">
      <selection activeCell="B5" sqref="B5"/>
    </sheetView>
  </sheetViews>
  <sheetFormatPr baseColWidth="10" defaultColWidth="11.42578125" defaultRowHeight="12" x14ac:dyDescent="0.2"/>
  <cols>
    <col min="1" max="1" width="3.5703125" style="306" customWidth="1"/>
    <col min="2" max="2" width="25" style="311" customWidth="1"/>
    <col min="3" max="5" width="13.42578125" style="306" customWidth="1"/>
    <col min="6" max="6" width="14" style="306" customWidth="1"/>
    <col min="7" max="7" width="12.42578125" style="306" customWidth="1"/>
    <col min="8" max="9" width="11.42578125" style="306" customWidth="1"/>
    <col min="10" max="10" width="12.42578125" style="306" customWidth="1"/>
    <col min="11" max="12" width="13.42578125" style="306" customWidth="1"/>
    <col min="13" max="13" width="14" style="306" customWidth="1"/>
    <col min="14" max="14" width="11.42578125" style="306" customWidth="1"/>
    <col min="15" max="16" width="13" style="306" customWidth="1"/>
    <col min="17" max="17" width="12.5703125" style="306" customWidth="1"/>
    <col min="18" max="18" width="17.5703125" style="313" customWidth="1"/>
    <col min="19" max="30" width="13.5703125" style="306" customWidth="1"/>
    <col min="31" max="31" width="3.42578125" style="332" customWidth="1"/>
    <col min="32" max="32" width="11.42578125" style="311"/>
    <col min="33" max="34" width="11.42578125" style="311" customWidth="1"/>
    <col min="35" max="271" width="11.42578125" style="311"/>
    <col min="272" max="273" width="0" style="311" hidden="1" customWidth="1"/>
    <col min="274" max="274" width="32.42578125" style="311" customWidth="1"/>
    <col min="275" max="287" width="14.5703125" style="311" customWidth="1"/>
    <col min="288" max="527" width="11.42578125" style="311"/>
    <col min="528" max="529" width="0" style="311" hidden="1" customWidth="1"/>
    <col min="530" max="530" width="32.42578125" style="311" customWidth="1"/>
    <col min="531" max="543" width="14.5703125" style="311" customWidth="1"/>
    <col min="544" max="783" width="11.42578125" style="311"/>
    <col min="784" max="785" width="0" style="311" hidden="1" customWidth="1"/>
    <col min="786" max="786" width="32.42578125" style="311" customWidth="1"/>
    <col min="787" max="799" width="14.5703125" style="311" customWidth="1"/>
    <col min="800" max="1039" width="11.42578125" style="311"/>
    <col min="1040" max="1041" width="0" style="311" hidden="1" customWidth="1"/>
    <col min="1042" max="1042" width="32.42578125" style="311" customWidth="1"/>
    <col min="1043" max="1055" width="14.5703125" style="311" customWidth="1"/>
    <col min="1056" max="1295" width="11.42578125" style="311"/>
    <col min="1296" max="1297" width="0" style="311" hidden="1" customWidth="1"/>
    <col min="1298" max="1298" width="32.42578125" style="311" customWidth="1"/>
    <col min="1299" max="1311" width="14.5703125" style="311" customWidth="1"/>
    <col min="1312" max="1551" width="11.42578125" style="311"/>
    <col min="1552" max="1553" width="0" style="311" hidden="1" customWidth="1"/>
    <col min="1554" max="1554" width="32.42578125" style="311" customWidth="1"/>
    <col min="1555" max="1567" width="14.5703125" style="311" customWidth="1"/>
    <col min="1568" max="1807" width="11.42578125" style="311"/>
    <col min="1808" max="1809" width="0" style="311" hidden="1" customWidth="1"/>
    <col min="1810" max="1810" width="32.42578125" style="311" customWidth="1"/>
    <col min="1811" max="1823" width="14.5703125" style="311" customWidth="1"/>
    <col min="1824" max="2063" width="11.42578125" style="311"/>
    <col min="2064" max="2065" width="0" style="311" hidden="1" customWidth="1"/>
    <col min="2066" max="2066" width="32.42578125" style="311" customWidth="1"/>
    <col min="2067" max="2079" width="14.5703125" style="311" customWidth="1"/>
    <col min="2080" max="2319" width="11.42578125" style="311"/>
    <col min="2320" max="2321" width="0" style="311" hidden="1" customWidth="1"/>
    <col min="2322" max="2322" width="32.42578125" style="311" customWidth="1"/>
    <col min="2323" max="2335" width="14.5703125" style="311" customWidth="1"/>
    <col min="2336" max="2575" width="11.42578125" style="311"/>
    <col min="2576" max="2577" width="0" style="311" hidden="1" customWidth="1"/>
    <col min="2578" max="2578" width="32.42578125" style="311" customWidth="1"/>
    <col min="2579" max="2591" width="14.5703125" style="311" customWidth="1"/>
    <col min="2592" max="2831" width="11.42578125" style="311"/>
    <col min="2832" max="2833" width="0" style="311" hidden="1" customWidth="1"/>
    <col min="2834" max="2834" width="32.42578125" style="311" customWidth="1"/>
    <col min="2835" max="2847" width="14.5703125" style="311" customWidth="1"/>
    <col min="2848" max="3087" width="11.42578125" style="311"/>
    <col min="3088" max="3089" width="0" style="311" hidden="1" customWidth="1"/>
    <col min="3090" max="3090" width="32.42578125" style="311" customWidth="1"/>
    <col min="3091" max="3103" width="14.5703125" style="311" customWidth="1"/>
    <col min="3104" max="3343" width="11.42578125" style="311"/>
    <col min="3344" max="3345" width="0" style="311" hidden="1" customWidth="1"/>
    <col min="3346" max="3346" width="32.42578125" style="311" customWidth="1"/>
    <col min="3347" max="3359" width="14.5703125" style="311" customWidth="1"/>
    <col min="3360" max="3599" width="11.42578125" style="311"/>
    <col min="3600" max="3601" width="0" style="311" hidden="1" customWidth="1"/>
    <col min="3602" max="3602" width="32.42578125" style="311" customWidth="1"/>
    <col min="3603" max="3615" width="14.5703125" style="311" customWidth="1"/>
    <col min="3616" max="3855" width="11.42578125" style="311"/>
    <col min="3856" max="3857" width="0" style="311" hidden="1" customWidth="1"/>
    <col min="3858" max="3858" width="32.42578125" style="311" customWidth="1"/>
    <col min="3859" max="3871" width="14.5703125" style="311" customWidth="1"/>
    <col min="3872" max="4111" width="11.42578125" style="311"/>
    <col min="4112" max="4113" width="0" style="311" hidden="1" customWidth="1"/>
    <col min="4114" max="4114" width="32.42578125" style="311" customWidth="1"/>
    <col min="4115" max="4127" width="14.5703125" style="311" customWidth="1"/>
    <col min="4128" max="4367" width="11.42578125" style="311"/>
    <col min="4368" max="4369" width="0" style="311" hidden="1" customWidth="1"/>
    <col min="4370" max="4370" width="32.42578125" style="311" customWidth="1"/>
    <col min="4371" max="4383" width="14.5703125" style="311" customWidth="1"/>
    <col min="4384" max="4623" width="11.42578125" style="311"/>
    <col min="4624" max="4625" width="0" style="311" hidden="1" customWidth="1"/>
    <col min="4626" max="4626" width="32.42578125" style="311" customWidth="1"/>
    <col min="4627" max="4639" width="14.5703125" style="311" customWidth="1"/>
    <col min="4640" max="4879" width="11.42578125" style="311"/>
    <col min="4880" max="4881" width="0" style="311" hidden="1" customWidth="1"/>
    <col min="4882" max="4882" width="32.42578125" style="311" customWidth="1"/>
    <col min="4883" max="4895" width="14.5703125" style="311" customWidth="1"/>
    <col min="4896" max="5135" width="11.42578125" style="311"/>
    <col min="5136" max="5137" width="0" style="311" hidden="1" customWidth="1"/>
    <col min="5138" max="5138" width="32.42578125" style="311" customWidth="1"/>
    <col min="5139" max="5151" width="14.5703125" style="311" customWidth="1"/>
    <col min="5152" max="5391" width="11.42578125" style="311"/>
    <col min="5392" max="5393" width="0" style="311" hidden="1" customWidth="1"/>
    <col min="5394" max="5394" width="32.42578125" style="311" customWidth="1"/>
    <col min="5395" max="5407" width="14.5703125" style="311" customWidth="1"/>
    <col min="5408" max="5647" width="11.42578125" style="311"/>
    <col min="5648" max="5649" width="0" style="311" hidden="1" customWidth="1"/>
    <col min="5650" max="5650" width="32.42578125" style="311" customWidth="1"/>
    <col min="5651" max="5663" width="14.5703125" style="311" customWidth="1"/>
    <col min="5664" max="5903" width="11.42578125" style="311"/>
    <col min="5904" max="5905" width="0" style="311" hidden="1" customWidth="1"/>
    <col min="5906" max="5906" width="32.42578125" style="311" customWidth="1"/>
    <col min="5907" max="5919" width="14.5703125" style="311" customWidth="1"/>
    <col min="5920" max="6159" width="11.42578125" style="311"/>
    <col min="6160" max="6161" width="0" style="311" hidden="1" customWidth="1"/>
    <col min="6162" max="6162" width="32.42578125" style="311" customWidth="1"/>
    <col min="6163" max="6175" width="14.5703125" style="311" customWidth="1"/>
    <col min="6176" max="6415" width="11.42578125" style="311"/>
    <col min="6416" max="6417" width="0" style="311" hidden="1" customWidth="1"/>
    <col min="6418" max="6418" width="32.42578125" style="311" customWidth="1"/>
    <col min="6419" max="6431" width="14.5703125" style="311" customWidth="1"/>
    <col min="6432" max="6671" width="11.42578125" style="311"/>
    <col min="6672" max="6673" width="0" style="311" hidden="1" customWidth="1"/>
    <col min="6674" max="6674" width="32.42578125" style="311" customWidth="1"/>
    <col min="6675" max="6687" width="14.5703125" style="311" customWidth="1"/>
    <col min="6688" max="6927" width="11.42578125" style="311"/>
    <col min="6928" max="6929" width="0" style="311" hidden="1" customWidth="1"/>
    <col min="6930" max="6930" width="32.42578125" style="311" customWidth="1"/>
    <col min="6931" max="6943" width="14.5703125" style="311" customWidth="1"/>
    <col min="6944" max="7183" width="11.42578125" style="311"/>
    <col min="7184" max="7185" width="0" style="311" hidden="1" customWidth="1"/>
    <col min="7186" max="7186" width="32.42578125" style="311" customWidth="1"/>
    <col min="7187" max="7199" width="14.5703125" style="311" customWidth="1"/>
    <col min="7200" max="7439" width="11.42578125" style="311"/>
    <col min="7440" max="7441" width="0" style="311" hidden="1" customWidth="1"/>
    <col min="7442" max="7442" width="32.42578125" style="311" customWidth="1"/>
    <col min="7443" max="7455" width="14.5703125" style="311" customWidth="1"/>
    <col min="7456" max="7695" width="11.42578125" style="311"/>
    <col min="7696" max="7697" width="0" style="311" hidden="1" customWidth="1"/>
    <col min="7698" max="7698" width="32.42578125" style="311" customWidth="1"/>
    <col min="7699" max="7711" width="14.5703125" style="311" customWidth="1"/>
    <col min="7712" max="7951" width="11.42578125" style="311"/>
    <col min="7952" max="7953" width="0" style="311" hidden="1" customWidth="1"/>
    <col min="7954" max="7954" width="32.42578125" style="311" customWidth="1"/>
    <col min="7955" max="7967" width="14.5703125" style="311" customWidth="1"/>
    <col min="7968" max="8207" width="11.42578125" style="311"/>
    <col min="8208" max="8209" width="0" style="311" hidden="1" customWidth="1"/>
    <col min="8210" max="8210" width="32.42578125" style="311" customWidth="1"/>
    <col min="8211" max="8223" width="14.5703125" style="311" customWidth="1"/>
    <col min="8224" max="8463" width="11.42578125" style="311"/>
    <col min="8464" max="8465" width="0" style="311" hidden="1" customWidth="1"/>
    <col min="8466" max="8466" width="32.42578125" style="311" customWidth="1"/>
    <col min="8467" max="8479" width="14.5703125" style="311" customWidth="1"/>
    <col min="8480" max="8719" width="11.42578125" style="311"/>
    <col min="8720" max="8721" width="0" style="311" hidden="1" customWidth="1"/>
    <col min="8722" max="8722" width="32.42578125" style="311" customWidth="1"/>
    <col min="8723" max="8735" width="14.5703125" style="311" customWidth="1"/>
    <col min="8736" max="8975" width="11.42578125" style="311"/>
    <col min="8976" max="8977" width="0" style="311" hidden="1" customWidth="1"/>
    <col min="8978" max="8978" width="32.42578125" style="311" customWidth="1"/>
    <col min="8979" max="8991" width="14.5703125" style="311" customWidth="1"/>
    <col min="8992" max="9231" width="11.42578125" style="311"/>
    <col min="9232" max="9233" width="0" style="311" hidden="1" customWidth="1"/>
    <col min="9234" max="9234" width="32.42578125" style="311" customWidth="1"/>
    <col min="9235" max="9247" width="14.5703125" style="311" customWidth="1"/>
    <col min="9248" max="9487" width="11.42578125" style="311"/>
    <col min="9488" max="9489" width="0" style="311" hidden="1" customWidth="1"/>
    <col min="9490" max="9490" width="32.42578125" style="311" customWidth="1"/>
    <col min="9491" max="9503" width="14.5703125" style="311" customWidth="1"/>
    <col min="9504" max="9743" width="11.42578125" style="311"/>
    <col min="9744" max="9745" width="0" style="311" hidden="1" customWidth="1"/>
    <col min="9746" max="9746" width="32.42578125" style="311" customWidth="1"/>
    <col min="9747" max="9759" width="14.5703125" style="311" customWidth="1"/>
    <col min="9760" max="9999" width="11.42578125" style="311"/>
    <col min="10000" max="10001" width="0" style="311" hidden="1" customWidth="1"/>
    <col min="10002" max="10002" width="32.42578125" style="311" customWidth="1"/>
    <col min="10003" max="10015" width="14.5703125" style="311" customWidth="1"/>
    <col min="10016" max="10255" width="11.42578125" style="311"/>
    <col min="10256" max="10257" width="0" style="311" hidden="1" customWidth="1"/>
    <col min="10258" max="10258" width="32.42578125" style="311" customWidth="1"/>
    <col min="10259" max="10271" width="14.5703125" style="311" customWidth="1"/>
    <col min="10272" max="10511" width="11.42578125" style="311"/>
    <col min="10512" max="10513" width="0" style="311" hidden="1" customWidth="1"/>
    <col min="10514" max="10514" width="32.42578125" style="311" customWidth="1"/>
    <col min="10515" max="10527" width="14.5703125" style="311" customWidth="1"/>
    <col min="10528" max="10767" width="11.42578125" style="311"/>
    <col min="10768" max="10769" width="0" style="311" hidden="1" customWidth="1"/>
    <col min="10770" max="10770" width="32.42578125" style="311" customWidth="1"/>
    <col min="10771" max="10783" width="14.5703125" style="311" customWidth="1"/>
    <col min="10784" max="11023" width="11.42578125" style="311"/>
    <col min="11024" max="11025" width="0" style="311" hidden="1" customWidth="1"/>
    <col min="11026" max="11026" width="32.42578125" style="311" customWidth="1"/>
    <col min="11027" max="11039" width="14.5703125" style="311" customWidth="1"/>
    <col min="11040" max="11279" width="11.42578125" style="311"/>
    <col min="11280" max="11281" width="0" style="311" hidden="1" customWidth="1"/>
    <col min="11282" max="11282" width="32.42578125" style="311" customWidth="1"/>
    <col min="11283" max="11295" width="14.5703125" style="311" customWidth="1"/>
    <col min="11296" max="11535" width="11.42578125" style="311"/>
    <col min="11536" max="11537" width="0" style="311" hidden="1" customWidth="1"/>
    <col min="11538" max="11538" width="32.42578125" style="311" customWidth="1"/>
    <col min="11539" max="11551" width="14.5703125" style="311" customWidth="1"/>
    <col min="11552" max="11791" width="11.42578125" style="311"/>
    <col min="11792" max="11793" width="0" style="311" hidden="1" customWidth="1"/>
    <col min="11794" max="11794" width="32.42578125" style="311" customWidth="1"/>
    <col min="11795" max="11807" width="14.5703125" style="311" customWidth="1"/>
    <col min="11808" max="12047" width="11.42578125" style="311"/>
    <col min="12048" max="12049" width="0" style="311" hidden="1" customWidth="1"/>
    <col min="12050" max="12050" width="32.42578125" style="311" customWidth="1"/>
    <col min="12051" max="12063" width="14.5703125" style="311" customWidth="1"/>
    <col min="12064" max="12303" width="11.42578125" style="311"/>
    <col min="12304" max="12305" width="0" style="311" hidden="1" customWidth="1"/>
    <col min="12306" max="12306" width="32.42578125" style="311" customWidth="1"/>
    <col min="12307" max="12319" width="14.5703125" style="311" customWidth="1"/>
    <col min="12320" max="12559" width="11.42578125" style="311"/>
    <col min="12560" max="12561" width="0" style="311" hidden="1" customWidth="1"/>
    <col min="12562" max="12562" width="32.42578125" style="311" customWidth="1"/>
    <col min="12563" max="12575" width="14.5703125" style="311" customWidth="1"/>
    <col min="12576" max="12815" width="11.42578125" style="311"/>
    <col min="12816" max="12817" width="0" style="311" hidden="1" customWidth="1"/>
    <col min="12818" max="12818" width="32.42578125" style="311" customWidth="1"/>
    <col min="12819" max="12831" width="14.5703125" style="311" customWidth="1"/>
    <col min="12832" max="13071" width="11.42578125" style="311"/>
    <col min="13072" max="13073" width="0" style="311" hidden="1" customWidth="1"/>
    <col min="13074" max="13074" width="32.42578125" style="311" customWidth="1"/>
    <col min="13075" max="13087" width="14.5703125" style="311" customWidth="1"/>
    <col min="13088" max="13327" width="11.42578125" style="311"/>
    <col min="13328" max="13329" width="0" style="311" hidden="1" customWidth="1"/>
    <col min="13330" max="13330" width="32.42578125" style="311" customWidth="1"/>
    <col min="13331" max="13343" width="14.5703125" style="311" customWidth="1"/>
    <col min="13344" max="13583" width="11.42578125" style="311"/>
    <col min="13584" max="13585" width="0" style="311" hidden="1" customWidth="1"/>
    <col min="13586" max="13586" width="32.42578125" style="311" customWidth="1"/>
    <col min="13587" max="13599" width="14.5703125" style="311" customWidth="1"/>
    <col min="13600" max="13839" width="11.42578125" style="311"/>
    <col min="13840" max="13841" width="0" style="311" hidden="1" customWidth="1"/>
    <col min="13842" max="13842" width="32.42578125" style="311" customWidth="1"/>
    <col min="13843" max="13855" width="14.5703125" style="311" customWidth="1"/>
    <col min="13856" max="14095" width="11.42578125" style="311"/>
    <col min="14096" max="14097" width="0" style="311" hidden="1" customWidth="1"/>
    <col min="14098" max="14098" width="32.42578125" style="311" customWidth="1"/>
    <col min="14099" max="14111" width="14.5703125" style="311" customWidth="1"/>
    <col min="14112" max="14351" width="11.42578125" style="311"/>
    <col min="14352" max="14353" width="0" style="311" hidden="1" customWidth="1"/>
    <col min="14354" max="14354" width="32.42578125" style="311" customWidth="1"/>
    <col min="14355" max="14367" width="14.5703125" style="311" customWidth="1"/>
    <col min="14368" max="14607" width="11.42578125" style="311"/>
    <col min="14608" max="14609" width="0" style="311" hidden="1" customWidth="1"/>
    <col min="14610" max="14610" width="32.42578125" style="311" customWidth="1"/>
    <col min="14611" max="14623" width="14.5703125" style="311" customWidth="1"/>
    <col min="14624" max="14863" width="11.42578125" style="311"/>
    <col min="14864" max="14865" width="0" style="311" hidden="1" customWidth="1"/>
    <col min="14866" max="14866" width="32.42578125" style="311" customWidth="1"/>
    <col min="14867" max="14879" width="14.5703125" style="311" customWidth="1"/>
    <col min="14880" max="15119" width="11.42578125" style="311"/>
    <col min="15120" max="15121" width="0" style="311" hidden="1" customWidth="1"/>
    <col min="15122" max="15122" width="32.42578125" style="311" customWidth="1"/>
    <col min="15123" max="15135" width="14.5703125" style="311" customWidth="1"/>
    <col min="15136" max="15375" width="11.42578125" style="311"/>
    <col min="15376" max="15377" width="0" style="311" hidden="1" customWidth="1"/>
    <col min="15378" max="15378" width="32.42578125" style="311" customWidth="1"/>
    <col min="15379" max="15391" width="14.5703125" style="311" customWidth="1"/>
    <col min="15392" max="15631" width="11.42578125" style="311"/>
    <col min="15632" max="15633" width="0" style="311" hidden="1" customWidth="1"/>
    <col min="15634" max="15634" width="32.42578125" style="311" customWidth="1"/>
    <col min="15635" max="15647" width="14.5703125" style="311" customWidth="1"/>
    <col min="15648" max="15887" width="11.42578125" style="311"/>
    <col min="15888" max="15889" width="0" style="311" hidden="1" customWidth="1"/>
    <col min="15890" max="15890" width="32.42578125" style="311" customWidth="1"/>
    <col min="15891" max="15903" width="14.5703125" style="311" customWidth="1"/>
    <col min="15904" max="16143" width="11.42578125" style="311"/>
    <col min="16144" max="16145" width="0" style="311" hidden="1" customWidth="1"/>
    <col min="16146" max="16146" width="32.42578125" style="311" customWidth="1"/>
    <col min="16147" max="16159" width="14.5703125" style="311" customWidth="1"/>
    <col min="16160" max="16384" width="11.42578125" style="311"/>
  </cols>
  <sheetData>
    <row r="1" spans="1:43" s="306" customFormat="1" x14ac:dyDescent="0.2">
      <c r="B1" s="332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10"/>
      <c r="S1" s="629">
        <f>+Datos_Generales!E41</f>
        <v>0</v>
      </c>
      <c r="T1" s="629">
        <f>+Datos_Generales!F41</f>
        <v>0</v>
      </c>
      <c r="U1" s="629">
        <f>+Datos_Generales!G41</f>
        <v>0</v>
      </c>
      <c r="V1" s="629">
        <f>+Datos_Generales!H41</f>
        <v>0</v>
      </c>
      <c r="W1" s="629">
        <f>+Datos_Generales!I41</f>
        <v>0</v>
      </c>
      <c r="X1" s="629">
        <f>+Datos_Generales!J41</f>
        <v>0</v>
      </c>
      <c r="Y1" s="629">
        <f>+Datos_Generales!K41</f>
        <v>0</v>
      </c>
      <c r="Z1" s="629">
        <f>+Datos_Generales!L41</f>
        <v>0</v>
      </c>
      <c r="AA1" s="629">
        <f>+Datos_Generales!M41</f>
        <v>0</v>
      </c>
      <c r="AB1" s="629">
        <f>+Datos_Generales!N41</f>
        <v>0</v>
      </c>
      <c r="AC1" s="629">
        <f>+Datos_Generales!O41</f>
        <v>0</v>
      </c>
      <c r="AD1" s="629">
        <f>+Datos_Generales!P41</f>
        <v>0</v>
      </c>
      <c r="AE1" s="310"/>
      <c r="AF1" s="629">
        <f>+Datos_Generales!E41</f>
        <v>0</v>
      </c>
      <c r="AG1" s="629">
        <f>+Datos_Generales!F41</f>
        <v>0</v>
      </c>
      <c r="AH1" s="629">
        <f>+Datos_Generales!G41</f>
        <v>0</v>
      </c>
      <c r="AI1" s="629">
        <f>+Datos_Generales!H41</f>
        <v>0</v>
      </c>
      <c r="AJ1" s="629">
        <f>+Datos_Generales!I41</f>
        <v>0</v>
      </c>
      <c r="AK1" s="629">
        <f>+Datos_Generales!J41</f>
        <v>0</v>
      </c>
      <c r="AL1" s="629">
        <f>+Datos_Generales!K41</f>
        <v>0</v>
      </c>
      <c r="AM1" s="629">
        <f>+Datos_Generales!L41</f>
        <v>0</v>
      </c>
      <c r="AN1" s="629">
        <f>+Datos_Generales!M41</f>
        <v>0</v>
      </c>
      <c r="AO1" s="629">
        <f>+Datos_Generales!N41</f>
        <v>0</v>
      </c>
      <c r="AP1" s="629">
        <f>+Datos_Generales!O41</f>
        <v>0</v>
      </c>
      <c r="AQ1" s="629">
        <f>+Datos_Generales!P41</f>
        <v>0</v>
      </c>
    </row>
    <row r="2" spans="1:43" x14ac:dyDescent="0.2">
      <c r="B2" s="307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08"/>
      <c r="S2" s="939" t="s">
        <v>142</v>
      </c>
      <c r="T2" s="939"/>
      <c r="U2" s="939"/>
      <c r="V2" s="939"/>
      <c r="W2" s="939"/>
      <c r="X2" s="939"/>
      <c r="Y2" s="939"/>
      <c r="Z2" s="939"/>
      <c r="AA2" s="939"/>
      <c r="AB2" s="939"/>
      <c r="AC2" s="939"/>
      <c r="AD2" s="939"/>
      <c r="AE2" s="310"/>
      <c r="AF2" s="940" t="s">
        <v>143</v>
      </c>
      <c r="AG2" s="940"/>
      <c r="AH2" s="940"/>
      <c r="AI2" s="940"/>
      <c r="AJ2" s="940"/>
      <c r="AK2" s="940"/>
      <c r="AL2" s="940"/>
      <c r="AM2" s="940"/>
      <c r="AN2" s="940"/>
      <c r="AO2" s="940"/>
      <c r="AP2" s="940"/>
      <c r="AQ2" s="940"/>
    </row>
    <row r="3" spans="1:43" x14ac:dyDescent="0.2">
      <c r="A3" s="708"/>
      <c r="B3" s="708" t="s">
        <v>144</v>
      </c>
      <c r="C3" s="708"/>
      <c r="D3" s="708"/>
      <c r="E3" s="708"/>
      <c r="F3" s="708"/>
      <c r="G3" s="708"/>
      <c r="H3" s="708"/>
      <c r="I3" s="708"/>
      <c r="J3" s="708"/>
      <c r="K3" s="708"/>
      <c r="L3" s="708"/>
      <c r="M3" s="708"/>
      <c r="N3" s="708"/>
      <c r="O3" s="708"/>
      <c r="P3" s="708"/>
      <c r="Q3" s="708"/>
      <c r="R3" s="310"/>
      <c r="S3" s="743">
        <f>IF(Datos_Generales!$E$15&gt;0,1,0)</f>
        <v>0</v>
      </c>
      <c r="T3" s="743">
        <f>IF(Datos_Generales!$E$15&gt;1,1,0)</f>
        <v>0</v>
      </c>
      <c r="U3" s="743">
        <f>IF(Datos_Generales!$E$15&gt;2,1,0)</f>
        <v>0</v>
      </c>
      <c r="V3" s="743">
        <f>IF(Datos_Generales!$E$15&gt;3,1,0)</f>
        <v>0</v>
      </c>
      <c r="W3" s="743">
        <f>IF(Datos_Generales!$E$15&gt;4,1,0)</f>
        <v>0</v>
      </c>
      <c r="X3" s="743">
        <f>IF(Datos_Generales!$E$15&gt;5,1,0)</f>
        <v>0</v>
      </c>
      <c r="Y3" s="743">
        <f>IF(Datos_Generales!$E$15&gt;6,1,0)</f>
        <v>0</v>
      </c>
      <c r="Z3" s="743">
        <f>IF(Datos_Generales!$E$15&gt;7,1,0)</f>
        <v>0</v>
      </c>
      <c r="AA3" s="743">
        <f>IF(Datos_Generales!$E$15&gt;8,1,0)</f>
        <v>0</v>
      </c>
      <c r="AB3" s="743">
        <f>IF(Datos_Generales!$E$15&gt;9,1,0)</f>
        <v>0</v>
      </c>
      <c r="AC3" s="743">
        <f>IF(Datos_Generales!$E$15&gt;10,1,0)</f>
        <v>0</v>
      </c>
      <c r="AD3" s="743">
        <f>IF(Datos_Generales!$E$15&gt;11,1,0)</f>
        <v>0</v>
      </c>
      <c r="AE3" s="312"/>
      <c r="AF3" s="743">
        <f>IF(Datos_Generales!$E$15&gt;0,1,0)</f>
        <v>0</v>
      </c>
      <c r="AG3" s="743">
        <f>IF(Datos_Generales!$E$15&gt;0,1,0)</f>
        <v>0</v>
      </c>
      <c r="AH3" s="743">
        <f>IF(Datos_Generales!$E$15&gt;2,1,0)</f>
        <v>0</v>
      </c>
      <c r="AI3" s="743">
        <f>IF(Datos_Generales!$E$15&gt;3,1,0)</f>
        <v>0</v>
      </c>
      <c r="AJ3" s="743">
        <f>IF(Datos_Generales!$E$15&gt;4,1,0)</f>
        <v>0</v>
      </c>
      <c r="AK3" s="743">
        <f>IF(Datos_Generales!$E$15&gt;5,1,0)</f>
        <v>0</v>
      </c>
      <c r="AL3" s="743">
        <f>IF(Datos_Generales!$E$15&gt;6,1,0)</f>
        <v>0</v>
      </c>
      <c r="AM3" s="743">
        <f>IF(Datos_Generales!$E$15&gt;7,1,0)</f>
        <v>0</v>
      </c>
      <c r="AN3" s="743">
        <f>IF(Datos_Generales!$E$15&gt;8,1,0)</f>
        <v>0</v>
      </c>
      <c r="AO3" s="743">
        <f>IF(Datos_Generales!$E$15&gt;9,1,0)</f>
        <v>0</v>
      </c>
      <c r="AP3" s="743">
        <f>IF(Datos_Generales!$E$15&gt;10,1,0)</f>
        <v>0</v>
      </c>
      <c r="AQ3" s="743">
        <f>IF(Datos_Generales!$E$15&gt;11,1,0)</f>
        <v>0</v>
      </c>
    </row>
    <row r="4" spans="1:43" ht="28.5" customHeight="1" x14ac:dyDescent="0.2">
      <c r="A4" s="711" t="s">
        <v>145</v>
      </c>
      <c r="B4" s="744" t="s">
        <v>146</v>
      </c>
      <c r="C4" s="711" t="s">
        <v>147</v>
      </c>
      <c r="D4" s="711" t="s">
        <v>148</v>
      </c>
      <c r="E4" s="711" t="s">
        <v>149</v>
      </c>
      <c r="F4" s="709" t="s">
        <v>150</v>
      </c>
      <c r="G4" s="709" t="s">
        <v>151</v>
      </c>
      <c r="H4" s="709" t="s">
        <v>152</v>
      </c>
      <c r="I4" s="711" t="s">
        <v>153</v>
      </c>
      <c r="J4" s="711" t="s">
        <v>154</v>
      </c>
      <c r="K4" s="709" t="s">
        <v>155</v>
      </c>
      <c r="L4" s="709" t="s">
        <v>156</v>
      </c>
      <c r="M4" s="709" t="s">
        <v>157</v>
      </c>
      <c r="N4" s="711" t="s">
        <v>118</v>
      </c>
      <c r="O4" s="711" t="s">
        <v>158</v>
      </c>
      <c r="P4" s="709" t="s">
        <v>159</v>
      </c>
      <c r="Q4" s="711" t="s">
        <v>160</v>
      </c>
      <c r="R4" s="310"/>
      <c r="S4" s="745">
        <f>+Datos_Generales!E36</f>
        <v>45596</v>
      </c>
      <c r="T4" s="745">
        <f>+Datos_Generales!F36</f>
        <v>45626</v>
      </c>
      <c r="U4" s="745">
        <f>+Datos_Generales!G36</f>
        <v>45657</v>
      </c>
      <c r="V4" s="745">
        <f>+Datos_Generales!H36</f>
        <v>45688</v>
      </c>
      <c r="W4" s="745">
        <f>+Datos_Generales!I36</f>
        <v>45716</v>
      </c>
      <c r="X4" s="745">
        <f>+Datos_Generales!J36</f>
        <v>45747</v>
      </c>
      <c r="Y4" s="745">
        <f>+Datos_Generales!K36</f>
        <v>45777</v>
      </c>
      <c r="Z4" s="745">
        <f>+Datos_Generales!L36</f>
        <v>45808</v>
      </c>
      <c r="AA4" s="745">
        <f>+Datos_Generales!M36</f>
        <v>45838</v>
      </c>
      <c r="AB4" s="745">
        <f>+Datos_Generales!N36</f>
        <v>45869</v>
      </c>
      <c r="AC4" s="745">
        <f>+Datos_Generales!O36</f>
        <v>45900</v>
      </c>
      <c r="AD4" s="745">
        <f>+Datos_Generales!P36</f>
        <v>45930</v>
      </c>
      <c r="AE4" s="312"/>
      <c r="AF4" s="745">
        <f>+Datos_Generales!E36</f>
        <v>45596</v>
      </c>
      <c r="AG4" s="745">
        <f>+Datos_Generales!F36</f>
        <v>45626</v>
      </c>
      <c r="AH4" s="745">
        <f>+Datos_Generales!G36</f>
        <v>45657</v>
      </c>
      <c r="AI4" s="745">
        <f>+Datos_Generales!H36</f>
        <v>45688</v>
      </c>
      <c r="AJ4" s="745">
        <f>+Datos_Generales!I36</f>
        <v>45716</v>
      </c>
      <c r="AK4" s="745">
        <f>+Datos_Generales!J36</f>
        <v>45747</v>
      </c>
      <c r="AL4" s="745">
        <f>+Datos_Generales!K36</f>
        <v>45777</v>
      </c>
      <c r="AM4" s="745">
        <f>+Datos_Generales!L36</f>
        <v>45808</v>
      </c>
      <c r="AN4" s="745">
        <f>+Datos_Generales!M36</f>
        <v>45838</v>
      </c>
      <c r="AO4" s="745">
        <f>+Datos_Generales!N36</f>
        <v>45869</v>
      </c>
      <c r="AP4" s="745">
        <f>+Datos_Generales!O36</f>
        <v>45900</v>
      </c>
      <c r="AQ4" s="745">
        <f>+Datos_Generales!P36</f>
        <v>45930</v>
      </c>
    </row>
    <row r="5" spans="1:43" ht="14.25" customHeight="1" x14ac:dyDescent="0.2">
      <c r="A5" s="887"/>
      <c r="B5" s="888"/>
      <c r="C5" s="887">
        <v>30</v>
      </c>
      <c r="D5" s="889"/>
      <c r="E5" s="749">
        <f>+D5/5</f>
        <v>0</v>
      </c>
      <c r="F5" s="710" t="str">
        <f ca="1">IFERROR(VLOOKUP(B5,INDIRECT(VLOOKUP(Datos_Generales!$E$11,personal_Rangos,2,FALSE)),44,FALSE)*((D5/40)*A5)/30*C5,"")</f>
        <v/>
      </c>
      <c r="G5" s="710">
        <f ca="1">IFERROR(F5*Datos_Generales!$K$9,0)</f>
        <v>0</v>
      </c>
      <c r="H5" s="750" t="str">
        <f ca="1">IFERROR(VLOOKUP(B5,INDIRECT(VLOOKUP(Datos_Generales!$E$11,personal_Rangos,2,FALSE)),42,FALSE)*A5+VLOOKUP(B5,INDIRECT(VLOOKUP(Datos_Generales!$E$11,personal_Rangos,2,FALSE)),38,FALSE)*(D5/40)*A5,"")</f>
        <v/>
      </c>
      <c r="I5" s="746"/>
      <c r="J5" s="748" t="str">
        <f>IFERROR((Complementos!$J$84/$A$31/Datos_Generales!$E$15)*A5,"")</f>
        <v/>
      </c>
      <c r="K5" s="751" t="str">
        <f ca="1">IFERROR(IF(L5/A5=0,"",L5/A5),"")</f>
        <v/>
      </c>
      <c r="L5" s="752" t="str">
        <f ca="1">IFERROR((F5+G5+I5+J5)+H5/Datos_Generales!$E$15,"")</f>
        <v/>
      </c>
      <c r="M5" s="897"/>
      <c r="N5" s="754"/>
      <c r="O5" s="755">
        <f>M5*(1+N5)</f>
        <v>0</v>
      </c>
      <c r="P5" s="756">
        <f>+O5*A5</f>
        <v>0</v>
      </c>
      <c r="Q5" s="757" t="str">
        <f ca="1">IFERROR(IF(P5-L5=0,"",P5-L5),"")</f>
        <v/>
      </c>
      <c r="S5" s="758"/>
      <c r="T5" s="758"/>
      <c r="U5" s="758"/>
      <c r="V5" s="758"/>
      <c r="W5" s="758"/>
      <c r="X5" s="758"/>
      <c r="Y5" s="758"/>
      <c r="Z5" s="758"/>
      <c r="AA5" s="758"/>
      <c r="AB5" s="758"/>
      <c r="AC5" s="758"/>
      <c r="AD5" s="758"/>
      <c r="AE5" s="318"/>
      <c r="AF5" s="758"/>
      <c r="AG5" s="758"/>
      <c r="AH5" s="758"/>
      <c r="AI5" s="758"/>
      <c r="AJ5" s="758"/>
      <c r="AK5" s="758"/>
      <c r="AL5" s="758"/>
      <c r="AM5" s="758"/>
      <c r="AN5" s="758"/>
      <c r="AO5" s="758"/>
      <c r="AP5" s="758"/>
      <c r="AQ5" s="758"/>
    </row>
    <row r="6" spans="1:43" ht="14.25" customHeight="1" x14ac:dyDescent="0.2">
      <c r="A6" s="746"/>
      <c r="B6" s="747"/>
      <c r="C6" s="746">
        <v>30</v>
      </c>
      <c r="D6" s="748"/>
      <c r="E6" s="749">
        <f t="shared" ref="E6:E30" si="0">+D6/5</f>
        <v>0</v>
      </c>
      <c r="F6" s="710" t="str">
        <f ca="1">IFERROR(VLOOKUP(B6,INDIRECT(VLOOKUP(Datos_Generales!$E$11,personal_Rangos,2,FALSE)),44,FALSE)*((D6/40)*A6)/30*C6,"")</f>
        <v/>
      </c>
      <c r="G6" s="710">
        <f ca="1">IFERROR(F6*Datos_Generales!$K$9,0)</f>
        <v>0</v>
      </c>
      <c r="H6" s="750" t="str">
        <f ca="1">IFERROR(VLOOKUP(B6,INDIRECT(VLOOKUP(Datos_Generales!$E$11,personal_Rangos,2,FALSE)),42,FALSE)*A6+VLOOKUP(B6,INDIRECT(VLOOKUP(Datos_Generales!$E$11,personal_Rangos,2,FALSE)),38,FALSE)*(D6/40)*A6,"")</f>
        <v/>
      </c>
      <c r="I6" s="746"/>
      <c r="J6" s="748" t="str">
        <f>IFERROR((Complementos!$J$84/$A$31/Datos_Generales!$E$15)*A6,"")</f>
        <v/>
      </c>
      <c r="K6" s="751" t="str">
        <f t="shared" ref="K6:K30" ca="1" si="1">IFERROR(IF(L6/A6=0,"",L6/A6),"")</f>
        <v/>
      </c>
      <c r="L6" s="752" t="str">
        <f ca="1">IFERROR((F6+G6+I6+J6)+H6/Datos_Generales!$E$15,"")</f>
        <v/>
      </c>
      <c r="M6" s="897"/>
      <c r="N6" s="754"/>
      <c r="O6" s="755">
        <f>M6*(1+N6)</f>
        <v>0</v>
      </c>
      <c r="P6" s="756">
        <f>+O6*A6</f>
        <v>0</v>
      </c>
      <c r="Q6" s="757" t="str">
        <f t="shared" ref="Q6:Q30" ca="1" si="2">IFERROR(IF(P6-L6=0,"",P6-L6),"")</f>
        <v/>
      </c>
      <c r="S6" s="758"/>
      <c r="T6" s="758"/>
      <c r="U6" s="758"/>
      <c r="V6" s="758"/>
      <c r="W6" s="758"/>
      <c r="X6" s="758"/>
      <c r="Y6" s="758"/>
      <c r="Z6" s="758"/>
      <c r="AA6" s="758"/>
      <c r="AB6" s="758"/>
      <c r="AC6" s="758"/>
      <c r="AD6" s="758"/>
      <c r="AE6" s="318"/>
      <c r="AF6" s="758"/>
      <c r="AG6" s="758"/>
      <c r="AH6" s="758"/>
      <c r="AI6" s="758"/>
      <c r="AJ6" s="758"/>
      <c r="AK6" s="758"/>
      <c r="AL6" s="758"/>
      <c r="AM6" s="758"/>
      <c r="AN6" s="758"/>
      <c r="AO6" s="758"/>
      <c r="AP6" s="758"/>
      <c r="AQ6" s="758"/>
    </row>
    <row r="7" spans="1:43" ht="14.25" customHeight="1" x14ac:dyDescent="0.2">
      <c r="A7" s="746"/>
      <c r="B7" s="747"/>
      <c r="C7" s="746">
        <v>30</v>
      </c>
      <c r="D7" s="748"/>
      <c r="E7" s="749">
        <f t="shared" si="0"/>
        <v>0</v>
      </c>
      <c r="F7" s="710" t="str">
        <f ca="1">IFERROR(VLOOKUP(B7,INDIRECT(VLOOKUP(Datos_Generales!$E$11,personal_Rangos,2,FALSE)),44,FALSE)*((D7/40)*A7)/30*C7,"")</f>
        <v/>
      </c>
      <c r="G7" s="710">
        <f ca="1">IFERROR(F7*Datos_Generales!$K$9,0)</f>
        <v>0</v>
      </c>
      <c r="H7" s="750" t="str">
        <f ca="1">IFERROR(VLOOKUP(B7,INDIRECT(VLOOKUP(Datos_Generales!$E$11,personal_Rangos,2,FALSE)),42,FALSE)*A7+VLOOKUP(B7,INDIRECT(VLOOKUP(Datos_Generales!$E$11,personal_Rangos,2,FALSE)),38,FALSE)*(D7/40)*A7,"")</f>
        <v/>
      </c>
      <c r="I7" s="746"/>
      <c r="J7" s="748" t="str">
        <f>IFERROR((Complementos!$J$84/$A$31/Datos_Generales!$E$15)*A7,"")</f>
        <v/>
      </c>
      <c r="K7" s="751" t="str">
        <f t="shared" ca="1" si="1"/>
        <v/>
      </c>
      <c r="L7" s="752" t="str">
        <f ca="1">IFERROR((F7+G7+I7+J7)+H7/Datos_Generales!$E$15,"")</f>
        <v/>
      </c>
      <c r="M7" s="897"/>
      <c r="N7" s="754"/>
      <c r="O7" s="755">
        <f>M7*(1+N7)</f>
        <v>0</v>
      </c>
      <c r="P7" s="756">
        <f>+O7*A7</f>
        <v>0</v>
      </c>
      <c r="Q7" s="757" t="str">
        <f t="shared" ca="1" si="2"/>
        <v/>
      </c>
      <c r="S7" s="758"/>
      <c r="T7" s="758"/>
      <c r="U7" s="758"/>
      <c r="V7" s="758"/>
      <c r="W7" s="758"/>
      <c r="X7" s="758"/>
      <c r="Y7" s="758"/>
      <c r="Z7" s="758"/>
      <c r="AA7" s="758"/>
      <c r="AB7" s="758"/>
      <c r="AC7" s="758"/>
      <c r="AD7" s="758"/>
      <c r="AE7" s="318"/>
      <c r="AF7" s="758"/>
      <c r="AG7" s="758"/>
      <c r="AH7" s="758"/>
      <c r="AI7" s="758"/>
      <c r="AJ7" s="758"/>
      <c r="AK7" s="758"/>
      <c r="AL7" s="758"/>
      <c r="AM7" s="758"/>
      <c r="AN7" s="758"/>
      <c r="AO7" s="758"/>
      <c r="AP7" s="758"/>
      <c r="AQ7" s="758"/>
    </row>
    <row r="8" spans="1:43" ht="14.25" customHeight="1" x14ac:dyDescent="0.2">
      <c r="A8" s="746"/>
      <c r="B8" s="747"/>
      <c r="C8" s="746">
        <v>30</v>
      </c>
      <c r="D8" s="748"/>
      <c r="E8" s="749">
        <f t="shared" si="0"/>
        <v>0</v>
      </c>
      <c r="F8" s="710" t="str">
        <f ca="1">IFERROR(VLOOKUP(B8,INDIRECT(VLOOKUP(Datos_Generales!$E$11,personal_Rangos,2,FALSE)),44,FALSE)*((D8/40)*A8)/30*C8,"")</f>
        <v/>
      </c>
      <c r="G8" s="710">
        <f ca="1">IFERROR(F8*Datos_Generales!$K$9,0)</f>
        <v>0</v>
      </c>
      <c r="H8" s="750" t="str">
        <f ca="1">IFERROR(VLOOKUP(B8,INDIRECT(VLOOKUP(Datos_Generales!$E$11,personal_Rangos,2,FALSE)),42,FALSE)*A8+VLOOKUP(B8,INDIRECT(VLOOKUP(Datos_Generales!$E$11,personal_Rangos,2,FALSE)),38,FALSE)*(D8/40)*A8,"")</f>
        <v/>
      </c>
      <c r="I8" s="746"/>
      <c r="J8" s="748" t="str">
        <f>IFERROR((Complementos!$J$84/$A$31/Datos_Generales!$E$15)*A8,"")</f>
        <v/>
      </c>
      <c r="K8" s="751" t="str">
        <f t="shared" ca="1" si="1"/>
        <v/>
      </c>
      <c r="L8" s="752" t="str">
        <f ca="1">IFERROR((F8+G8+I8+J8)+H8/Datos_Generales!$E$15,"")</f>
        <v/>
      </c>
      <c r="M8" s="897"/>
      <c r="N8" s="754"/>
      <c r="O8" s="755">
        <f t="shared" ref="O8:O30" si="3">M8*(1+N8)</f>
        <v>0</v>
      </c>
      <c r="P8" s="756">
        <f t="shared" ref="P8:P30" si="4">+O8*A8</f>
        <v>0</v>
      </c>
      <c r="Q8" s="757" t="str">
        <f t="shared" ca="1" si="2"/>
        <v/>
      </c>
      <c r="S8" s="758"/>
      <c r="T8" s="758"/>
      <c r="U8" s="758"/>
      <c r="V8" s="758"/>
      <c r="W8" s="758"/>
      <c r="X8" s="758"/>
      <c r="Y8" s="758"/>
      <c r="Z8" s="758"/>
      <c r="AA8" s="758"/>
      <c r="AB8" s="758"/>
      <c r="AC8" s="758"/>
      <c r="AD8" s="758"/>
      <c r="AE8" s="318"/>
      <c r="AF8" s="758"/>
      <c r="AG8" s="758"/>
      <c r="AH8" s="758"/>
      <c r="AI8" s="758"/>
      <c r="AJ8" s="758"/>
      <c r="AK8" s="758"/>
      <c r="AL8" s="758"/>
      <c r="AM8" s="758"/>
      <c r="AN8" s="758"/>
      <c r="AO8" s="758"/>
      <c r="AP8" s="758"/>
      <c r="AQ8" s="758"/>
    </row>
    <row r="9" spans="1:43" ht="14.25" customHeight="1" x14ac:dyDescent="0.2">
      <c r="A9" s="746"/>
      <c r="B9" s="747"/>
      <c r="C9" s="746">
        <v>30</v>
      </c>
      <c r="D9" s="748"/>
      <c r="E9" s="749">
        <f t="shared" si="0"/>
        <v>0</v>
      </c>
      <c r="F9" s="710" t="str">
        <f ca="1">IFERROR(VLOOKUP(B9,INDIRECT(VLOOKUP(Datos_Generales!$E$11,personal_Rangos,2,FALSE)),44,FALSE)*((D9/40)*A9)/30*C9,"")</f>
        <v/>
      </c>
      <c r="G9" s="710">
        <f ca="1">IFERROR(F9*Datos_Generales!$K$9,0)</f>
        <v>0</v>
      </c>
      <c r="H9" s="750" t="str">
        <f ca="1">IFERROR(VLOOKUP(B9,INDIRECT(VLOOKUP(Datos_Generales!$E$11,personal_Rangos,2,FALSE)),42,FALSE)*A9+VLOOKUP(B9,INDIRECT(VLOOKUP(Datos_Generales!$E$11,personal_Rangos,2,FALSE)),38,FALSE)*(D9/40)*A9,"")</f>
        <v/>
      </c>
      <c r="I9" s="746"/>
      <c r="J9" s="748" t="str">
        <f>IFERROR((Complementos!$J$84/$A$31/Datos_Generales!$E$15)*A9,"")</f>
        <v/>
      </c>
      <c r="K9" s="751" t="str">
        <f t="shared" ca="1" si="1"/>
        <v/>
      </c>
      <c r="L9" s="752" t="str">
        <f ca="1">IFERROR((F9+G9+I9+J9)+H9/Datos_Generales!$E$15,"")</f>
        <v/>
      </c>
      <c r="M9" s="897"/>
      <c r="N9" s="754"/>
      <c r="O9" s="755">
        <f t="shared" si="3"/>
        <v>0</v>
      </c>
      <c r="P9" s="756">
        <f t="shared" si="4"/>
        <v>0</v>
      </c>
      <c r="Q9" s="757" t="str">
        <f t="shared" ca="1" si="2"/>
        <v/>
      </c>
      <c r="R9" s="310"/>
      <c r="S9" s="758"/>
      <c r="T9" s="758"/>
      <c r="U9" s="758"/>
      <c r="V9" s="758"/>
      <c r="W9" s="758"/>
      <c r="X9" s="758"/>
      <c r="Y9" s="758"/>
      <c r="Z9" s="758"/>
      <c r="AA9" s="758"/>
      <c r="AB9" s="758"/>
      <c r="AC9" s="758"/>
      <c r="AD9" s="758"/>
      <c r="AE9" s="318"/>
      <c r="AF9" s="758"/>
      <c r="AG9" s="758"/>
      <c r="AH9" s="758"/>
      <c r="AI9" s="758"/>
      <c r="AJ9" s="758"/>
      <c r="AK9" s="758"/>
      <c r="AL9" s="758"/>
      <c r="AM9" s="758"/>
      <c r="AN9" s="758"/>
      <c r="AO9" s="758"/>
      <c r="AP9" s="758"/>
      <c r="AQ9" s="758"/>
    </row>
    <row r="10" spans="1:43" ht="14.25" customHeight="1" x14ac:dyDescent="0.2">
      <c r="A10" s="746"/>
      <c r="B10" s="747"/>
      <c r="C10" s="746">
        <v>30</v>
      </c>
      <c r="D10" s="748"/>
      <c r="E10" s="749">
        <f t="shared" si="0"/>
        <v>0</v>
      </c>
      <c r="F10" s="710" t="str">
        <f ca="1">IFERROR(VLOOKUP(B10,INDIRECT(VLOOKUP(Datos_Generales!$E$11,personal_Rangos,2,FALSE)),44,FALSE)*((D10/40)*A10)/30*C10,"")</f>
        <v/>
      </c>
      <c r="G10" s="710">
        <f ca="1">IFERROR(F10*Datos_Generales!$K$9,0)</f>
        <v>0</v>
      </c>
      <c r="H10" s="750" t="str">
        <f ca="1">IFERROR(VLOOKUP(B10,INDIRECT(VLOOKUP(Datos_Generales!$E$11,personal_Rangos,2,FALSE)),42,FALSE)*A10+VLOOKUP(B10,INDIRECT(VLOOKUP(Datos_Generales!$E$11,personal_Rangos,2,FALSE)),38,FALSE)*(D10/40)*A10,"")</f>
        <v/>
      </c>
      <c r="I10" s="746"/>
      <c r="J10" s="748" t="str">
        <f>IFERROR((Complementos!$J$84/$A$31/Datos_Generales!$E$15)*A10,"")</f>
        <v/>
      </c>
      <c r="K10" s="751" t="str">
        <f t="shared" ca="1" si="1"/>
        <v/>
      </c>
      <c r="L10" s="752" t="str">
        <f ca="1">IFERROR((F10+G10+I10+J10)+H10/Datos_Generales!$E$15,"")</f>
        <v/>
      </c>
      <c r="M10" s="897"/>
      <c r="N10" s="754"/>
      <c r="O10" s="755">
        <f t="shared" si="3"/>
        <v>0</v>
      </c>
      <c r="P10" s="756">
        <f t="shared" si="4"/>
        <v>0</v>
      </c>
      <c r="Q10" s="757" t="str">
        <f t="shared" ca="1" si="2"/>
        <v/>
      </c>
      <c r="R10" s="941" t="str">
        <f ca="1">+Presupuesto_final!G44</f>
        <v/>
      </c>
      <c r="S10" s="758"/>
      <c r="T10" s="758"/>
      <c r="U10" s="758"/>
      <c r="V10" s="758"/>
      <c r="W10" s="758"/>
      <c r="X10" s="758"/>
      <c r="Y10" s="758"/>
      <c r="Z10" s="758"/>
      <c r="AA10" s="758"/>
      <c r="AB10" s="758"/>
      <c r="AC10" s="758"/>
      <c r="AD10" s="758"/>
      <c r="AE10" s="318"/>
      <c r="AF10" s="758"/>
      <c r="AG10" s="758"/>
      <c r="AH10" s="758"/>
      <c r="AI10" s="758"/>
      <c r="AJ10" s="758"/>
      <c r="AK10" s="758"/>
      <c r="AL10" s="758"/>
      <c r="AM10" s="758"/>
      <c r="AN10" s="758"/>
      <c r="AO10" s="758"/>
      <c r="AP10" s="758"/>
      <c r="AQ10" s="758"/>
    </row>
    <row r="11" spans="1:43" ht="14.25" customHeight="1" x14ac:dyDescent="0.2">
      <c r="A11" s="746"/>
      <c r="B11" s="747"/>
      <c r="C11" s="746">
        <v>30</v>
      </c>
      <c r="D11" s="748"/>
      <c r="E11" s="749">
        <f t="shared" si="0"/>
        <v>0</v>
      </c>
      <c r="F11" s="710" t="str">
        <f ca="1">IFERROR(VLOOKUP(B11,INDIRECT(VLOOKUP(Datos_Generales!$E$11,personal_Rangos,2,FALSE)),44,FALSE)*((D11/40)*A11)/30*C11,"")</f>
        <v/>
      </c>
      <c r="G11" s="710">
        <f ca="1">IFERROR(F11*Datos_Generales!$K$9,0)</f>
        <v>0</v>
      </c>
      <c r="H11" s="750" t="str">
        <f ca="1">IFERROR(VLOOKUP(B11,INDIRECT(VLOOKUP(Datos_Generales!$E$11,personal_Rangos,2,FALSE)),42,FALSE)*A11+VLOOKUP(B11,INDIRECT(VLOOKUP(Datos_Generales!$E$11,personal_Rangos,2,FALSE)),38,FALSE)*(D11/40)*A11,"")</f>
        <v/>
      </c>
      <c r="I11" s="746"/>
      <c r="J11" s="748" t="str">
        <f>IFERROR((Complementos!$J$84/$A$31/Datos_Generales!$E$15)*A11,"")</f>
        <v/>
      </c>
      <c r="K11" s="751" t="str">
        <f t="shared" ca="1" si="1"/>
        <v/>
      </c>
      <c r="L11" s="752" t="str">
        <f ca="1">IFERROR((F11+G11+I11+J11)+H11/Datos_Generales!$E$15,"")</f>
        <v/>
      </c>
      <c r="M11" s="753"/>
      <c r="N11" s="754"/>
      <c r="O11" s="755">
        <f t="shared" si="3"/>
        <v>0</v>
      </c>
      <c r="P11" s="756">
        <f t="shared" si="4"/>
        <v>0</v>
      </c>
      <c r="Q11" s="757" t="str">
        <f t="shared" ca="1" si="2"/>
        <v/>
      </c>
      <c r="R11" s="942"/>
      <c r="S11" s="758"/>
      <c r="T11" s="758"/>
      <c r="U11" s="758"/>
      <c r="V11" s="758"/>
      <c r="W11" s="758"/>
      <c r="X11" s="758"/>
      <c r="Y11" s="758"/>
      <c r="Z11" s="758"/>
      <c r="AA11" s="758"/>
      <c r="AB11" s="758"/>
      <c r="AC11" s="758"/>
      <c r="AD11" s="758"/>
      <c r="AE11" s="318"/>
      <c r="AF11" s="758"/>
      <c r="AG11" s="758"/>
      <c r="AH11" s="758"/>
      <c r="AI11" s="758"/>
      <c r="AJ11" s="758"/>
      <c r="AK11" s="758"/>
      <c r="AL11" s="758"/>
      <c r="AM11" s="758"/>
      <c r="AN11" s="758"/>
      <c r="AO11" s="758"/>
      <c r="AP11" s="758"/>
      <c r="AQ11" s="758"/>
    </row>
    <row r="12" spans="1:43" ht="14.25" customHeight="1" x14ac:dyDescent="0.2">
      <c r="A12" s="746"/>
      <c r="B12" s="747"/>
      <c r="C12" s="746">
        <v>30</v>
      </c>
      <c r="D12" s="748"/>
      <c r="E12" s="749">
        <f t="shared" si="0"/>
        <v>0</v>
      </c>
      <c r="F12" s="710" t="str">
        <f ca="1">IFERROR(VLOOKUP(B12,INDIRECT(VLOOKUP(Datos_Generales!$E$11,personal_Rangos,2,FALSE)),44,FALSE)*((D12/40)*A12)/30*C12,"")</f>
        <v/>
      </c>
      <c r="G12" s="710">
        <f ca="1">IFERROR(F12*Datos_Generales!$K$9,0)</f>
        <v>0</v>
      </c>
      <c r="H12" s="750" t="str">
        <f ca="1">IFERROR(VLOOKUP(B12,INDIRECT(VLOOKUP(Datos_Generales!$E$11,personal_Rangos,2,FALSE)),42,FALSE)*A12+VLOOKUP(B12,INDIRECT(VLOOKUP(Datos_Generales!$E$11,personal_Rangos,2,FALSE)),38,FALSE)*(D12/40)*A12,"")</f>
        <v/>
      </c>
      <c r="I12" s="746"/>
      <c r="J12" s="748" t="str">
        <f>IFERROR((Complementos!$J$84/$A$31/Datos_Generales!$E$15)*A12,"")</f>
        <v/>
      </c>
      <c r="K12" s="751" t="str">
        <f t="shared" ca="1" si="1"/>
        <v/>
      </c>
      <c r="L12" s="752" t="str">
        <f ca="1">IFERROR((F12+G12+I12+J12)+H12/Datos_Generales!$E$15,"")</f>
        <v/>
      </c>
      <c r="M12" s="753"/>
      <c r="N12" s="754"/>
      <c r="O12" s="755">
        <f t="shared" si="3"/>
        <v>0</v>
      </c>
      <c r="P12" s="756">
        <f t="shared" si="4"/>
        <v>0</v>
      </c>
      <c r="Q12" s="757" t="str">
        <f t="shared" ca="1" si="2"/>
        <v/>
      </c>
      <c r="R12" s="942"/>
      <c r="S12" s="758"/>
      <c r="T12" s="758"/>
      <c r="U12" s="758"/>
      <c r="V12" s="758"/>
      <c r="W12" s="758"/>
      <c r="X12" s="758"/>
      <c r="Y12" s="758"/>
      <c r="Z12" s="758"/>
      <c r="AA12" s="758"/>
      <c r="AB12" s="758"/>
      <c r="AC12" s="758"/>
      <c r="AD12" s="758"/>
      <c r="AE12" s="318"/>
      <c r="AF12" s="758"/>
      <c r="AG12" s="758"/>
      <c r="AH12" s="758"/>
      <c r="AI12" s="758"/>
      <c r="AJ12" s="758"/>
      <c r="AK12" s="758"/>
      <c r="AL12" s="758"/>
      <c r="AM12" s="758"/>
      <c r="AN12" s="758"/>
      <c r="AO12" s="758"/>
      <c r="AP12" s="758"/>
      <c r="AQ12" s="758"/>
    </row>
    <row r="13" spans="1:43" ht="14.25" customHeight="1" x14ac:dyDescent="0.2">
      <c r="A13" s="746"/>
      <c r="B13" s="747"/>
      <c r="C13" s="746">
        <v>30</v>
      </c>
      <c r="D13" s="748"/>
      <c r="E13" s="749">
        <f t="shared" si="0"/>
        <v>0</v>
      </c>
      <c r="F13" s="710" t="str">
        <f ca="1">IFERROR(VLOOKUP(B13,INDIRECT(VLOOKUP(Datos_Generales!$E$11,personal_Rangos,2,FALSE)),44,FALSE)*((D13/40)*A13)/30*C13,"")</f>
        <v/>
      </c>
      <c r="G13" s="710">
        <f ca="1">IFERROR(F13*Datos_Generales!$K$9,0)</f>
        <v>0</v>
      </c>
      <c r="H13" s="750" t="str">
        <f ca="1">IFERROR(VLOOKUP(B13,INDIRECT(VLOOKUP(Datos_Generales!$E$11,personal_Rangos,2,FALSE)),42,FALSE)*A13+VLOOKUP(B13,INDIRECT(VLOOKUP(Datos_Generales!$E$11,personal_Rangos,2,FALSE)),38,FALSE)*(D13/40)*A13,"")</f>
        <v/>
      </c>
      <c r="I13" s="746"/>
      <c r="J13" s="748" t="str">
        <f>IFERROR((Complementos!$J$84/$A$31/Datos_Generales!$E$15)*A13,"")</f>
        <v/>
      </c>
      <c r="K13" s="751" t="str">
        <f t="shared" ca="1" si="1"/>
        <v/>
      </c>
      <c r="L13" s="752" t="str">
        <f ca="1">IFERROR((F13+G13+I13+J13)+H13/Datos_Generales!$E$15,"")</f>
        <v/>
      </c>
      <c r="M13" s="753"/>
      <c r="N13" s="754"/>
      <c r="O13" s="755">
        <f t="shared" si="3"/>
        <v>0</v>
      </c>
      <c r="P13" s="756">
        <f t="shared" si="4"/>
        <v>0</v>
      </c>
      <c r="Q13" s="757" t="str">
        <f t="shared" ca="1" si="2"/>
        <v/>
      </c>
      <c r="R13" s="942"/>
      <c r="S13" s="758"/>
      <c r="T13" s="758"/>
      <c r="U13" s="758"/>
      <c r="V13" s="758"/>
      <c r="W13" s="758"/>
      <c r="X13" s="758"/>
      <c r="Y13" s="758"/>
      <c r="Z13" s="758"/>
      <c r="AA13" s="758"/>
      <c r="AB13" s="758"/>
      <c r="AC13" s="758"/>
      <c r="AD13" s="758"/>
      <c r="AE13" s="318"/>
      <c r="AF13" s="758"/>
      <c r="AG13" s="758"/>
      <c r="AH13" s="758"/>
      <c r="AI13" s="758"/>
      <c r="AJ13" s="758"/>
      <c r="AK13" s="758"/>
      <c r="AL13" s="758"/>
      <c r="AM13" s="758"/>
      <c r="AN13" s="758"/>
      <c r="AO13" s="758"/>
      <c r="AP13" s="758"/>
      <c r="AQ13" s="758"/>
    </row>
    <row r="14" spans="1:43" ht="14.25" customHeight="1" x14ac:dyDescent="0.2">
      <c r="A14" s="746"/>
      <c r="B14" s="747"/>
      <c r="C14" s="746">
        <v>30</v>
      </c>
      <c r="D14" s="748"/>
      <c r="E14" s="749">
        <f t="shared" si="0"/>
        <v>0</v>
      </c>
      <c r="F14" s="710" t="str">
        <f ca="1">IFERROR(VLOOKUP(B14,INDIRECT(VLOOKUP(Datos_Generales!$E$11,personal_Rangos,2,FALSE)),44,FALSE)*((D14/40)*A14)/30*C14,"")</f>
        <v/>
      </c>
      <c r="G14" s="710">
        <f ca="1">IFERROR(F14*Datos_Generales!$K$9,0)</f>
        <v>0</v>
      </c>
      <c r="H14" s="750" t="str">
        <f ca="1">IFERROR(VLOOKUP(B14,INDIRECT(VLOOKUP(Datos_Generales!$E$11,personal_Rangos,2,FALSE)),42,FALSE)*A14+VLOOKUP(B14,INDIRECT(VLOOKUP(Datos_Generales!$E$11,personal_Rangos,2,FALSE)),38,FALSE)*(D14/40)*A14,"")</f>
        <v/>
      </c>
      <c r="I14" s="746"/>
      <c r="J14" s="748" t="str">
        <f>IFERROR((Complementos!$J$84/$A$31/Datos_Generales!$E$15)*A14,"")</f>
        <v/>
      </c>
      <c r="K14" s="751" t="str">
        <f t="shared" ca="1" si="1"/>
        <v/>
      </c>
      <c r="L14" s="752" t="str">
        <f ca="1">IFERROR((F14+G14+I14+J14)+H14/Datos_Generales!$E$15,"")</f>
        <v/>
      </c>
      <c r="M14" s="753"/>
      <c r="N14" s="754"/>
      <c r="O14" s="755">
        <f t="shared" si="3"/>
        <v>0</v>
      </c>
      <c r="P14" s="756">
        <f t="shared" si="4"/>
        <v>0</v>
      </c>
      <c r="Q14" s="757" t="str">
        <f t="shared" ca="1" si="2"/>
        <v/>
      </c>
      <c r="R14" s="942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31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</row>
    <row r="15" spans="1:43" ht="14.25" customHeight="1" x14ac:dyDescent="0.2">
      <c r="A15" s="746"/>
      <c r="B15" s="747"/>
      <c r="C15" s="746">
        <v>30</v>
      </c>
      <c r="D15" s="748"/>
      <c r="E15" s="749">
        <f t="shared" si="0"/>
        <v>0</v>
      </c>
      <c r="F15" s="710" t="str">
        <f ca="1">IFERROR(VLOOKUP(B15,INDIRECT(VLOOKUP(Datos_Generales!$E$11,personal_Rangos,2,FALSE)),44,FALSE)*((D15/40)*A15)/30*C15,"")</f>
        <v/>
      </c>
      <c r="G15" s="710">
        <f ca="1">IFERROR(F15*Datos_Generales!$K$9,0)</f>
        <v>0</v>
      </c>
      <c r="H15" s="750" t="str">
        <f ca="1">IFERROR(VLOOKUP(B15,INDIRECT(VLOOKUP(Datos_Generales!$E$11,personal_Rangos,2,FALSE)),42,FALSE)*A15+VLOOKUP(B15,INDIRECT(VLOOKUP(Datos_Generales!$E$11,personal_Rangos,2,FALSE)),38,FALSE)*(D15/40)*A15,"")</f>
        <v/>
      </c>
      <c r="I15" s="746"/>
      <c r="J15" s="748" t="str">
        <f>IFERROR((Complementos!$J$84/$A$31/Datos_Generales!$E$15)*A15,"")</f>
        <v/>
      </c>
      <c r="K15" s="751" t="str">
        <f t="shared" ca="1" si="1"/>
        <v/>
      </c>
      <c r="L15" s="752" t="str">
        <f ca="1">IFERROR((F15+G15+I15+J15)+H15/Datos_Generales!$E$15,"")</f>
        <v/>
      </c>
      <c r="M15" s="753"/>
      <c r="N15" s="754"/>
      <c r="O15" s="755">
        <f t="shared" si="3"/>
        <v>0</v>
      </c>
      <c r="P15" s="756">
        <f t="shared" si="4"/>
        <v>0</v>
      </c>
      <c r="Q15" s="757" t="str">
        <f t="shared" ca="1" si="2"/>
        <v/>
      </c>
      <c r="R15" s="942"/>
      <c r="S15" s="758"/>
      <c r="T15" s="758"/>
      <c r="U15" s="758"/>
      <c r="V15" s="758"/>
      <c r="W15" s="758"/>
      <c r="X15" s="758"/>
      <c r="Y15" s="758"/>
      <c r="Z15" s="758"/>
      <c r="AA15" s="758"/>
      <c r="AB15" s="758"/>
      <c r="AC15" s="758"/>
      <c r="AD15" s="758"/>
      <c r="AE15" s="318"/>
      <c r="AF15" s="758"/>
      <c r="AG15" s="758"/>
      <c r="AH15" s="758"/>
      <c r="AI15" s="758"/>
      <c r="AJ15" s="758"/>
      <c r="AK15" s="758"/>
      <c r="AL15" s="758"/>
      <c r="AM15" s="758"/>
      <c r="AN15" s="758"/>
      <c r="AO15" s="758"/>
      <c r="AP15" s="758"/>
      <c r="AQ15" s="758"/>
    </row>
    <row r="16" spans="1:43" ht="14.25" customHeight="1" x14ac:dyDescent="0.2">
      <c r="A16" s="746"/>
      <c r="B16" s="747"/>
      <c r="C16" s="746">
        <v>30</v>
      </c>
      <c r="D16" s="748"/>
      <c r="E16" s="749">
        <f t="shared" si="0"/>
        <v>0</v>
      </c>
      <c r="F16" s="710" t="str">
        <f ca="1">IFERROR(VLOOKUP(B16,INDIRECT(VLOOKUP(Datos_Generales!$E$11,personal_Rangos,2,FALSE)),44,FALSE)*((D16/40)*A16)/30*C16,"")</f>
        <v/>
      </c>
      <c r="G16" s="710">
        <f ca="1">IFERROR(F16*Datos_Generales!$K$9,0)</f>
        <v>0</v>
      </c>
      <c r="H16" s="750" t="str">
        <f ca="1">IFERROR(VLOOKUP(B16,INDIRECT(VLOOKUP(Datos_Generales!$E$11,personal_Rangos,2,FALSE)),42,FALSE)*A16+VLOOKUP(B16,INDIRECT(VLOOKUP(Datos_Generales!$E$11,personal_Rangos,2,FALSE)),38,FALSE)*(D16/40)*A16,"")</f>
        <v/>
      </c>
      <c r="I16" s="746"/>
      <c r="J16" s="748" t="str">
        <f>IFERROR((Complementos!$J$84/$A$31/Datos_Generales!$E$15)*A16,"")</f>
        <v/>
      </c>
      <c r="K16" s="751" t="str">
        <f t="shared" ca="1" si="1"/>
        <v/>
      </c>
      <c r="L16" s="752" t="str">
        <f ca="1">IFERROR((F16+G16+I16+J16)+H16/Datos_Generales!$E$15,"")</f>
        <v/>
      </c>
      <c r="M16" s="753"/>
      <c r="N16" s="754"/>
      <c r="O16" s="755">
        <f t="shared" si="3"/>
        <v>0</v>
      </c>
      <c r="P16" s="756">
        <f t="shared" si="4"/>
        <v>0</v>
      </c>
      <c r="Q16" s="757" t="str">
        <f t="shared" ca="1" si="2"/>
        <v/>
      </c>
      <c r="S16" s="758"/>
      <c r="T16" s="758"/>
      <c r="U16" s="758"/>
      <c r="V16" s="758"/>
      <c r="W16" s="758"/>
      <c r="X16" s="758"/>
      <c r="Y16" s="758"/>
      <c r="Z16" s="758"/>
      <c r="AA16" s="758"/>
      <c r="AB16" s="758"/>
      <c r="AC16" s="758"/>
      <c r="AD16" s="758"/>
      <c r="AE16" s="318"/>
      <c r="AF16" s="758"/>
      <c r="AG16" s="758"/>
      <c r="AH16" s="758"/>
      <c r="AI16" s="758"/>
      <c r="AJ16" s="758"/>
      <c r="AK16" s="758"/>
      <c r="AL16" s="758"/>
      <c r="AM16" s="758"/>
      <c r="AN16" s="758"/>
      <c r="AO16" s="758"/>
      <c r="AP16" s="758"/>
      <c r="AQ16" s="758"/>
    </row>
    <row r="17" spans="1:43" ht="14.25" customHeight="1" x14ac:dyDescent="0.2">
      <c r="A17" s="746"/>
      <c r="B17" s="747"/>
      <c r="C17" s="746">
        <v>30</v>
      </c>
      <c r="D17" s="748"/>
      <c r="E17" s="749">
        <f t="shared" si="0"/>
        <v>0</v>
      </c>
      <c r="F17" s="710" t="str">
        <f ca="1">IFERROR(VLOOKUP(B17,INDIRECT(VLOOKUP(Datos_Generales!$E$11,personal_Rangos,2,FALSE)),44,FALSE)*((D17/40)*A17)/30*C17,"")</f>
        <v/>
      </c>
      <c r="G17" s="710">
        <f ca="1">IFERROR(F17*Datos_Generales!$K$9,0)</f>
        <v>0</v>
      </c>
      <c r="H17" s="750" t="str">
        <f ca="1">IFERROR(VLOOKUP(B17,INDIRECT(VLOOKUP(Datos_Generales!$E$11,personal_Rangos,2,FALSE)),42,FALSE)*A17+VLOOKUP(B17,INDIRECT(VLOOKUP(Datos_Generales!$E$11,personal_Rangos,2,FALSE)),38,FALSE)*(D17/40)*A17,"")</f>
        <v/>
      </c>
      <c r="I17" s="746"/>
      <c r="J17" s="748" t="str">
        <f>IFERROR((Complementos!$J$84/$A$31/Datos_Generales!$E$15)*A17,"")</f>
        <v/>
      </c>
      <c r="K17" s="751" t="str">
        <f t="shared" ca="1" si="1"/>
        <v/>
      </c>
      <c r="L17" s="752" t="str">
        <f ca="1">IFERROR((F17+G17+I17+J17)+H17/Datos_Generales!$E$15,"")</f>
        <v/>
      </c>
      <c r="M17" s="753"/>
      <c r="N17" s="754"/>
      <c r="O17" s="755">
        <f t="shared" si="3"/>
        <v>0</v>
      </c>
      <c r="P17" s="756">
        <f t="shared" si="4"/>
        <v>0</v>
      </c>
      <c r="Q17" s="757" t="str">
        <f t="shared" ca="1" si="2"/>
        <v/>
      </c>
      <c r="S17" s="758"/>
      <c r="T17" s="758"/>
      <c r="U17" s="758"/>
      <c r="V17" s="758"/>
      <c r="W17" s="758"/>
      <c r="X17" s="758"/>
      <c r="Y17" s="758"/>
      <c r="Z17" s="758"/>
      <c r="AA17" s="758"/>
      <c r="AB17" s="758"/>
      <c r="AC17" s="758"/>
      <c r="AD17" s="758"/>
      <c r="AE17" s="318"/>
      <c r="AF17" s="758"/>
      <c r="AG17" s="758"/>
      <c r="AH17" s="758"/>
      <c r="AI17" s="758"/>
      <c r="AJ17" s="758"/>
      <c r="AK17" s="758"/>
      <c r="AL17" s="758"/>
      <c r="AM17" s="758"/>
      <c r="AN17" s="758"/>
      <c r="AO17" s="758"/>
      <c r="AP17" s="758"/>
      <c r="AQ17" s="758"/>
    </row>
    <row r="18" spans="1:43" ht="14.25" customHeight="1" x14ac:dyDescent="0.2">
      <c r="A18" s="746"/>
      <c r="B18" s="747"/>
      <c r="C18" s="746">
        <v>30</v>
      </c>
      <c r="D18" s="748"/>
      <c r="E18" s="749">
        <f t="shared" si="0"/>
        <v>0</v>
      </c>
      <c r="F18" s="710" t="str">
        <f ca="1">IFERROR(VLOOKUP(B18,INDIRECT(VLOOKUP(Datos_Generales!$E$11,personal_Rangos,2,FALSE)),44,FALSE)*((D18/40)*A18)/30*C18,"")</f>
        <v/>
      </c>
      <c r="G18" s="710">
        <f ca="1">IFERROR(F18*Datos_Generales!$K$9,0)</f>
        <v>0</v>
      </c>
      <c r="H18" s="750" t="str">
        <f ca="1">IFERROR(VLOOKUP(B18,INDIRECT(VLOOKUP(Datos_Generales!$E$11,personal_Rangos,2,FALSE)),42,FALSE)*A18+VLOOKUP(B18,INDIRECT(VLOOKUP(Datos_Generales!$E$11,personal_Rangos,2,FALSE)),38,FALSE)*(D18/40)*A18,"")</f>
        <v/>
      </c>
      <c r="I18" s="746"/>
      <c r="J18" s="748" t="str">
        <f>IFERROR((Complementos!$J$84/$A$31/Datos_Generales!$E$15)*A18,"")</f>
        <v/>
      </c>
      <c r="K18" s="751" t="str">
        <f t="shared" ca="1" si="1"/>
        <v/>
      </c>
      <c r="L18" s="752" t="str">
        <f ca="1">IFERROR((F18+G18+I18+J18)+H18/Datos_Generales!$E$15,"")</f>
        <v/>
      </c>
      <c r="M18" s="753"/>
      <c r="N18" s="754"/>
      <c r="O18" s="755">
        <f t="shared" si="3"/>
        <v>0</v>
      </c>
      <c r="P18" s="756">
        <f t="shared" si="4"/>
        <v>0</v>
      </c>
      <c r="Q18" s="757" t="str">
        <f t="shared" ca="1" si="2"/>
        <v/>
      </c>
      <c r="S18" s="758"/>
      <c r="T18" s="758"/>
      <c r="U18" s="758"/>
      <c r="V18" s="758"/>
      <c r="W18" s="758"/>
      <c r="X18" s="758"/>
      <c r="Y18" s="758"/>
      <c r="Z18" s="758"/>
      <c r="AA18" s="758"/>
      <c r="AB18" s="758"/>
      <c r="AC18" s="758"/>
      <c r="AD18" s="758"/>
      <c r="AE18" s="318"/>
      <c r="AF18" s="758"/>
      <c r="AG18" s="758"/>
      <c r="AH18" s="758"/>
      <c r="AI18" s="758"/>
      <c r="AJ18" s="758"/>
      <c r="AK18" s="758"/>
      <c r="AL18" s="758"/>
      <c r="AM18" s="758"/>
      <c r="AN18" s="758"/>
      <c r="AO18" s="758"/>
      <c r="AP18" s="758"/>
      <c r="AQ18" s="758"/>
    </row>
    <row r="19" spans="1:43" ht="14.25" customHeight="1" x14ac:dyDescent="0.2">
      <c r="A19" s="746"/>
      <c r="B19" s="747"/>
      <c r="C19" s="746">
        <v>30</v>
      </c>
      <c r="D19" s="748"/>
      <c r="E19" s="749">
        <f t="shared" si="0"/>
        <v>0</v>
      </c>
      <c r="F19" s="710" t="str">
        <f ca="1">IFERROR(VLOOKUP(B19,INDIRECT(VLOOKUP(Datos_Generales!$E$11,personal_Rangos,2,FALSE)),44,FALSE)*((D19/40)*A19)/30*C19,"")</f>
        <v/>
      </c>
      <c r="G19" s="710">
        <f ca="1">IFERROR(F19*Datos_Generales!$K$9,0)</f>
        <v>0</v>
      </c>
      <c r="H19" s="750" t="str">
        <f ca="1">IFERROR(VLOOKUP(B19,INDIRECT(VLOOKUP(Datos_Generales!$E$11,personal_Rangos,2,FALSE)),42,FALSE)*A19+VLOOKUP(B19,INDIRECT(VLOOKUP(Datos_Generales!$E$11,personal_Rangos,2,FALSE)),38,FALSE)*(D19/40)*A19,"")</f>
        <v/>
      </c>
      <c r="I19" s="746"/>
      <c r="J19" s="748" t="str">
        <f>IFERROR((Complementos!$J$84/$A$31/Datos_Generales!$E$15)*A19,"")</f>
        <v/>
      </c>
      <c r="K19" s="751" t="str">
        <f t="shared" ca="1" si="1"/>
        <v/>
      </c>
      <c r="L19" s="752" t="str">
        <f ca="1">IFERROR((F19+G19+I19+J19)+H19/Datos_Generales!$E$15,"")</f>
        <v/>
      </c>
      <c r="M19" s="753"/>
      <c r="N19" s="754"/>
      <c r="O19" s="755">
        <f t="shared" si="3"/>
        <v>0</v>
      </c>
      <c r="P19" s="756">
        <f t="shared" si="4"/>
        <v>0</v>
      </c>
      <c r="Q19" s="757" t="str">
        <f t="shared" ca="1" si="2"/>
        <v/>
      </c>
      <c r="S19" s="758"/>
      <c r="T19" s="758"/>
      <c r="U19" s="758"/>
      <c r="V19" s="758"/>
      <c r="W19" s="758"/>
      <c r="X19" s="758"/>
      <c r="Y19" s="758"/>
      <c r="Z19" s="758"/>
      <c r="AA19" s="758"/>
      <c r="AB19" s="758"/>
      <c r="AC19" s="758"/>
      <c r="AD19" s="758"/>
      <c r="AE19" s="318"/>
      <c r="AF19" s="758"/>
      <c r="AG19" s="758"/>
      <c r="AH19" s="758"/>
      <c r="AI19" s="758"/>
      <c r="AJ19" s="758"/>
      <c r="AK19" s="758"/>
      <c r="AL19" s="758"/>
      <c r="AM19" s="758"/>
      <c r="AN19" s="758"/>
      <c r="AO19" s="758"/>
      <c r="AP19" s="758"/>
      <c r="AQ19" s="758"/>
    </row>
    <row r="20" spans="1:43" ht="14.25" customHeight="1" x14ac:dyDescent="0.2">
      <c r="A20" s="746"/>
      <c r="B20" s="747"/>
      <c r="C20" s="746">
        <v>30</v>
      </c>
      <c r="D20" s="748"/>
      <c r="E20" s="749">
        <f t="shared" si="0"/>
        <v>0</v>
      </c>
      <c r="F20" s="710" t="str">
        <f ca="1">IFERROR(VLOOKUP(B20,INDIRECT(VLOOKUP(Datos_Generales!$E$11,personal_Rangos,2,FALSE)),44,FALSE)*((D20/40)*A20)/30*C20,"")</f>
        <v/>
      </c>
      <c r="G20" s="710">
        <f ca="1">IFERROR(F20*Datos_Generales!$K$9,0)</f>
        <v>0</v>
      </c>
      <c r="H20" s="750" t="str">
        <f ca="1">IFERROR(VLOOKUP(B20,INDIRECT(VLOOKUP(Datos_Generales!$E$11,personal_Rangos,2,FALSE)),42,FALSE)*A20+VLOOKUP(B20,INDIRECT(VLOOKUP(Datos_Generales!$E$11,personal_Rangos,2,FALSE)),38,FALSE)*(D20/40)*A20,"")</f>
        <v/>
      </c>
      <c r="I20" s="746"/>
      <c r="J20" s="748" t="str">
        <f>IFERROR((Complementos!$J$84/$A$31/Datos_Generales!$E$15)*A20,"")</f>
        <v/>
      </c>
      <c r="K20" s="751" t="str">
        <f t="shared" ca="1" si="1"/>
        <v/>
      </c>
      <c r="L20" s="752" t="str">
        <f ca="1">IFERROR((F20+G20+I20+J20)+H20/Datos_Generales!$E$15,"")</f>
        <v/>
      </c>
      <c r="M20" s="753"/>
      <c r="N20" s="754"/>
      <c r="O20" s="755">
        <f t="shared" si="3"/>
        <v>0</v>
      </c>
      <c r="P20" s="756">
        <f t="shared" si="4"/>
        <v>0</v>
      </c>
      <c r="Q20" s="757" t="str">
        <f t="shared" ca="1" si="2"/>
        <v/>
      </c>
      <c r="S20" s="758"/>
      <c r="T20" s="758"/>
      <c r="U20" s="758"/>
      <c r="V20" s="758"/>
      <c r="W20" s="758"/>
      <c r="X20" s="758"/>
      <c r="Y20" s="758"/>
      <c r="Z20" s="758"/>
      <c r="AA20" s="758"/>
      <c r="AB20" s="758"/>
      <c r="AC20" s="758"/>
      <c r="AD20" s="758"/>
      <c r="AE20" s="318"/>
      <c r="AF20" s="758"/>
      <c r="AG20" s="758"/>
      <c r="AH20" s="758"/>
      <c r="AI20" s="758"/>
      <c r="AJ20" s="758"/>
      <c r="AK20" s="758"/>
      <c r="AL20" s="758"/>
      <c r="AM20" s="758"/>
      <c r="AN20" s="758"/>
      <c r="AO20" s="758"/>
      <c r="AP20" s="758"/>
      <c r="AQ20" s="758"/>
    </row>
    <row r="21" spans="1:43" ht="14.25" customHeight="1" x14ac:dyDescent="0.2">
      <c r="A21" s="746"/>
      <c r="B21" s="747"/>
      <c r="C21" s="746">
        <v>30</v>
      </c>
      <c r="D21" s="748"/>
      <c r="E21" s="749">
        <f t="shared" si="0"/>
        <v>0</v>
      </c>
      <c r="F21" s="710" t="str">
        <f ca="1">IFERROR(VLOOKUP(B21,INDIRECT(VLOOKUP(Datos_Generales!$E$11,personal_Rangos,2,FALSE)),44,FALSE)*((D21/40)*A21)/30*C21,"")</f>
        <v/>
      </c>
      <c r="G21" s="710">
        <f ca="1">IFERROR(F21*Datos_Generales!$K$9,0)</f>
        <v>0</v>
      </c>
      <c r="H21" s="750" t="str">
        <f ca="1">IFERROR(VLOOKUP(B21,INDIRECT(VLOOKUP(Datos_Generales!$E$11,personal_Rangos,2,FALSE)),42,FALSE)*A21+VLOOKUP(B21,INDIRECT(VLOOKUP(Datos_Generales!$E$11,personal_Rangos,2,FALSE)),38,FALSE)*(D21/40)*A21,"")</f>
        <v/>
      </c>
      <c r="I21" s="746"/>
      <c r="J21" s="748" t="str">
        <f>IFERROR((Complementos!$J$84/$A$31/Datos_Generales!$E$15)*A21,"")</f>
        <v/>
      </c>
      <c r="K21" s="751" t="str">
        <f t="shared" ca="1" si="1"/>
        <v/>
      </c>
      <c r="L21" s="752" t="str">
        <f ca="1">IFERROR((F21+G21+I21+J21)+H21/Datos_Generales!$E$15,"")</f>
        <v/>
      </c>
      <c r="M21" s="753"/>
      <c r="N21" s="754"/>
      <c r="O21" s="755">
        <f t="shared" si="3"/>
        <v>0</v>
      </c>
      <c r="P21" s="756">
        <f t="shared" si="4"/>
        <v>0</v>
      </c>
      <c r="Q21" s="757" t="str">
        <f t="shared" ca="1" si="2"/>
        <v/>
      </c>
      <c r="S21" s="758"/>
      <c r="T21" s="758"/>
      <c r="U21" s="758"/>
      <c r="V21" s="758"/>
      <c r="W21" s="758"/>
      <c r="X21" s="758"/>
      <c r="Y21" s="758"/>
      <c r="Z21" s="758"/>
      <c r="AA21" s="758"/>
      <c r="AB21" s="758"/>
      <c r="AC21" s="758"/>
      <c r="AD21" s="758"/>
      <c r="AE21" s="318"/>
      <c r="AF21" s="758"/>
      <c r="AG21" s="758"/>
      <c r="AH21" s="758"/>
      <c r="AI21" s="758"/>
      <c r="AJ21" s="758"/>
      <c r="AK21" s="758"/>
      <c r="AL21" s="758"/>
      <c r="AM21" s="758"/>
      <c r="AN21" s="758"/>
      <c r="AO21" s="758"/>
      <c r="AP21" s="758"/>
      <c r="AQ21" s="758"/>
    </row>
    <row r="22" spans="1:43" ht="14.25" customHeight="1" x14ac:dyDescent="0.2">
      <c r="A22" s="746"/>
      <c r="B22" s="747"/>
      <c r="C22" s="746">
        <v>30</v>
      </c>
      <c r="D22" s="748"/>
      <c r="E22" s="749">
        <f t="shared" si="0"/>
        <v>0</v>
      </c>
      <c r="F22" s="710" t="str">
        <f ca="1">IFERROR(VLOOKUP(B22,INDIRECT(VLOOKUP(Datos_Generales!$E$11,personal_Rangos,2,FALSE)),44,FALSE)*((D22/40)*A22)/30*C22,"")</f>
        <v/>
      </c>
      <c r="G22" s="710">
        <f ca="1">IFERROR(F22*Datos_Generales!$K$9,0)</f>
        <v>0</v>
      </c>
      <c r="H22" s="750" t="str">
        <f ca="1">IFERROR(VLOOKUP(B22,INDIRECT(VLOOKUP(Datos_Generales!$E$11,personal_Rangos,2,FALSE)),42,FALSE)*A22+VLOOKUP(B22,INDIRECT(VLOOKUP(Datos_Generales!$E$11,personal_Rangos,2,FALSE)),38,FALSE)*(D22/40)*A22,"")</f>
        <v/>
      </c>
      <c r="I22" s="746"/>
      <c r="J22" s="748" t="str">
        <f>IFERROR((Complementos!$J$84/$A$31/Datos_Generales!$E$15)*A22,"")</f>
        <v/>
      </c>
      <c r="K22" s="751" t="str">
        <f t="shared" ca="1" si="1"/>
        <v/>
      </c>
      <c r="L22" s="752" t="str">
        <f ca="1">IFERROR((F22+G22+I22+J22)+H22/Datos_Generales!$E$15,"")</f>
        <v/>
      </c>
      <c r="M22" s="753"/>
      <c r="N22" s="754"/>
      <c r="O22" s="755">
        <f t="shared" si="3"/>
        <v>0</v>
      </c>
      <c r="P22" s="756">
        <f t="shared" si="4"/>
        <v>0</v>
      </c>
      <c r="Q22" s="757" t="str">
        <f t="shared" ca="1" si="2"/>
        <v/>
      </c>
      <c r="S22" s="758"/>
      <c r="T22" s="758"/>
      <c r="U22" s="758"/>
      <c r="V22" s="758"/>
      <c r="W22" s="758"/>
      <c r="X22" s="758"/>
      <c r="Y22" s="758"/>
      <c r="Z22" s="758"/>
      <c r="AA22" s="758"/>
      <c r="AB22" s="758"/>
      <c r="AC22" s="758"/>
      <c r="AD22" s="758"/>
      <c r="AE22" s="318"/>
      <c r="AF22" s="758"/>
      <c r="AG22" s="758"/>
      <c r="AH22" s="758"/>
      <c r="AI22" s="758"/>
      <c r="AJ22" s="758"/>
      <c r="AK22" s="758"/>
      <c r="AL22" s="758"/>
      <c r="AM22" s="758"/>
      <c r="AN22" s="758"/>
      <c r="AO22" s="758"/>
      <c r="AP22" s="758"/>
      <c r="AQ22" s="758"/>
    </row>
    <row r="23" spans="1:43" ht="14.25" customHeight="1" x14ac:dyDescent="0.2">
      <c r="A23" s="746"/>
      <c r="B23" s="747"/>
      <c r="C23" s="746">
        <v>30</v>
      </c>
      <c r="D23" s="748"/>
      <c r="E23" s="749">
        <f t="shared" si="0"/>
        <v>0</v>
      </c>
      <c r="F23" s="710" t="str">
        <f ca="1">IFERROR(VLOOKUP(B23,INDIRECT(VLOOKUP(Datos_Generales!$E$11,personal_Rangos,2,FALSE)),44,FALSE)*((D23/40)*A23)/30*C23,"")</f>
        <v/>
      </c>
      <c r="G23" s="710">
        <f ca="1">IFERROR(F23*Datos_Generales!$K$9,0)</f>
        <v>0</v>
      </c>
      <c r="H23" s="750" t="str">
        <f ca="1">IFERROR(VLOOKUP(B23,INDIRECT(VLOOKUP(Datos_Generales!$E$11,personal_Rangos,2,FALSE)),42,FALSE)*A23+VLOOKUP(B23,INDIRECT(VLOOKUP(Datos_Generales!$E$11,personal_Rangos,2,FALSE)),38,FALSE)*(D23/40)*A23,"")</f>
        <v/>
      </c>
      <c r="I23" s="746"/>
      <c r="J23" s="748" t="str">
        <f>IFERROR((Complementos!$J$84/$A$31/Datos_Generales!$E$15)*A23,"")</f>
        <v/>
      </c>
      <c r="K23" s="751" t="str">
        <f t="shared" ca="1" si="1"/>
        <v/>
      </c>
      <c r="L23" s="752" t="str">
        <f ca="1">IFERROR((F23+G23+I23+J23)+H23/Datos_Generales!$E$15,"")</f>
        <v/>
      </c>
      <c r="M23" s="753"/>
      <c r="N23" s="754"/>
      <c r="O23" s="755">
        <f t="shared" si="3"/>
        <v>0</v>
      </c>
      <c r="P23" s="756">
        <f t="shared" si="4"/>
        <v>0</v>
      </c>
      <c r="Q23" s="757" t="str">
        <f t="shared" ca="1" si="2"/>
        <v/>
      </c>
      <c r="S23" s="758"/>
      <c r="T23" s="758"/>
      <c r="U23" s="758"/>
      <c r="V23" s="758"/>
      <c r="W23" s="758"/>
      <c r="X23" s="758"/>
      <c r="Y23" s="758"/>
      <c r="Z23" s="758"/>
      <c r="AA23" s="758"/>
      <c r="AB23" s="758"/>
      <c r="AC23" s="758"/>
      <c r="AD23" s="758"/>
      <c r="AE23" s="318"/>
      <c r="AF23" s="758"/>
      <c r="AG23" s="758"/>
      <c r="AH23" s="758"/>
      <c r="AI23" s="758"/>
      <c r="AJ23" s="758"/>
      <c r="AK23" s="758"/>
      <c r="AL23" s="758"/>
      <c r="AM23" s="758"/>
      <c r="AN23" s="758"/>
      <c r="AO23" s="758"/>
      <c r="AP23" s="758"/>
      <c r="AQ23" s="758"/>
    </row>
    <row r="24" spans="1:43" ht="14.25" customHeight="1" x14ac:dyDescent="0.2">
      <c r="A24" s="746"/>
      <c r="B24" s="747"/>
      <c r="C24" s="746">
        <v>30</v>
      </c>
      <c r="D24" s="748"/>
      <c r="E24" s="749">
        <f t="shared" si="0"/>
        <v>0</v>
      </c>
      <c r="F24" s="710" t="str">
        <f ca="1">IFERROR(VLOOKUP(B24,INDIRECT(VLOOKUP(Datos_Generales!$E$11,personal_Rangos,2,FALSE)),44,FALSE)*((D24/40)*A24)/30*C24,"")</f>
        <v/>
      </c>
      <c r="G24" s="710">
        <f ca="1">IFERROR(F24*Datos_Generales!$K$9,0)</f>
        <v>0</v>
      </c>
      <c r="H24" s="750" t="str">
        <f ca="1">IFERROR(VLOOKUP(B24,INDIRECT(VLOOKUP(Datos_Generales!$E$11,personal_Rangos,2,FALSE)),42,FALSE)*A24+VLOOKUP(B24,INDIRECT(VLOOKUP(Datos_Generales!$E$11,personal_Rangos,2,FALSE)),38,FALSE)*(D24/40)*A24,"")</f>
        <v/>
      </c>
      <c r="I24" s="746"/>
      <c r="J24" s="748" t="str">
        <f>IFERROR((Complementos!$J$84/$A$31/Datos_Generales!$E$15)*A24,"")</f>
        <v/>
      </c>
      <c r="K24" s="751" t="str">
        <f t="shared" ca="1" si="1"/>
        <v/>
      </c>
      <c r="L24" s="752" t="str">
        <f ca="1">IFERROR((F24+G24+I24+J24)+H24/Datos_Generales!$E$15,"")</f>
        <v/>
      </c>
      <c r="M24" s="753"/>
      <c r="N24" s="754"/>
      <c r="O24" s="755">
        <f t="shared" si="3"/>
        <v>0</v>
      </c>
      <c r="P24" s="756">
        <f t="shared" si="4"/>
        <v>0</v>
      </c>
      <c r="Q24" s="757" t="str">
        <f t="shared" ca="1" si="2"/>
        <v/>
      </c>
      <c r="S24" s="758"/>
      <c r="T24" s="758"/>
      <c r="U24" s="758"/>
      <c r="V24" s="758"/>
      <c r="W24" s="758"/>
      <c r="X24" s="758"/>
      <c r="Y24" s="758"/>
      <c r="Z24" s="758"/>
      <c r="AA24" s="758"/>
      <c r="AB24" s="758"/>
      <c r="AC24" s="758"/>
      <c r="AD24" s="758"/>
      <c r="AE24" s="318"/>
      <c r="AF24" s="758"/>
      <c r="AG24" s="758"/>
      <c r="AH24" s="758"/>
      <c r="AI24" s="758"/>
      <c r="AJ24" s="758"/>
      <c r="AK24" s="758"/>
      <c r="AL24" s="758"/>
      <c r="AM24" s="758"/>
      <c r="AN24" s="758"/>
      <c r="AO24" s="758"/>
      <c r="AP24" s="758"/>
      <c r="AQ24" s="758"/>
    </row>
    <row r="25" spans="1:43" ht="14.25" customHeight="1" x14ac:dyDescent="0.2">
      <c r="A25" s="746"/>
      <c r="B25" s="747"/>
      <c r="C25" s="746">
        <v>30</v>
      </c>
      <c r="D25" s="748"/>
      <c r="E25" s="749">
        <f t="shared" si="0"/>
        <v>0</v>
      </c>
      <c r="F25" s="710" t="str">
        <f ca="1">IFERROR(VLOOKUP(B25,INDIRECT(VLOOKUP(Datos_Generales!$E$11,personal_Rangos,2,FALSE)),44,FALSE)*((D25/40)*A25)/30*C25,"")</f>
        <v/>
      </c>
      <c r="G25" s="710">
        <f ca="1">IFERROR(F25*Datos_Generales!$K$9,0)</f>
        <v>0</v>
      </c>
      <c r="H25" s="750" t="str">
        <f ca="1">IFERROR(VLOOKUP(B25,INDIRECT(VLOOKUP(Datos_Generales!$E$11,personal_Rangos,2,FALSE)),42,FALSE)*A25+VLOOKUP(B25,INDIRECT(VLOOKUP(Datos_Generales!$E$11,personal_Rangos,2,FALSE)),38,FALSE)*(D25/40)*A25,"")</f>
        <v/>
      </c>
      <c r="I25" s="746"/>
      <c r="J25" s="748" t="str">
        <f>IFERROR((Complementos!$J$84/$A$31/Datos_Generales!$E$15)*A25,"")</f>
        <v/>
      </c>
      <c r="K25" s="751" t="str">
        <f t="shared" ca="1" si="1"/>
        <v/>
      </c>
      <c r="L25" s="752" t="str">
        <f ca="1">IFERROR((F25+G25+I25+J25)+H25/Datos_Generales!$E$15,"")</f>
        <v/>
      </c>
      <c r="M25" s="753"/>
      <c r="N25" s="754"/>
      <c r="O25" s="755">
        <f t="shared" si="3"/>
        <v>0</v>
      </c>
      <c r="P25" s="756">
        <f t="shared" si="4"/>
        <v>0</v>
      </c>
      <c r="Q25" s="757" t="str">
        <f t="shared" ca="1" si="2"/>
        <v/>
      </c>
      <c r="S25" s="758"/>
      <c r="T25" s="758"/>
      <c r="U25" s="758"/>
      <c r="V25" s="758"/>
      <c r="W25" s="758"/>
      <c r="X25" s="758"/>
      <c r="Y25" s="758"/>
      <c r="Z25" s="758"/>
      <c r="AA25" s="758"/>
      <c r="AB25" s="758"/>
      <c r="AC25" s="758"/>
      <c r="AD25" s="758"/>
      <c r="AE25" s="318"/>
      <c r="AF25" s="758"/>
      <c r="AG25" s="758"/>
      <c r="AH25" s="758"/>
      <c r="AI25" s="758"/>
      <c r="AJ25" s="758"/>
      <c r="AK25" s="758"/>
      <c r="AL25" s="758"/>
      <c r="AM25" s="758"/>
      <c r="AN25" s="758"/>
      <c r="AO25" s="758"/>
      <c r="AP25" s="758"/>
      <c r="AQ25" s="758"/>
    </row>
    <row r="26" spans="1:43" ht="14.25" customHeight="1" x14ac:dyDescent="0.2">
      <c r="A26" s="746"/>
      <c r="B26" s="747"/>
      <c r="C26" s="746">
        <v>30</v>
      </c>
      <c r="D26" s="748"/>
      <c r="E26" s="749">
        <f t="shared" si="0"/>
        <v>0</v>
      </c>
      <c r="F26" s="710" t="str">
        <f ca="1">IFERROR(VLOOKUP(B26,INDIRECT(VLOOKUP(Datos_Generales!$E$11,personal_Rangos,2,FALSE)),44,FALSE)*((D26/40)*A26)/30*C26,"")</f>
        <v/>
      </c>
      <c r="G26" s="710">
        <f ca="1">IFERROR(F26*Datos_Generales!$K$9,0)</f>
        <v>0</v>
      </c>
      <c r="H26" s="750" t="str">
        <f ca="1">IFERROR(VLOOKUP(B26,INDIRECT(VLOOKUP(Datos_Generales!$E$11,personal_Rangos,2,FALSE)),42,FALSE)*A26+VLOOKUP(B26,INDIRECT(VLOOKUP(Datos_Generales!$E$11,personal_Rangos,2,FALSE)),38,FALSE)*(D26/40)*A26,"")</f>
        <v/>
      </c>
      <c r="I26" s="746"/>
      <c r="J26" s="748" t="str">
        <f>IFERROR((Complementos!$J$84/$A$31/Datos_Generales!$E$15)*A26,"")</f>
        <v/>
      </c>
      <c r="K26" s="751" t="str">
        <f t="shared" ca="1" si="1"/>
        <v/>
      </c>
      <c r="L26" s="752" t="str">
        <f ca="1">IFERROR((F26+G26+I26+J26)+H26/Datos_Generales!$E$15,"")</f>
        <v/>
      </c>
      <c r="M26" s="753"/>
      <c r="N26" s="754"/>
      <c r="O26" s="755">
        <f t="shared" si="3"/>
        <v>0</v>
      </c>
      <c r="P26" s="756">
        <f t="shared" si="4"/>
        <v>0</v>
      </c>
      <c r="Q26" s="757" t="str">
        <f t="shared" ca="1" si="2"/>
        <v/>
      </c>
      <c r="S26" s="758"/>
      <c r="T26" s="758"/>
      <c r="U26" s="758"/>
      <c r="V26" s="758"/>
      <c r="W26" s="758"/>
      <c r="X26" s="758"/>
      <c r="Y26" s="758"/>
      <c r="Z26" s="758"/>
      <c r="AA26" s="758"/>
      <c r="AB26" s="758"/>
      <c r="AC26" s="758"/>
      <c r="AD26" s="758"/>
      <c r="AE26" s="318"/>
      <c r="AF26" s="758"/>
      <c r="AG26" s="758"/>
      <c r="AH26" s="758"/>
      <c r="AI26" s="758"/>
      <c r="AJ26" s="758"/>
      <c r="AK26" s="758"/>
      <c r="AL26" s="758"/>
      <c r="AM26" s="758"/>
      <c r="AN26" s="758"/>
      <c r="AO26" s="758"/>
      <c r="AP26" s="758"/>
      <c r="AQ26" s="758"/>
    </row>
    <row r="27" spans="1:43" ht="14.25" customHeight="1" x14ac:dyDescent="0.2">
      <c r="A27" s="746"/>
      <c r="B27" s="747"/>
      <c r="C27" s="746">
        <v>30</v>
      </c>
      <c r="D27" s="748"/>
      <c r="E27" s="749">
        <f t="shared" si="0"/>
        <v>0</v>
      </c>
      <c r="F27" s="710" t="str">
        <f ca="1">IFERROR(VLOOKUP(B27,INDIRECT(VLOOKUP(Datos_Generales!$E$11,personal_Rangos,2,FALSE)),44,FALSE)*((D27/40)*A27)/30*C27,"")</f>
        <v/>
      </c>
      <c r="G27" s="710">
        <f ca="1">IFERROR(F27*Datos_Generales!$K$9,0)</f>
        <v>0</v>
      </c>
      <c r="H27" s="750" t="str">
        <f ca="1">IFERROR(VLOOKUP(B27,INDIRECT(VLOOKUP(Datos_Generales!$E$11,personal_Rangos,2,FALSE)),42,FALSE)*A27+VLOOKUP(B27,INDIRECT(VLOOKUP(Datos_Generales!$E$11,personal_Rangos,2,FALSE)),38,FALSE)*(D27/40)*A27,"")</f>
        <v/>
      </c>
      <c r="I27" s="746"/>
      <c r="J27" s="748" t="str">
        <f>IFERROR((Complementos!$J$84/$A$31/Datos_Generales!$E$15)*A27,"")</f>
        <v/>
      </c>
      <c r="K27" s="751" t="str">
        <f t="shared" ca="1" si="1"/>
        <v/>
      </c>
      <c r="L27" s="752" t="str">
        <f ca="1">IFERROR((F27+G27+I27+J27)+H27/Datos_Generales!$E$15,"")</f>
        <v/>
      </c>
      <c r="M27" s="753"/>
      <c r="N27" s="754"/>
      <c r="O27" s="755">
        <f t="shared" si="3"/>
        <v>0</v>
      </c>
      <c r="P27" s="756">
        <f t="shared" si="4"/>
        <v>0</v>
      </c>
      <c r="Q27" s="757" t="str">
        <f t="shared" ca="1" si="2"/>
        <v/>
      </c>
      <c r="S27" s="758"/>
      <c r="T27" s="758"/>
      <c r="U27" s="758"/>
      <c r="V27" s="758"/>
      <c r="W27" s="758"/>
      <c r="X27" s="758"/>
      <c r="Y27" s="758"/>
      <c r="Z27" s="758"/>
      <c r="AA27" s="758"/>
      <c r="AB27" s="758"/>
      <c r="AC27" s="758"/>
      <c r="AD27" s="758"/>
      <c r="AE27" s="318"/>
      <c r="AF27" s="758"/>
      <c r="AG27" s="758"/>
      <c r="AH27" s="758"/>
      <c r="AI27" s="758"/>
      <c r="AJ27" s="758"/>
      <c r="AK27" s="758"/>
      <c r="AL27" s="758"/>
      <c r="AM27" s="758"/>
      <c r="AN27" s="758"/>
      <c r="AO27" s="758"/>
      <c r="AP27" s="758"/>
      <c r="AQ27" s="758"/>
    </row>
    <row r="28" spans="1:43" ht="14.25" customHeight="1" x14ac:dyDescent="0.2">
      <c r="A28" s="746"/>
      <c r="B28" s="747"/>
      <c r="C28" s="746">
        <v>30</v>
      </c>
      <c r="D28" s="748"/>
      <c r="E28" s="749">
        <f t="shared" si="0"/>
        <v>0</v>
      </c>
      <c r="F28" s="710" t="str">
        <f ca="1">IFERROR(VLOOKUP(B28,INDIRECT(VLOOKUP(Datos_Generales!$E$11,personal_Rangos,2,FALSE)),44,FALSE)*((D28/40)*A28)/30*C28,"")</f>
        <v/>
      </c>
      <c r="G28" s="710">
        <f ca="1">IFERROR(F28*Datos_Generales!$K$9,0)</f>
        <v>0</v>
      </c>
      <c r="H28" s="750" t="str">
        <f ca="1">IFERROR(VLOOKUP(B28,INDIRECT(VLOOKUP(Datos_Generales!$E$11,personal_Rangos,2,FALSE)),42,FALSE)*A28+VLOOKUP(B28,INDIRECT(VLOOKUP(Datos_Generales!$E$11,personal_Rangos,2,FALSE)),38,FALSE)*(D28/40)*A28,"")</f>
        <v/>
      </c>
      <c r="I28" s="746"/>
      <c r="J28" s="748" t="str">
        <f>IFERROR((Complementos!$J$84/$A$31/Datos_Generales!$E$15)*A28,"")</f>
        <v/>
      </c>
      <c r="K28" s="751" t="str">
        <f t="shared" ca="1" si="1"/>
        <v/>
      </c>
      <c r="L28" s="752" t="str">
        <f ca="1">IFERROR((F28+G28+I28+J28)+H28/Datos_Generales!$E$15,"")</f>
        <v/>
      </c>
      <c r="M28" s="753"/>
      <c r="N28" s="754"/>
      <c r="O28" s="755">
        <f t="shared" si="3"/>
        <v>0</v>
      </c>
      <c r="P28" s="756">
        <f t="shared" si="4"/>
        <v>0</v>
      </c>
      <c r="Q28" s="757" t="str">
        <f t="shared" ca="1" si="2"/>
        <v/>
      </c>
      <c r="S28" s="758"/>
      <c r="T28" s="758"/>
      <c r="U28" s="758"/>
      <c r="V28" s="758"/>
      <c r="W28" s="758"/>
      <c r="X28" s="758"/>
      <c r="Y28" s="758"/>
      <c r="Z28" s="758"/>
      <c r="AA28" s="758"/>
      <c r="AB28" s="758"/>
      <c r="AC28" s="758"/>
      <c r="AD28" s="758"/>
      <c r="AE28" s="318"/>
      <c r="AF28" s="758"/>
      <c r="AG28" s="758"/>
      <c r="AH28" s="758"/>
      <c r="AI28" s="758"/>
      <c r="AJ28" s="758"/>
      <c r="AK28" s="758"/>
      <c r="AL28" s="758"/>
      <c r="AM28" s="758"/>
      <c r="AN28" s="758"/>
      <c r="AO28" s="758"/>
      <c r="AP28" s="758"/>
      <c r="AQ28" s="758"/>
    </row>
    <row r="29" spans="1:43" ht="14.25" customHeight="1" x14ac:dyDescent="0.2">
      <c r="A29" s="746"/>
      <c r="B29" s="747"/>
      <c r="C29" s="746">
        <v>30</v>
      </c>
      <c r="D29" s="748"/>
      <c r="E29" s="749">
        <f t="shared" si="0"/>
        <v>0</v>
      </c>
      <c r="F29" s="710" t="str">
        <f ca="1">IFERROR(VLOOKUP(B29,INDIRECT(VLOOKUP(Datos_Generales!$E$11,personal_Rangos,2,FALSE)),44,FALSE)*((D29/40)*A29)/30*C29,"")</f>
        <v/>
      </c>
      <c r="G29" s="710">
        <f ca="1">IFERROR(F29*Datos_Generales!$K$9,0)</f>
        <v>0</v>
      </c>
      <c r="H29" s="750" t="str">
        <f ca="1">IFERROR(VLOOKUP(B29,INDIRECT(VLOOKUP(Datos_Generales!$E$11,personal_Rangos,2,FALSE)),42,FALSE)*A29+VLOOKUP(B29,INDIRECT(VLOOKUP(Datos_Generales!$E$11,personal_Rangos,2,FALSE)),38,FALSE)*(D29/40)*A29,"")</f>
        <v/>
      </c>
      <c r="I29" s="746"/>
      <c r="J29" s="748" t="str">
        <f>IFERROR((Complementos!$J$84/$A$31/Datos_Generales!$E$15)*A29,"")</f>
        <v/>
      </c>
      <c r="K29" s="751" t="str">
        <f t="shared" ca="1" si="1"/>
        <v/>
      </c>
      <c r="L29" s="752" t="str">
        <f ca="1">IFERROR((F29+G29+I29+J29)+H29/Datos_Generales!$E$15,"")</f>
        <v/>
      </c>
      <c r="M29" s="753"/>
      <c r="N29" s="754"/>
      <c r="O29" s="755">
        <f t="shared" si="3"/>
        <v>0</v>
      </c>
      <c r="P29" s="756">
        <f t="shared" si="4"/>
        <v>0</v>
      </c>
      <c r="Q29" s="757" t="str">
        <f t="shared" ca="1" si="2"/>
        <v/>
      </c>
      <c r="S29" s="758"/>
      <c r="T29" s="758"/>
      <c r="U29" s="758"/>
      <c r="V29" s="758"/>
      <c r="W29" s="758"/>
      <c r="X29" s="758"/>
      <c r="Y29" s="758"/>
      <c r="Z29" s="758"/>
      <c r="AA29" s="758"/>
      <c r="AB29" s="758"/>
      <c r="AC29" s="758"/>
      <c r="AD29" s="758"/>
      <c r="AE29" s="318"/>
      <c r="AF29" s="758"/>
      <c r="AG29" s="758"/>
      <c r="AH29" s="758"/>
      <c r="AI29" s="758"/>
      <c r="AJ29" s="758"/>
      <c r="AK29" s="758"/>
      <c r="AL29" s="758"/>
      <c r="AM29" s="758"/>
      <c r="AN29" s="758"/>
      <c r="AO29" s="758"/>
      <c r="AP29" s="758"/>
      <c r="AQ29" s="758"/>
    </row>
    <row r="30" spans="1:43" ht="14.25" customHeight="1" x14ac:dyDescent="0.2">
      <c r="A30" s="746"/>
      <c r="B30" s="747"/>
      <c r="C30" s="746">
        <v>30</v>
      </c>
      <c r="D30" s="748"/>
      <c r="E30" s="749">
        <f t="shared" si="0"/>
        <v>0</v>
      </c>
      <c r="F30" s="710" t="str">
        <f ca="1">IFERROR(VLOOKUP(B30,INDIRECT(VLOOKUP(Datos_Generales!$E$11,personal_Rangos,2,FALSE)),44,FALSE)*((D30/40)*A30)/30*C30,"")</f>
        <v/>
      </c>
      <c r="G30" s="710">
        <f ca="1">IFERROR(F30*Datos_Generales!$K$9,0)</f>
        <v>0</v>
      </c>
      <c r="H30" s="750" t="str">
        <f ca="1">IFERROR(VLOOKUP(B30,INDIRECT(VLOOKUP(Datos_Generales!$E$11,personal_Rangos,2,FALSE)),42,FALSE)*A30+VLOOKUP(B30,INDIRECT(VLOOKUP(Datos_Generales!$E$11,personal_Rangos,2,FALSE)),38,FALSE)*(D30/40)*A30,"")</f>
        <v/>
      </c>
      <c r="I30" s="746"/>
      <c r="J30" s="748" t="str">
        <f>IFERROR((Complementos!$J$84/$A$31/Datos_Generales!$E$15)*A30,"")</f>
        <v/>
      </c>
      <c r="K30" s="751" t="str">
        <f t="shared" ca="1" si="1"/>
        <v/>
      </c>
      <c r="L30" s="752" t="str">
        <f ca="1">IFERROR((F30+G30+I30+J30)+H30/Datos_Generales!$E$15,"")</f>
        <v/>
      </c>
      <c r="M30" s="753"/>
      <c r="N30" s="754"/>
      <c r="O30" s="755">
        <f t="shared" si="3"/>
        <v>0</v>
      </c>
      <c r="P30" s="756">
        <f t="shared" si="4"/>
        <v>0</v>
      </c>
      <c r="Q30" s="757" t="str">
        <f t="shared" ca="1" si="2"/>
        <v/>
      </c>
      <c r="S30" s="758"/>
      <c r="T30" s="758"/>
      <c r="U30" s="758"/>
      <c r="V30" s="758"/>
      <c r="W30" s="758"/>
      <c r="X30" s="758"/>
      <c r="Y30" s="758"/>
      <c r="Z30" s="758"/>
      <c r="AA30" s="758"/>
      <c r="AB30" s="758"/>
      <c r="AC30" s="758"/>
      <c r="AD30" s="758"/>
      <c r="AE30" s="318"/>
      <c r="AF30" s="758"/>
      <c r="AG30" s="758"/>
      <c r="AH30" s="758"/>
      <c r="AI30" s="758"/>
      <c r="AJ30" s="758"/>
      <c r="AK30" s="758"/>
      <c r="AL30" s="758"/>
      <c r="AM30" s="758"/>
      <c r="AN30" s="758"/>
      <c r="AO30" s="758"/>
      <c r="AP30" s="758"/>
      <c r="AQ30" s="758"/>
    </row>
    <row r="31" spans="1:43" ht="18" customHeight="1" x14ac:dyDescent="0.2">
      <c r="A31" s="759">
        <f>SUM(A5:A30)</f>
        <v>0</v>
      </c>
      <c r="B31" s="760" t="s">
        <v>161</v>
      </c>
      <c r="C31" s="759"/>
      <c r="D31" s="759">
        <f>SUMPRODUCT(A5:A30,D5:D30)</f>
        <v>0</v>
      </c>
      <c r="E31" s="759">
        <f>SUM(E5:E30)</f>
        <v>0</v>
      </c>
      <c r="F31" s="759">
        <f ca="1">SUM(F5:F30)</f>
        <v>0</v>
      </c>
      <c r="G31" s="759">
        <f ca="1">SUM(G5:G30)</f>
        <v>0</v>
      </c>
      <c r="H31" s="759">
        <f ca="1">SUM(H5:H30)</f>
        <v>0</v>
      </c>
      <c r="I31" s="759">
        <f t="shared" ref="I31:L31" si="5">SUM(I5:I30)</f>
        <v>0</v>
      </c>
      <c r="J31" s="759">
        <f>SUM(J5:J30)*Datos_Generales!E15</f>
        <v>0</v>
      </c>
      <c r="K31" s="759">
        <f ca="1">IFERROR(SUMPRODUCT($A5:$A30,K5:K30)/$A31,0)</f>
        <v>0</v>
      </c>
      <c r="L31" s="759">
        <f t="shared" ca="1" si="5"/>
        <v>0</v>
      </c>
      <c r="M31" s="759">
        <f>IFERROR(SUMPRODUCT($A5:$A30,M5:M30)/$A31,0)</f>
        <v>0</v>
      </c>
      <c r="N31" s="761">
        <f>IFERROR(SUMPRODUCT($A5:$A30,N5:N30)/$A31,0)</f>
        <v>0</v>
      </c>
      <c r="O31" s="759">
        <f>IFERROR(SUMPRODUCT($A5:$A30,O5:O30)/$A31,0)</f>
        <v>0</v>
      </c>
      <c r="P31" s="759">
        <f>SUM(P5:P30)</f>
        <v>0</v>
      </c>
      <c r="Q31" s="762"/>
      <c r="S31" s="759">
        <f>SUM(S5:S30)</f>
        <v>0</v>
      </c>
      <c r="T31" s="759">
        <f t="shared" ref="T31:AD31" si="6">SUM(T5:T30)</f>
        <v>0</v>
      </c>
      <c r="U31" s="759">
        <f t="shared" si="6"/>
        <v>0</v>
      </c>
      <c r="V31" s="759">
        <f t="shared" si="6"/>
        <v>0</v>
      </c>
      <c r="W31" s="759">
        <f t="shared" si="6"/>
        <v>0</v>
      </c>
      <c r="X31" s="759">
        <f t="shared" si="6"/>
        <v>0</v>
      </c>
      <c r="Y31" s="759">
        <f t="shared" si="6"/>
        <v>0</v>
      </c>
      <c r="Z31" s="759">
        <f t="shared" si="6"/>
        <v>0</v>
      </c>
      <c r="AA31" s="759">
        <f t="shared" si="6"/>
        <v>0</v>
      </c>
      <c r="AB31" s="759">
        <f t="shared" si="6"/>
        <v>0</v>
      </c>
      <c r="AC31" s="759">
        <f t="shared" si="6"/>
        <v>0</v>
      </c>
      <c r="AD31" s="759">
        <f t="shared" si="6"/>
        <v>0</v>
      </c>
      <c r="AE31" s="312"/>
      <c r="AF31" s="759">
        <f>SUM(AF5:AF30)</f>
        <v>0</v>
      </c>
      <c r="AG31" s="759">
        <f t="shared" ref="AG31:AQ31" si="7">SUM(AG5:AG30)</f>
        <v>0</v>
      </c>
      <c r="AH31" s="759">
        <f t="shared" si="7"/>
        <v>0</v>
      </c>
      <c r="AI31" s="759">
        <f t="shared" si="7"/>
        <v>0</v>
      </c>
      <c r="AJ31" s="759">
        <f t="shared" si="7"/>
        <v>0</v>
      </c>
      <c r="AK31" s="759">
        <f t="shared" si="7"/>
        <v>0</v>
      </c>
      <c r="AL31" s="759">
        <f t="shared" si="7"/>
        <v>0</v>
      </c>
      <c r="AM31" s="759">
        <f t="shared" si="7"/>
        <v>0</v>
      </c>
      <c r="AN31" s="759">
        <f t="shared" si="7"/>
        <v>0</v>
      </c>
      <c r="AO31" s="759">
        <f t="shared" si="7"/>
        <v>0</v>
      </c>
      <c r="AP31" s="759">
        <f t="shared" si="7"/>
        <v>0</v>
      </c>
      <c r="AQ31" s="759">
        <f t="shared" si="7"/>
        <v>0</v>
      </c>
    </row>
    <row r="32" spans="1:43" ht="19.5" customHeight="1" x14ac:dyDescent="0.2">
      <c r="C32" s="314"/>
      <c r="D32" s="314"/>
      <c r="E32" s="315" t="s">
        <v>162</v>
      </c>
      <c r="F32" s="759">
        <f ca="1">SUM(F5:F30)*Datos_Generales!$E$15</f>
        <v>0</v>
      </c>
      <c r="G32" s="759">
        <f ca="1">SUM(G5:G30)*Datos_Generales!$E$15</f>
        <v>0</v>
      </c>
      <c r="H32" s="759">
        <f ca="1">+H31</f>
        <v>0</v>
      </c>
      <c r="I32" s="759">
        <f>SUM(I5:I30)*Datos_Generales!$E$15</f>
        <v>0</v>
      </c>
      <c r="J32" s="315" t="s">
        <v>162</v>
      </c>
      <c r="K32" s="315"/>
      <c r="L32" s="763">
        <f>SUM(S31:AD31)</f>
        <v>0</v>
      </c>
      <c r="M32" s="314"/>
      <c r="N32" s="315" t="s">
        <v>162</v>
      </c>
      <c r="O32" s="764">
        <f>SUM(AF31:AQ31)</f>
        <v>0</v>
      </c>
      <c r="P32" s="315" t="s">
        <v>162</v>
      </c>
      <c r="Q32" s="759">
        <f>+O32-L32</f>
        <v>0</v>
      </c>
      <c r="AE32" s="312"/>
    </row>
    <row r="33" spans="1:43" x14ac:dyDescent="0.2">
      <c r="C33" s="314"/>
      <c r="D33" s="314"/>
      <c r="E33" s="314"/>
      <c r="F33" s="314"/>
      <c r="G33" s="314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S33" s="316"/>
      <c r="T33" s="316"/>
      <c r="U33" s="316"/>
      <c r="V33" s="316"/>
      <c r="W33" s="316"/>
      <c r="X33" s="316"/>
      <c r="Y33" s="316"/>
      <c r="Z33" s="316"/>
      <c r="AA33" s="316"/>
      <c r="AB33" s="316"/>
      <c r="AC33" s="316"/>
      <c r="AD33" s="316"/>
      <c r="AE33" s="312"/>
    </row>
    <row r="34" spans="1:43" x14ac:dyDescent="0.2">
      <c r="C34" s="314"/>
      <c r="D34" s="314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7"/>
      <c r="S34" s="939" t="s">
        <v>142</v>
      </c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310"/>
      <c r="AF34" s="940" t="s">
        <v>143</v>
      </c>
      <c r="AG34" s="940"/>
      <c r="AH34" s="940"/>
      <c r="AI34" s="940"/>
      <c r="AJ34" s="940"/>
      <c r="AK34" s="940"/>
      <c r="AL34" s="940"/>
      <c r="AM34" s="940"/>
      <c r="AN34" s="940"/>
      <c r="AO34" s="940"/>
      <c r="AP34" s="940"/>
      <c r="AQ34" s="940"/>
    </row>
    <row r="35" spans="1:43" s="313" customFormat="1" x14ac:dyDescent="0.2">
      <c r="A35" s="708"/>
      <c r="B35" s="708" t="s">
        <v>144</v>
      </c>
      <c r="C35" s="708"/>
      <c r="D35" s="708"/>
      <c r="E35" s="708"/>
      <c r="F35" s="708"/>
      <c r="G35" s="708"/>
      <c r="H35" s="708"/>
      <c r="I35" s="708"/>
      <c r="J35" s="708"/>
      <c r="K35" s="708"/>
      <c r="L35" s="708"/>
      <c r="M35" s="765" t="str">
        <f ca="1">IFERROR((L37*(1+($M$63/$L$63)-1)),"")</f>
        <v/>
      </c>
      <c r="N35" s="708"/>
      <c r="O35" s="708"/>
      <c r="P35" s="708"/>
      <c r="Q35" s="708"/>
      <c r="R35" s="317"/>
      <c r="S35" s="743">
        <f>IF(Datos_Generales!$E$15&gt;0,1,0)</f>
        <v>0</v>
      </c>
      <c r="T35" s="743">
        <f>IF(Datos_Generales!$E$15&gt;1,1,0)</f>
        <v>0</v>
      </c>
      <c r="U35" s="743">
        <f>IF(Datos_Generales!$E$15&gt;2,1,0)</f>
        <v>0</v>
      </c>
      <c r="V35" s="743">
        <f>IF(Datos_Generales!$E$15&gt;3,1,0)</f>
        <v>0</v>
      </c>
      <c r="W35" s="743">
        <f>IF(Datos_Generales!$E$15&gt;4,1,0)</f>
        <v>0</v>
      </c>
      <c r="X35" s="743">
        <f>IF(Datos_Generales!$E$15&gt;5,1,0)</f>
        <v>0</v>
      </c>
      <c r="Y35" s="743">
        <f>IF(Datos_Generales!$E$15&gt;6,1,0)</f>
        <v>0</v>
      </c>
      <c r="Z35" s="743">
        <f>IF(Datos_Generales!$E$15&gt;7,1,0)</f>
        <v>0</v>
      </c>
      <c r="AA35" s="743">
        <f>IF(Datos_Generales!$E$15&gt;8,1,0)</f>
        <v>0</v>
      </c>
      <c r="AB35" s="743">
        <f>IF(Datos_Generales!$E$15&gt;9,1,0)</f>
        <v>0</v>
      </c>
      <c r="AC35" s="743">
        <f>IF(Datos_Generales!$E$15&gt;10,1,0)</f>
        <v>0</v>
      </c>
      <c r="AD35" s="743">
        <f>IF(Datos_Generales!$E$15&gt;11,1,0)</f>
        <v>0</v>
      </c>
      <c r="AE35" s="312"/>
      <c r="AF35" s="743">
        <f>IF(Datos_Generales!$E$15&gt;0,1,0)</f>
        <v>0</v>
      </c>
      <c r="AG35" s="743">
        <v>0</v>
      </c>
      <c r="AH35" s="743">
        <v>0</v>
      </c>
      <c r="AI35" s="743">
        <v>0</v>
      </c>
      <c r="AJ35" s="743">
        <v>0</v>
      </c>
      <c r="AK35" s="743">
        <v>0</v>
      </c>
      <c r="AL35" s="743">
        <v>0</v>
      </c>
      <c r="AM35" s="743">
        <v>0</v>
      </c>
      <c r="AN35" s="743">
        <v>0</v>
      </c>
      <c r="AO35" s="743">
        <v>0</v>
      </c>
      <c r="AP35" s="743">
        <v>0</v>
      </c>
      <c r="AQ35" s="743">
        <v>0</v>
      </c>
    </row>
    <row r="36" spans="1:43" ht="25.5" customHeight="1" x14ac:dyDescent="0.2">
      <c r="A36" s="711" t="s">
        <v>145</v>
      </c>
      <c r="B36" s="744" t="s">
        <v>163</v>
      </c>
      <c r="C36" s="711" t="s">
        <v>147</v>
      </c>
      <c r="D36" s="711" t="s">
        <v>148</v>
      </c>
      <c r="E36" s="711" t="s">
        <v>164</v>
      </c>
      <c r="F36" s="711" t="s">
        <v>165</v>
      </c>
      <c r="G36" s="711" t="s">
        <v>151</v>
      </c>
      <c r="H36" s="709" t="s">
        <v>166</v>
      </c>
      <c r="I36" s="711" t="s">
        <v>167</v>
      </c>
      <c r="J36" s="709" t="s">
        <v>168</v>
      </c>
      <c r="K36" s="709" t="s">
        <v>169</v>
      </c>
      <c r="L36" s="709" t="s">
        <v>170</v>
      </c>
      <c r="M36" s="709" t="s">
        <v>171</v>
      </c>
      <c r="N36" s="711" t="s">
        <v>118</v>
      </c>
      <c r="O36" s="711" t="s">
        <v>172</v>
      </c>
      <c r="P36" s="709" t="s">
        <v>173</v>
      </c>
      <c r="Q36" s="711" t="s">
        <v>174</v>
      </c>
      <c r="R36" s="317"/>
      <c r="S36" s="745">
        <f>+S4</f>
        <v>45596</v>
      </c>
      <c r="T36" s="745">
        <f t="shared" ref="T36:AD36" si="8">+T4</f>
        <v>45626</v>
      </c>
      <c r="U36" s="745">
        <f t="shared" si="8"/>
        <v>45657</v>
      </c>
      <c r="V36" s="745">
        <f t="shared" si="8"/>
        <v>45688</v>
      </c>
      <c r="W36" s="745">
        <f t="shared" si="8"/>
        <v>45716</v>
      </c>
      <c r="X36" s="745">
        <f t="shared" si="8"/>
        <v>45747</v>
      </c>
      <c r="Y36" s="745">
        <f t="shared" si="8"/>
        <v>45777</v>
      </c>
      <c r="Z36" s="745">
        <f t="shared" si="8"/>
        <v>45808</v>
      </c>
      <c r="AA36" s="745">
        <f t="shared" si="8"/>
        <v>45838</v>
      </c>
      <c r="AB36" s="745">
        <f t="shared" si="8"/>
        <v>45869</v>
      </c>
      <c r="AC36" s="745">
        <f t="shared" si="8"/>
        <v>45900</v>
      </c>
      <c r="AD36" s="745">
        <f t="shared" si="8"/>
        <v>45930</v>
      </c>
      <c r="AE36" s="312"/>
      <c r="AF36" s="745">
        <f>+AF4</f>
        <v>45596</v>
      </c>
      <c r="AG36" s="745">
        <f t="shared" ref="AG36:AQ36" si="9">+AG4</f>
        <v>45626</v>
      </c>
      <c r="AH36" s="745">
        <f t="shared" si="9"/>
        <v>45657</v>
      </c>
      <c r="AI36" s="745">
        <f t="shared" si="9"/>
        <v>45688</v>
      </c>
      <c r="AJ36" s="745">
        <f t="shared" si="9"/>
        <v>45716</v>
      </c>
      <c r="AK36" s="745">
        <f t="shared" si="9"/>
        <v>45747</v>
      </c>
      <c r="AL36" s="745">
        <f t="shared" si="9"/>
        <v>45777</v>
      </c>
      <c r="AM36" s="745">
        <f t="shared" si="9"/>
        <v>45808</v>
      </c>
      <c r="AN36" s="745">
        <f t="shared" si="9"/>
        <v>45838</v>
      </c>
      <c r="AO36" s="745">
        <f t="shared" si="9"/>
        <v>45869</v>
      </c>
      <c r="AP36" s="745">
        <f t="shared" si="9"/>
        <v>45900</v>
      </c>
      <c r="AQ36" s="745">
        <f t="shared" si="9"/>
        <v>45930</v>
      </c>
    </row>
    <row r="37" spans="1:43" ht="14.25" customHeight="1" x14ac:dyDescent="0.2">
      <c r="A37" s="887"/>
      <c r="B37" s="888"/>
      <c r="C37" s="887">
        <v>30</v>
      </c>
      <c r="D37" s="889"/>
      <c r="E37" s="749">
        <f>+D37/5</f>
        <v>0</v>
      </c>
      <c r="F37" s="710" t="str">
        <f ca="1">IFERROR(VLOOKUP(B37,INDIRECT(VLOOKUP(Datos_Generales!$E$11,personal_Rangos,2,FALSE)),44,FALSE)*((D37/40)*A37)/30*C37,"")</f>
        <v/>
      </c>
      <c r="G37" s="710">
        <f ca="1">IFERROR(F37*Datos_Generales!$K$9,0)</f>
        <v>0</v>
      </c>
      <c r="H37" s="710" t="str">
        <f ca="1">IFERROR(VLOOKUP(B37,INDIRECT(VLOOKUP(Datos_Generales!$E$11,personal_Rangos,2,FALSE)),42,FALSE)*A37+VLOOKUP(B37,INDIRECT(VLOOKUP(Datos_Generales!$E$11,personal_Rangos,2,FALSE)),38,FALSE)*(D37/40)*A37,"")</f>
        <v/>
      </c>
      <c r="I37" s="766"/>
      <c r="J37" s="767" t="str">
        <f ca="1">IFERROR((F37/30)*SUM(Datos_Generales!$E$38:$P$38)/Datos_Generales!$E$15,"")</f>
        <v/>
      </c>
      <c r="K37" s="768" t="str">
        <f ca="1">IFERROR(IF(L37/A37=0,"",L37/A37),"")</f>
        <v/>
      </c>
      <c r="L37" s="752" t="str">
        <f ca="1">IFERROR((F37+G37+I37+J37)+H37/Datos_Generales!$E$15,"")</f>
        <v/>
      </c>
      <c r="M37" s="769"/>
      <c r="N37" s="754"/>
      <c r="O37" s="756">
        <f>IFERROR(IF(Datos_Generales!$K$8="SI",M37*(1+N37),0),"")</f>
        <v>0</v>
      </c>
      <c r="P37" s="756">
        <f>IFERROR(O37*A37,0)</f>
        <v>0</v>
      </c>
      <c r="Q37" s="757" t="str">
        <f ca="1">IFERROR(IF(P37-L37=0,"",P37-L37),"")</f>
        <v/>
      </c>
      <c r="R37" s="317"/>
      <c r="S37" s="758"/>
      <c r="T37" s="758"/>
      <c r="U37" s="758"/>
      <c r="V37" s="758"/>
      <c r="W37" s="758"/>
      <c r="X37" s="758"/>
      <c r="Y37" s="758"/>
      <c r="Z37" s="758"/>
      <c r="AA37" s="758"/>
      <c r="AB37" s="758"/>
      <c r="AC37" s="758"/>
      <c r="AD37" s="758">
        <v>0</v>
      </c>
      <c r="AE37" s="318"/>
      <c r="AF37" s="758"/>
      <c r="AG37" s="758"/>
      <c r="AH37" s="758"/>
      <c r="AI37" s="758"/>
      <c r="AJ37" s="758"/>
      <c r="AK37" s="758"/>
      <c r="AL37" s="758"/>
      <c r="AM37" s="758"/>
      <c r="AN37" s="758"/>
      <c r="AO37" s="770"/>
      <c r="AP37" s="758"/>
      <c r="AQ37" s="758"/>
    </row>
    <row r="38" spans="1:43" ht="14.25" customHeight="1" x14ac:dyDescent="0.2">
      <c r="A38" s="746"/>
      <c r="B38" s="747"/>
      <c r="C38" s="746">
        <v>30</v>
      </c>
      <c r="D38" s="748"/>
      <c r="E38" s="749">
        <f t="shared" ref="E38:E61" si="10">+D38/5</f>
        <v>0</v>
      </c>
      <c r="F38" s="710" t="str">
        <f ca="1">IFERROR(VLOOKUP(B38,INDIRECT(VLOOKUP(Datos_Generales!$E$11,personal_Rangos,2,FALSE)),44,FALSE)*((D38/40)*A38)/30*C38,"")</f>
        <v/>
      </c>
      <c r="G38" s="710">
        <f ca="1">IFERROR(F38*Datos_Generales!$K$9,0)</f>
        <v>0</v>
      </c>
      <c r="H38" s="750" t="str">
        <f ca="1">IFERROR(VLOOKUP(B38,INDIRECT(VLOOKUP(Datos_Generales!$E$11,personal_Rangos,2,FALSE)),42,FALSE)*A38+VLOOKUP(B38,INDIRECT(VLOOKUP(Datos_Generales!$E$11,personal_Rangos,2,FALSE)),38,FALSE)*(D38/40)*A38,"")</f>
        <v/>
      </c>
      <c r="I38" s="746"/>
      <c r="J38" s="767" t="str">
        <f ca="1">IFERROR((F38/30)*SUM(Datos_Generales!$E$38:$P$38)/Datos_Generales!$E$15,"")</f>
        <v/>
      </c>
      <c r="K38" s="768" t="str">
        <f t="shared" ref="K38:K61" ca="1" si="11">IFERROR(IF(L38/A38=0,"",L38/A38),"")</f>
        <v/>
      </c>
      <c r="L38" s="752" t="str">
        <f ca="1">IFERROR((F38+G38+I38+J38)+H38/Datos_Generales!$E$15,"")</f>
        <v/>
      </c>
      <c r="M38" s="769"/>
      <c r="N38" s="754"/>
      <c r="O38" s="756">
        <f>IFERROR(IF(Datos_Generales!$K$8="SI",M38*(1+N38),0),"")</f>
        <v>0</v>
      </c>
      <c r="P38" s="756">
        <f t="shared" ref="P38:P62" si="12">IFERROR(O38*A38,0)</f>
        <v>0</v>
      </c>
      <c r="Q38" s="757" t="str">
        <f t="shared" ref="Q38:Q61" ca="1" si="13">IFERROR(IF(P38-L38=0,"",P38-L38),"")</f>
        <v/>
      </c>
      <c r="R38" s="317"/>
      <c r="S38" s="758"/>
      <c r="T38" s="758"/>
      <c r="U38" s="758"/>
      <c r="V38" s="758"/>
      <c r="W38" s="758"/>
      <c r="X38" s="758"/>
      <c r="Y38" s="758"/>
      <c r="Z38" s="758"/>
      <c r="AA38" s="758"/>
      <c r="AB38" s="758"/>
      <c r="AC38" s="758"/>
      <c r="AD38" s="758">
        <v>0</v>
      </c>
      <c r="AE38" s="318"/>
      <c r="AF38" s="758"/>
      <c r="AG38" s="758"/>
      <c r="AH38" s="758"/>
      <c r="AI38" s="758"/>
      <c r="AJ38" s="758"/>
      <c r="AK38" s="758"/>
      <c r="AL38" s="758"/>
      <c r="AM38" s="758"/>
      <c r="AN38" s="758"/>
      <c r="AO38" s="770"/>
      <c r="AP38" s="758"/>
      <c r="AQ38" s="758"/>
    </row>
    <row r="39" spans="1:43" ht="14.25" customHeight="1" x14ac:dyDescent="0.2">
      <c r="A39" s="746"/>
      <c r="B39" s="747"/>
      <c r="C39" s="746">
        <v>30</v>
      </c>
      <c r="D39" s="748"/>
      <c r="E39" s="749">
        <f t="shared" si="10"/>
        <v>0</v>
      </c>
      <c r="F39" s="710" t="str">
        <f ca="1">IFERROR(VLOOKUP(B39,INDIRECT(VLOOKUP(Datos_Generales!$E$11,personal_Rangos,2,FALSE)),44,FALSE)*((D39/40)*A39)/30*C39,"")</f>
        <v/>
      </c>
      <c r="G39" s="710">
        <f ca="1">IFERROR(F39*Datos_Generales!$K$9,0)</f>
        <v>0</v>
      </c>
      <c r="H39" s="750" t="str">
        <f ca="1">IFERROR(VLOOKUP(B39,INDIRECT(VLOOKUP(Datos_Generales!$E$11,personal_Rangos,2,FALSE)),42,FALSE)*A39+VLOOKUP(B39,INDIRECT(VLOOKUP(Datos_Generales!$E$11,personal_Rangos,2,FALSE)),38,FALSE)*(D39/40)*A39,"")</f>
        <v/>
      </c>
      <c r="I39" s="746"/>
      <c r="J39" s="767" t="str">
        <f ca="1">IFERROR((F39/30)*SUM(Datos_Generales!$E$38:$P$38)/Datos_Generales!$E$15,"")</f>
        <v/>
      </c>
      <c r="K39" s="768" t="str">
        <f t="shared" ca="1" si="11"/>
        <v/>
      </c>
      <c r="L39" s="752" t="str">
        <f ca="1">IFERROR((F39+G39+I39+J39)+H39/Datos_Generales!$E$15,"")</f>
        <v/>
      </c>
      <c r="M39" s="769"/>
      <c r="N39" s="754"/>
      <c r="O39" s="756">
        <f>IFERROR(IF(Datos_Generales!$K$8="SI",M39*(1+N39),0),"")</f>
        <v>0</v>
      </c>
      <c r="P39" s="756">
        <f t="shared" si="12"/>
        <v>0</v>
      </c>
      <c r="Q39" s="757" t="str">
        <f t="shared" ca="1" si="13"/>
        <v/>
      </c>
      <c r="R39" s="317"/>
      <c r="S39" s="758"/>
      <c r="T39" s="758"/>
      <c r="U39" s="758"/>
      <c r="V39" s="758"/>
      <c r="W39" s="758"/>
      <c r="X39" s="758"/>
      <c r="Y39" s="758"/>
      <c r="Z39" s="758"/>
      <c r="AA39" s="758"/>
      <c r="AB39" s="758"/>
      <c r="AC39" s="758"/>
      <c r="AD39" s="758">
        <v>0</v>
      </c>
      <c r="AE39" s="318"/>
      <c r="AF39" s="758"/>
      <c r="AG39" s="758"/>
      <c r="AH39" s="758"/>
      <c r="AI39" s="758"/>
      <c r="AJ39" s="758"/>
      <c r="AK39" s="758"/>
      <c r="AL39" s="770"/>
      <c r="AM39" s="758"/>
      <c r="AN39" s="758"/>
      <c r="AO39" s="770"/>
      <c r="AP39" s="758"/>
      <c r="AQ39" s="758"/>
    </row>
    <row r="40" spans="1:43" ht="14.25" customHeight="1" x14ac:dyDescent="0.2">
      <c r="A40" s="746"/>
      <c r="B40" s="747"/>
      <c r="C40" s="746">
        <v>30</v>
      </c>
      <c r="D40" s="748"/>
      <c r="E40" s="749">
        <f t="shared" si="10"/>
        <v>0</v>
      </c>
      <c r="F40" s="710" t="str">
        <f ca="1">IFERROR(VLOOKUP(B40,INDIRECT(VLOOKUP(Datos_Generales!$E$11,personal_Rangos,2,FALSE)),44,FALSE)*((D40/40)*A40)/30*C40,"")</f>
        <v/>
      </c>
      <c r="G40" s="710">
        <f ca="1">IFERROR(F40*Datos_Generales!$K$9,0)</f>
        <v>0</v>
      </c>
      <c r="H40" s="750" t="str">
        <f ca="1">IFERROR(VLOOKUP(B40,INDIRECT(VLOOKUP(Datos_Generales!$E$11,personal_Rangos,2,FALSE)),42,FALSE)*A40+VLOOKUP(B40,INDIRECT(VLOOKUP(Datos_Generales!$E$11,personal_Rangos,2,FALSE)),38,FALSE)*(D40/40)*A40,"")</f>
        <v/>
      </c>
      <c r="I40" s="746"/>
      <c r="J40" s="767" t="str">
        <f ca="1">IFERROR((F40/30)*SUM(Datos_Generales!$E$38:$P$38)/Datos_Generales!$E$15,"")</f>
        <v/>
      </c>
      <c r="K40" s="768" t="str">
        <f t="shared" ca="1" si="11"/>
        <v/>
      </c>
      <c r="L40" s="752" t="str">
        <f ca="1">IFERROR((F40+G40+I40+J40)+H40/Datos_Generales!$E$15,"")</f>
        <v/>
      </c>
      <c r="M40" s="769"/>
      <c r="N40" s="754"/>
      <c r="O40" s="756">
        <f>IFERROR(IF(Datos_Generales!$K$8="SI",M40*(1+N40),0),"")</f>
        <v>0</v>
      </c>
      <c r="P40" s="756">
        <f t="shared" si="12"/>
        <v>0</v>
      </c>
      <c r="Q40" s="757" t="str">
        <f t="shared" ca="1" si="13"/>
        <v/>
      </c>
      <c r="R40" s="317"/>
      <c r="S40" s="758"/>
      <c r="T40" s="758"/>
      <c r="U40" s="758"/>
      <c r="V40" s="758"/>
      <c r="W40" s="758"/>
      <c r="X40" s="758"/>
      <c r="Y40" s="770"/>
      <c r="Z40" s="758"/>
      <c r="AA40" s="758"/>
      <c r="AB40" s="770"/>
      <c r="AC40" s="758"/>
      <c r="AD40" s="758"/>
      <c r="AE40" s="318"/>
      <c r="AF40" s="758"/>
      <c r="AG40" s="758"/>
      <c r="AH40" s="758"/>
      <c r="AI40" s="758"/>
      <c r="AJ40" s="758"/>
      <c r="AK40" s="758"/>
      <c r="AL40" s="770"/>
      <c r="AM40" s="758"/>
      <c r="AN40" s="758"/>
      <c r="AO40" s="770"/>
      <c r="AP40" s="758"/>
      <c r="AQ40" s="758"/>
    </row>
    <row r="41" spans="1:43" ht="14.25" customHeight="1" x14ac:dyDescent="0.2">
      <c r="A41" s="746"/>
      <c r="B41" s="747"/>
      <c r="C41" s="746">
        <v>30</v>
      </c>
      <c r="D41" s="748"/>
      <c r="E41" s="749">
        <f t="shared" si="10"/>
        <v>0</v>
      </c>
      <c r="F41" s="710" t="str">
        <f ca="1">IFERROR(VLOOKUP(B41,INDIRECT(VLOOKUP(Datos_Generales!$E$11,personal_Rangos,2,FALSE)),44,FALSE)*((D41/40)*A41)/30*C41,"")</f>
        <v/>
      </c>
      <c r="G41" s="710">
        <f ca="1">IFERROR(F41*Datos_Generales!$K$9,0)</f>
        <v>0</v>
      </c>
      <c r="H41" s="750" t="str">
        <f ca="1">IFERROR(VLOOKUP(B41,INDIRECT(VLOOKUP(Datos_Generales!$E$11,personal_Rangos,2,FALSE)),42,FALSE)*A41+VLOOKUP(B41,INDIRECT(VLOOKUP(Datos_Generales!$E$11,personal_Rangos,2,FALSE)),38,FALSE)*(D41/40)*A41,"")</f>
        <v/>
      </c>
      <c r="I41" s="746"/>
      <c r="J41" s="767" t="str">
        <f ca="1">IFERROR((F41/30)*SUM(Datos_Generales!$E$38:$P$38)/Datos_Generales!$E$15,"")</f>
        <v/>
      </c>
      <c r="K41" s="768" t="str">
        <f t="shared" ca="1" si="11"/>
        <v/>
      </c>
      <c r="L41" s="752" t="str">
        <f ca="1">IFERROR((F41+G41+I41+J41)+H41/Datos_Generales!$E$15,"")</f>
        <v/>
      </c>
      <c r="M41" s="769"/>
      <c r="N41" s="754"/>
      <c r="O41" s="756">
        <f>IFERROR(IF(Datos_Generales!$K$8="SI",M41*(1+N41),0),"")</f>
        <v>0</v>
      </c>
      <c r="P41" s="756">
        <f t="shared" si="12"/>
        <v>0</v>
      </c>
      <c r="Q41" s="757" t="str">
        <f t="shared" ca="1" si="13"/>
        <v/>
      </c>
      <c r="R41" s="317"/>
      <c r="S41" s="758"/>
      <c r="T41" s="758"/>
      <c r="U41" s="758"/>
      <c r="V41" s="758"/>
      <c r="W41" s="758"/>
      <c r="X41" s="758"/>
      <c r="Y41" s="770"/>
      <c r="Z41" s="758"/>
      <c r="AA41" s="758"/>
      <c r="AB41" s="770"/>
      <c r="AC41" s="758"/>
      <c r="AD41" s="758"/>
      <c r="AE41" s="318"/>
      <c r="AF41" s="758"/>
      <c r="AG41" s="758"/>
      <c r="AH41" s="758"/>
      <c r="AI41" s="758"/>
      <c r="AJ41" s="758"/>
      <c r="AK41" s="758"/>
      <c r="AL41" s="770"/>
      <c r="AM41" s="758"/>
      <c r="AN41" s="758"/>
      <c r="AO41" s="770"/>
      <c r="AP41" s="758"/>
      <c r="AQ41" s="758"/>
    </row>
    <row r="42" spans="1:43" ht="14.25" customHeight="1" x14ac:dyDescent="0.2">
      <c r="A42" s="746"/>
      <c r="B42" s="747"/>
      <c r="C42" s="746">
        <v>30</v>
      </c>
      <c r="D42" s="748"/>
      <c r="E42" s="749">
        <f t="shared" si="10"/>
        <v>0</v>
      </c>
      <c r="F42" s="710" t="str">
        <f ca="1">IFERROR(VLOOKUP(B42,INDIRECT(VLOOKUP(Datos_Generales!$E$11,personal_Rangos,2,FALSE)),44,FALSE)*((D42/40)*A42)/30*C42,"")</f>
        <v/>
      </c>
      <c r="G42" s="710">
        <f ca="1">IFERROR(F42*Datos_Generales!$K$9,0)</f>
        <v>0</v>
      </c>
      <c r="H42" s="750" t="str">
        <f ca="1">IFERROR(VLOOKUP(B42,INDIRECT(VLOOKUP(Datos_Generales!$E$11,personal_Rangos,2,FALSE)),42,FALSE)*A42+VLOOKUP(B42,INDIRECT(VLOOKUP(Datos_Generales!$E$11,personal_Rangos,2,FALSE)),38,FALSE)*(D42/40)*A42,"")</f>
        <v/>
      </c>
      <c r="I42" s="746"/>
      <c r="J42" s="767" t="str">
        <f ca="1">IFERROR((F42/30)*SUM(Datos_Generales!$E$38:$P$38)/Datos_Generales!$E$15,"")</f>
        <v/>
      </c>
      <c r="K42" s="768" t="str">
        <f t="shared" ca="1" si="11"/>
        <v/>
      </c>
      <c r="L42" s="752" t="str">
        <f ca="1">IFERROR((F42+G42+I42+J42)+H42/Datos_Generales!$E$15,"")</f>
        <v/>
      </c>
      <c r="M42" s="769"/>
      <c r="N42" s="754"/>
      <c r="O42" s="756">
        <f>IFERROR(IF(Datos_Generales!$K$8="SI",M42*(1+N42),0),"")</f>
        <v>0</v>
      </c>
      <c r="P42" s="756">
        <f t="shared" si="12"/>
        <v>0</v>
      </c>
      <c r="Q42" s="757" t="str">
        <f t="shared" ca="1" si="13"/>
        <v/>
      </c>
      <c r="R42" s="317"/>
      <c r="S42" s="758"/>
      <c r="T42" s="758"/>
      <c r="U42" s="758"/>
      <c r="V42" s="758"/>
      <c r="W42" s="758"/>
      <c r="X42" s="758"/>
      <c r="Y42" s="770"/>
      <c r="Z42" s="758"/>
      <c r="AA42" s="758"/>
      <c r="AB42" s="770"/>
      <c r="AC42" s="758"/>
      <c r="AD42" s="758"/>
      <c r="AE42" s="318"/>
      <c r="AF42" s="758"/>
      <c r="AG42" s="758"/>
      <c r="AH42" s="758"/>
      <c r="AI42" s="758"/>
      <c r="AJ42" s="758"/>
      <c r="AK42" s="758"/>
      <c r="AL42" s="770"/>
      <c r="AM42" s="758"/>
      <c r="AN42" s="758"/>
      <c r="AO42" s="770"/>
      <c r="AP42" s="758"/>
      <c r="AQ42" s="758"/>
    </row>
    <row r="43" spans="1:43" ht="14.25" customHeight="1" x14ac:dyDescent="0.2">
      <c r="A43" s="746"/>
      <c r="B43" s="747"/>
      <c r="C43" s="746">
        <v>30</v>
      </c>
      <c r="D43" s="748"/>
      <c r="E43" s="749">
        <f t="shared" si="10"/>
        <v>0</v>
      </c>
      <c r="F43" s="710" t="str">
        <f ca="1">IFERROR(VLOOKUP(B43,INDIRECT(VLOOKUP(Datos_Generales!$E$11,personal_Rangos,2,FALSE)),44,FALSE)*((D43/40)*A43)/30*C43,"")</f>
        <v/>
      </c>
      <c r="G43" s="710">
        <f ca="1">IFERROR(F43*Datos_Generales!$K$9,0)</f>
        <v>0</v>
      </c>
      <c r="H43" s="750" t="str">
        <f ca="1">IFERROR(VLOOKUP(B43,INDIRECT(VLOOKUP(Datos_Generales!$E$11,personal_Rangos,2,FALSE)),42,FALSE)*A43+VLOOKUP(B43,INDIRECT(VLOOKUP(Datos_Generales!$E$11,personal_Rangos,2,FALSE)),38,FALSE)*(D43/40)*A43,"")</f>
        <v/>
      </c>
      <c r="I43" s="746"/>
      <c r="J43" s="767" t="str">
        <f ca="1">IFERROR((F43/30)*SUM(Datos_Generales!$E$38:$P$38)/Datos_Generales!$E$15,"")</f>
        <v/>
      </c>
      <c r="K43" s="768" t="str">
        <f t="shared" ca="1" si="11"/>
        <v/>
      </c>
      <c r="L43" s="752" t="str">
        <f ca="1">IFERROR((F43+G43+I43+J43)+H43/Datos_Generales!$E$15,"")</f>
        <v/>
      </c>
      <c r="M43" s="769"/>
      <c r="N43" s="754"/>
      <c r="O43" s="756">
        <f>IFERROR(IF(Datos_Generales!$K$8="SI",M43*(1+N43),0),"")</f>
        <v>0</v>
      </c>
      <c r="P43" s="756">
        <f t="shared" si="12"/>
        <v>0</v>
      </c>
      <c r="Q43" s="757" t="str">
        <f t="shared" ca="1" si="13"/>
        <v/>
      </c>
      <c r="R43" s="317"/>
      <c r="S43" s="758"/>
      <c r="T43" s="758"/>
      <c r="U43" s="758"/>
      <c r="V43" s="758"/>
      <c r="W43" s="758"/>
      <c r="X43" s="758"/>
      <c r="Y43" s="770"/>
      <c r="Z43" s="758"/>
      <c r="AA43" s="758"/>
      <c r="AB43" s="770"/>
      <c r="AC43" s="758"/>
      <c r="AD43" s="758"/>
      <c r="AE43" s="318"/>
      <c r="AF43" s="758"/>
      <c r="AG43" s="758"/>
      <c r="AH43" s="758"/>
      <c r="AI43" s="758"/>
      <c r="AJ43" s="758"/>
      <c r="AK43" s="758"/>
      <c r="AL43" s="770"/>
      <c r="AM43" s="758"/>
      <c r="AN43" s="758"/>
      <c r="AO43" s="770"/>
      <c r="AP43" s="758"/>
      <c r="AQ43" s="758"/>
    </row>
    <row r="44" spans="1:43" ht="14.25" customHeight="1" x14ac:dyDescent="0.2">
      <c r="A44" s="746"/>
      <c r="B44" s="747"/>
      <c r="C44" s="746">
        <v>30</v>
      </c>
      <c r="D44" s="748"/>
      <c r="E44" s="749">
        <f t="shared" si="10"/>
        <v>0</v>
      </c>
      <c r="F44" s="710" t="str">
        <f ca="1">IFERROR(VLOOKUP(B44,INDIRECT(VLOOKUP(Datos_Generales!$E$11,personal_Rangos,2,FALSE)),44,FALSE)*((D44/40)*A44)/30*C44,"")</f>
        <v/>
      </c>
      <c r="G44" s="710">
        <f ca="1">IFERROR(F44*Datos_Generales!$K$9,0)</f>
        <v>0</v>
      </c>
      <c r="H44" s="750" t="str">
        <f ca="1">IFERROR(VLOOKUP(B44,INDIRECT(VLOOKUP(Datos_Generales!$E$11,personal_Rangos,2,FALSE)),42,FALSE)*A44+VLOOKUP(B44,INDIRECT(VLOOKUP(Datos_Generales!$E$11,personal_Rangos,2,FALSE)),38,FALSE)*(D44/40)*A44,"")</f>
        <v/>
      </c>
      <c r="I44" s="746"/>
      <c r="J44" s="767" t="str">
        <f ca="1">IFERROR((F44/30)*SUM(Datos_Generales!$E$38:$P$38)/Datos_Generales!$E$15,"")</f>
        <v/>
      </c>
      <c r="K44" s="768" t="str">
        <f t="shared" ca="1" si="11"/>
        <v/>
      </c>
      <c r="L44" s="752" t="str">
        <f ca="1">IFERROR((F44+G44+I44+J44)+H44/Datos_Generales!$E$15,"")</f>
        <v/>
      </c>
      <c r="M44" s="769"/>
      <c r="N44" s="754"/>
      <c r="O44" s="756">
        <f>IFERROR(IF(Datos_Generales!$K$8="SI",M44*(1+N44),0),"")</f>
        <v>0</v>
      </c>
      <c r="P44" s="756">
        <f t="shared" si="12"/>
        <v>0</v>
      </c>
      <c r="Q44" s="757" t="str">
        <f t="shared" ca="1" si="13"/>
        <v/>
      </c>
      <c r="R44" s="317"/>
      <c r="S44" s="758"/>
      <c r="T44" s="758"/>
      <c r="U44" s="758"/>
      <c r="V44" s="758"/>
      <c r="W44" s="758"/>
      <c r="X44" s="758"/>
      <c r="Y44" s="770"/>
      <c r="Z44" s="758"/>
      <c r="AA44" s="758"/>
      <c r="AB44" s="770"/>
      <c r="AC44" s="758"/>
      <c r="AD44" s="758"/>
      <c r="AE44" s="318"/>
      <c r="AF44" s="758"/>
      <c r="AG44" s="758"/>
      <c r="AH44" s="758"/>
      <c r="AI44" s="758"/>
      <c r="AJ44" s="758"/>
      <c r="AK44" s="758"/>
      <c r="AL44" s="770"/>
      <c r="AM44" s="758"/>
      <c r="AN44" s="758"/>
      <c r="AO44" s="770"/>
      <c r="AP44" s="758"/>
      <c r="AQ44" s="758"/>
    </row>
    <row r="45" spans="1:43" ht="14.25" customHeight="1" x14ac:dyDescent="0.2">
      <c r="A45" s="746"/>
      <c r="B45" s="747"/>
      <c r="C45" s="746">
        <v>30</v>
      </c>
      <c r="D45" s="748"/>
      <c r="E45" s="749">
        <f t="shared" si="10"/>
        <v>0</v>
      </c>
      <c r="F45" s="710" t="str">
        <f ca="1">IFERROR(VLOOKUP(B45,INDIRECT(VLOOKUP(Datos_Generales!$E$11,personal_Rangos,2,FALSE)),44,FALSE)*((D45/40)*A45)/30*C45,"")</f>
        <v/>
      </c>
      <c r="G45" s="710">
        <f ca="1">IFERROR(F45*Datos_Generales!$K$9,0)</f>
        <v>0</v>
      </c>
      <c r="H45" s="750" t="str">
        <f ca="1">IFERROR(VLOOKUP(B45,INDIRECT(VLOOKUP(Datos_Generales!$E$11,personal_Rangos,2,FALSE)),42,FALSE)*A45+VLOOKUP(B45,INDIRECT(VLOOKUP(Datos_Generales!$E$11,personal_Rangos,2,FALSE)),38,FALSE)*(D45/40)*A45,"")</f>
        <v/>
      </c>
      <c r="I45" s="746"/>
      <c r="J45" s="767" t="str">
        <f ca="1">IFERROR((F45/30)*SUM(Datos_Generales!$E$38:$P$38)/Datos_Generales!$E$15,"")</f>
        <v/>
      </c>
      <c r="K45" s="768" t="str">
        <f t="shared" ca="1" si="11"/>
        <v/>
      </c>
      <c r="L45" s="752" t="str">
        <f ca="1">IFERROR((F45+G45+I45+J45)+H45/Datos_Generales!$E$15,"")</f>
        <v/>
      </c>
      <c r="M45" s="769"/>
      <c r="N45" s="754"/>
      <c r="O45" s="756">
        <f>IFERROR(IF(Datos_Generales!$K$8="SI",M45*(1+N45),0),"")</f>
        <v>0</v>
      </c>
      <c r="P45" s="756">
        <f t="shared" si="12"/>
        <v>0</v>
      </c>
      <c r="Q45" s="757" t="str">
        <f t="shared" ca="1" si="13"/>
        <v/>
      </c>
      <c r="R45" s="317"/>
      <c r="S45" s="758"/>
      <c r="T45" s="758"/>
      <c r="U45" s="758"/>
      <c r="V45" s="758"/>
      <c r="W45" s="758"/>
      <c r="X45" s="758"/>
      <c r="Y45" s="770"/>
      <c r="Z45" s="758"/>
      <c r="AA45" s="758"/>
      <c r="AB45" s="770"/>
      <c r="AC45" s="758"/>
      <c r="AD45" s="758"/>
      <c r="AE45" s="318"/>
      <c r="AF45" s="758"/>
      <c r="AG45" s="758"/>
      <c r="AH45" s="758"/>
      <c r="AI45" s="758"/>
      <c r="AJ45" s="758"/>
      <c r="AK45" s="758"/>
      <c r="AL45" s="770"/>
      <c r="AM45" s="758"/>
      <c r="AN45" s="758"/>
      <c r="AO45" s="770"/>
      <c r="AP45" s="758"/>
      <c r="AQ45" s="758"/>
    </row>
    <row r="46" spans="1:43" ht="14.25" customHeight="1" x14ac:dyDescent="0.2">
      <c r="A46" s="746"/>
      <c r="B46" s="747"/>
      <c r="C46" s="746">
        <v>30</v>
      </c>
      <c r="D46" s="748"/>
      <c r="E46" s="749">
        <f t="shared" si="10"/>
        <v>0</v>
      </c>
      <c r="F46" s="710" t="str">
        <f ca="1">IFERROR(VLOOKUP(B46,INDIRECT(VLOOKUP(Datos_Generales!$E$11,personal_Rangos,2,FALSE)),44,FALSE)*((D46/40)*A46)/30*C46,"")</f>
        <v/>
      </c>
      <c r="G46" s="710">
        <f ca="1">IFERROR(F46*Datos_Generales!$K$9,0)</f>
        <v>0</v>
      </c>
      <c r="H46" s="750" t="str">
        <f ca="1">IFERROR(VLOOKUP(B46,INDIRECT(VLOOKUP(Datos_Generales!$E$11,personal_Rangos,2,FALSE)),42,FALSE)*A46+VLOOKUP(B46,INDIRECT(VLOOKUP(Datos_Generales!$E$11,personal_Rangos,2,FALSE)),38,FALSE)*(D46/40)*A46,"")</f>
        <v/>
      </c>
      <c r="I46" s="746"/>
      <c r="J46" s="767" t="str">
        <f ca="1">IFERROR((F46/30)*SUM(Datos_Generales!$E$38:$P$38)/Datos_Generales!$E$15,"")</f>
        <v/>
      </c>
      <c r="K46" s="768" t="str">
        <f t="shared" ca="1" si="11"/>
        <v/>
      </c>
      <c r="L46" s="752" t="str">
        <f ca="1">IFERROR((F46+G46+I46+J46)+H46/Datos_Generales!$E$15,"")</f>
        <v/>
      </c>
      <c r="M46" s="769"/>
      <c r="N46" s="754"/>
      <c r="O46" s="756">
        <f>IFERROR(IF(Datos_Generales!$K$8="SI",M46*(1+N46),0),"")</f>
        <v>0</v>
      </c>
      <c r="P46" s="756">
        <f t="shared" si="12"/>
        <v>0</v>
      </c>
      <c r="Q46" s="757" t="str">
        <f t="shared" ca="1" si="13"/>
        <v/>
      </c>
      <c r="R46" s="317"/>
      <c r="S46" s="758"/>
      <c r="T46" s="758"/>
      <c r="U46" s="758"/>
      <c r="V46" s="758"/>
      <c r="W46" s="758"/>
      <c r="X46" s="758"/>
      <c r="Y46" s="770"/>
      <c r="Z46" s="758"/>
      <c r="AA46" s="758"/>
      <c r="AB46" s="770"/>
      <c r="AC46" s="758"/>
      <c r="AD46" s="758"/>
      <c r="AE46" s="318"/>
      <c r="AF46" s="758"/>
      <c r="AG46" s="758"/>
      <c r="AH46" s="758"/>
      <c r="AI46" s="758"/>
      <c r="AJ46" s="758"/>
      <c r="AK46" s="758"/>
      <c r="AL46" s="770"/>
      <c r="AM46" s="758"/>
      <c r="AN46" s="758"/>
      <c r="AO46" s="770"/>
      <c r="AP46" s="758"/>
      <c r="AQ46" s="758"/>
    </row>
    <row r="47" spans="1:43" ht="14.25" customHeight="1" x14ac:dyDescent="0.2">
      <c r="A47" s="746"/>
      <c r="B47" s="747"/>
      <c r="C47" s="746">
        <v>30</v>
      </c>
      <c r="D47" s="748"/>
      <c r="E47" s="749">
        <f t="shared" si="10"/>
        <v>0</v>
      </c>
      <c r="F47" s="710" t="str">
        <f ca="1">IFERROR(VLOOKUP(B47,INDIRECT(VLOOKUP(Datos_Generales!$E$11,personal_Rangos,2,FALSE)),44,FALSE)*((D47/40)*A47)/30*C47,"")</f>
        <v/>
      </c>
      <c r="G47" s="710">
        <f ca="1">IFERROR(F47*Datos_Generales!$K$9,0)</f>
        <v>0</v>
      </c>
      <c r="H47" s="750" t="str">
        <f ca="1">IFERROR(VLOOKUP(B47,INDIRECT(VLOOKUP(Datos_Generales!$E$11,personal_Rangos,2,FALSE)),42,FALSE)*A47+VLOOKUP(B47,INDIRECT(VLOOKUP(Datos_Generales!$E$11,personal_Rangos,2,FALSE)),38,FALSE)*(D47/40)*A47,"")</f>
        <v/>
      </c>
      <c r="I47" s="746"/>
      <c r="J47" s="767" t="str">
        <f ca="1">IFERROR((F47/30)*SUM(Datos_Generales!$E$38:$P$38)/Datos_Generales!$E$15,"")</f>
        <v/>
      </c>
      <c r="K47" s="768" t="str">
        <f t="shared" ca="1" si="11"/>
        <v/>
      </c>
      <c r="L47" s="752" t="str">
        <f ca="1">IFERROR((F47+G47+I47+J47)+H47/Datos_Generales!$E$15,"")</f>
        <v/>
      </c>
      <c r="M47" s="769"/>
      <c r="N47" s="754"/>
      <c r="O47" s="756">
        <f>IFERROR(IF(Datos_Generales!$K$8="SI",M47*(1+N47),0),"")</f>
        <v>0</v>
      </c>
      <c r="P47" s="756">
        <f t="shared" si="12"/>
        <v>0</v>
      </c>
      <c r="Q47" s="757" t="str">
        <f t="shared" ca="1" si="13"/>
        <v/>
      </c>
      <c r="R47" s="310"/>
      <c r="S47" s="758"/>
      <c r="T47" s="758"/>
      <c r="U47" s="758"/>
      <c r="V47" s="758"/>
      <c r="W47" s="758"/>
      <c r="X47" s="758"/>
      <c r="Y47" s="770"/>
      <c r="Z47" s="758"/>
      <c r="AA47" s="758"/>
      <c r="AB47" s="770"/>
      <c r="AC47" s="758"/>
      <c r="AD47" s="758"/>
      <c r="AE47" s="318"/>
      <c r="AF47" s="758"/>
      <c r="AG47" s="758"/>
      <c r="AH47" s="758"/>
      <c r="AI47" s="758"/>
      <c r="AJ47" s="758"/>
      <c r="AK47" s="758"/>
      <c r="AL47" s="770"/>
      <c r="AM47" s="758"/>
      <c r="AN47" s="758"/>
      <c r="AO47" s="770"/>
      <c r="AP47" s="758"/>
      <c r="AQ47" s="758"/>
    </row>
    <row r="48" spans="1:43" ht="14.25" customHeight="1" x14ac:dyDescent="0.2">
      <c r="A48" s="746"/>
      <c r="B48" s="747"/>
      <c r="C48" s="746">
        <v>30</v>
      </c>
      <c r="D48" s="748"/>
      <c r="E48" s="749">
        <f t="shared" si="10"/>
        <v>0</v>
      </c>
      <c r="F48" s="710" t="str">
        <f ca="1">IFERROR(VLOOKUP(B48,INDIRECT(VLOOKUP(Datos_Generales!$E$11,personal_Rangos,2,FALSE)),44,FALSE)*((D48/40)*A48)/30*C48,"")</f>
        <v/>
      </c>
      <c r="G48" s="710">
        <f ca="1">IFERROR(F48*Datos_Generales!$K$9,0)</f>
        <v>0</v>
      </c>
      <c r="H48" s="750" t="str">
        <f ca="1">IFERROR(VLOOKUP(B48,INDIRECT(VLOOKUP(Datos_Generales!$E$11,personal_Rangos,2,FALSE)),42,FALSE)*A48+VLOOKUP(B48,INDIRECT(VLOOKUP(Datos_Generales!$E$11,personal_Rangos,2,FALSE)),38,FALSE)*(D48/40)*A48,"")</f>
        <v/>
      </c>
      <c r="I48" s="746"/>
      <c r="J48" s="767" t="str">
        <f ca="1">IFERROR((F48/30)*SUM(Datos_Generales!$E$38:$P$38)/Datos_Generales!$E$15,"")</f>
        <v/>
      </c>
      <c r="K48" s="768" t="str">
        <f t="shared" ca="1" si="11"/>
        <v/>
      </c>
      <c r="L48" s="752" t="str">
        <f ca="1">IFERROR((F48+G48+I48+J48)+H48/Datos_Generales!$E$15,"")</f>
        <v/>
      </c>
      <c r="M48" s="769"/>
      <c r="N48" s="754"/>
      <c r="O48" s="756">
        <f>IFERROR(IF(Datos_Generales!$K$8="SI",M48*(1+N48),0),"")</f>
        <v>0</v>
      </c>
      <c r="P48" s="756">
        <f t="shared" si="12"/>
        <v>0</v>
      </c>
      <c r="Q48" s="757" t="str">
        <f t="shared" ca="1" si="13"/>
        <v/>
      </c>
      <c r="R48" s="936" t="str">
        <f ca="1">+Presupuesto_final!G44</f>
        <v/>
      </c>
      <c r="S48" s="758"/>
      <c r="T48" s="758"/>
      <c r="U48" s="758"/>
      <c r="V48" s="758"/>
      <c r="W48" s="758"/>
      <c r="X48" s="758"/>
      <c r="Y48" s="770"/>
      <c r="Z48" s="758"/>
      <c r="AA48" s="758"/>
      <c r="AB48" s="770"/>
      <c r="AC48" s="758"/>
      <c r="AD48" s="758"/>
      <c r="AE48" s="318"/>
      <c r="AF48" s="758"/>
      <c r="AG48" s="758"/>
      <c r="AH48" s="758"/>
      <c r="AI48" s="758"/>
      <c r="AJ48" s="758"/>
      <c r="AK48" s="758"/>
      <c r="AL48" s="770"/>
      <c r="AM48" s="758"/>
      <c r="AN48" s="758"/>
      <c r="AO48" s="770"/>
      <c r="AP48" s="758"/>
      <c r="AQ48" s="758"/>
    </row>
    <row r="49" spans="1:43" ht="14.25" customHeight="1" x14ac:dyDescent="0.2">
      <c r="A49" s="746"/>
      <c r="B49" s="747"/>
      <c r="C49" s="746">
        <v>30</v>
      </c>
      <c r="D49" s="748"/>
      <c r="E49" s="749">
        <f t="shared" si="10"/>
        <v>0</v>
      </c>
      <c r="F49" s="710" t="str">
        <f ca="1">IFERROR(VLOOKUP(B49,INDIRECT(VLOOKUP(Datos_Generales!$E$11,personal_Rangos,2,FALSE)),44,FALSE)*((D49/40)*A49)/30*C49,"")</f>
        <v/>
      </c>
      <c r="G49" s="710">
        <f ca="1">IFERROR(F49*Datos_Generales!$K$9,0)</f>
        <v>0</v>
      </c>
      <c r="H49" s="750" t="str">
        <f ca="1">IFERROR(VLOOKUP(B49,INDIRECT(VLOOKUP(Datos_Generales!$E$11,personal_Rangos,2,FALSE)),42,FALSE)*A49+VLOOKUP(B49,INDIRECT(VLOOKUP(Datos_Generales!$E$11,personal_Rangos,2,FALSE)),38,FALSE)*(D49/40)*A49,"")</f>
        <v/>
      </c>
      <c r="I49" s="746"/>
      <c r="J49" s="767" t="str">
        <f ca="1">IFERROR((F49/30)*SUM(Datos_Generales!$E$38:$P$38)/Datos_Generales!$E$15,"")</f>
        <v/>
      </c>
      <c r="K49" s="768" t="str">
        <f t="shared" ca="1" si="11"/>
        <v/>
      </c>
      <c r="L49" s="752" t="str">
        <f ca="1">IFERROR((F49+G49+I49+J49)+H49/Datos_Generales!$E$15,"")</f>
        <v/>
      </c>
      <c r="M49" s="769"/>
      <c r="N49" s="754"/>
      <c r="O49" s="756">
        <f>IFERROR(IF(Datos_Generales!$K$8="SI",M49*(1+N49),0),"")</f>
        <v>0</v>
      </c>
      <c r="P49" s="756">
        <f t="shared" si="12"/>
        <v>0</v>
      </c>
      <c r="Q49" s="757" t="str">
        <f t="shared" ca="1" si="13"/>
        <v/>
      </c>
      <c r="R49" s="937"/>
      <c r="S49" s="758"/>
      <c r="T49" s="758"/>
      <c r="U49" s="758"/>
      <c r="V49" s="758"/>
      <c r="W49" s="758"/>
      <c r="X49" s="758"/>
      <c r="Y49" s="770"/>
      <c r="Z49" s="758"/>
      <c r="AA49" s="758"/>
      <c r="AB49" s="770"/>
      <c r="AC49" s="758"/>
      <c r="AD49" s="758"/>
      <c r="AE49" s="318"/>
      <c r="AF49" s="758"/>
      <c r="AG49" s="758"/>
      <c r="AH49" s="758"/>
      <c r="AI49" s="758"/>
      <c r="AJ49" s="758"/>
      <c r="AK49" s="758"/>
      <c r="AL49" s="770"/>
      <c r="AM49" s="758"/>
      <c r="AN49" s="758"/>
      <c r="AO49" s="770"/>
      <c r="AP49" s="758"/>
      <c r="AQ49" s="758"/>
    </row>
    <row r="50" spans="1:43" ht="14.25" customHeight="1" x14ac:dyDescent="0.2">
      <c r="A50" s="746"/>
      <c r="B50" s="747"/>
      <c r="C50" s="746">
        <v>30</v>
      </c>
      <c r="D50" s="748"/>
      <c r="E50" s="749">
        <f t="shared" si="10"/>
        <v>0</v>
      </c>
      <c r="F50" s="710" t="str">
        <f ca="1">IFERROR(VLOOKUP(B50,INDIRECT(VLOOKUP(Datos_Generales!$E$11,personal_Rangos,2,FALSE)),44,FALSE)*((D50/40)*A50)/30*C50,"")</f>
        <v/>
      </c>
      <c r="G50" s="710">
        <f ca="1">IFERROR(F50*Datos_Generales!$K$9,0)</f>
        <v>0</v>
      </c>
      <c r="H50" s="750" t="str">
        <f ca="1">IFERROR(VLOOKUP(B50,INDIRECT(VLOOKUP(Datos_Generales!$E$11,personal_Rangos,2,FALSE)),42,FALSE)*A50+VLOOKUP(B50,INDIRECT(VLOOKUP(Datos_Generales!$E$11,personal_Rangos,2,FALSE)),38,FALSE)*(D50/40)*A50,"")</f>
        <v/>
      </c>
      <c r="I50" s="746"/>
      <c r="J50" s="767" t="str">
        <f ca="1">IFERROR((F50/30)*SUM(Datos_Generales!$E$38:$P$38)/Datos_Generales!$E$15,"")</f>
        <v/>
      </c>
      <c r="K50" s="768" t="str">
        <f t="shared" ca="1" si="11"/>
        <v/>
      </c>
      <c r="L50" s="752" t="str">
        <f ca="1">IFERROR((F50+G50+I50+J50)+H50/Datos_Generales!$E$15,"")</f>
        <v/>
      </c>
      <c r="M50" s="769"/>
      <c r="N50" s="754"/>
      <c r="O50" s="756">
        <f>IFERROR(IF(Datos_Generales!$K$8="SI",M50*(1+N50),0),"")</f>
        <v>0</v>
      </c>
      <c r="P50" s="756">
        <f t="shared" si="12"/>
        <v>0</v>
      </c>
      <c r="Q50" s="757" t="str">
        <f t="shared" ca="1" si="13"/>
        <v/>
      </c>
      <c r="R50" s="937"/>
      <c r="S50" s="758"/>
      <c r="T50" s="758"/>
      <c r="U50" s="758"/>
      <c r="V50" s="758"/>
      <c r="W50" s="758"/>
      <c r="X50" s="758"/>
      <c r="Y50" s="770"/>
      <c r="Z50" s="758"/>
      <c r="AA50" s="758"/>
      <c r="AB50" s="770"/>
      <c r="AC50" s="758"/>
      <c r="AD50" s="758"/>
      <c r="AE50" s="318"/>
      <c r="AF50" s="758"/>
      <c r="AG50" s="758"/>
      <c r="AH50" s="758"/>
      <c r="AI50" s="758"/>
      <c r="AJ50" s="758"/>
      <c r="AK50" s="758"/>
      <c r="AL50" s="770"/>
      <c r="AM50" s="758"/>
      <c r="AN50" s="758"/>
      <c r="AO50" s="770"/>
      <c r="AP50" s="758"/>
      <c r="AQ50" s="758"/>
    </row>
    <row r="51" spans="1:43" ht="14.25" customHeight="1" x14ac:dyDescent="0.2">
      <c r="A51" s="746"/>
      <c r="B51" s="747"/>
      <c r="C51" s="746">
        <v>30</v>
      </c>
      <c r="D51" s="748"/>
      <c r="E51" s="749">
        <f t="shared" si="10"/>
        <v>0</v>
      </c>
      <c r="F51" s="710" t="str">
        <f ca="1">IFERROR(VLOOKUP(B51,INDIRECT(VLOOKUP(Datos_Generales!$E$11,personal_Rangos,2,FALSE)),44,FALSE)*((D51/40)*A51)/30*C51,"")</f>
        <v/>
      </c>
      <c r="G51" s="710">
        <f ca="1">IFERROR(F51*Datos_Generales!$K$9,0)</f>
        <v>0</v>
      </c>
      <c r="H51" s="750" t="str">
        <f ca="1">IFERROR(VLOOKUP(B51,INDIRECT(VLOOKUP(Datos_Generales!$E$11,personal_Rangos,2,FALSE)),42,FALSE)*A51+VLOOKUP(B51,INDIRECT(VLOOKUP(Datos_Generales!$E$11,personal_Rangos,2,FALSE)),38,FALSE)*(D51/40)*A51,"")</f>
        <v/>
      </c>
      <c r="I51" s="746"/>
      <c r="J51" s="767" t="str">
        <f ca="1">IFERROR((F51/30)*SUM(Datos_Generales!$E$38:$P$38)/Datos_Generales!$E$15,"")</f>
        <v/>
      </c>
      <c r="K51" s="768" t="str">
        <f t="shared" ca="1" si="11"/>
        <v/>
      </c>
      <c r="L51" s="752" t="str">
        <f ca="1">IFERROR((F51+G51+I51+J51)+H51/Datos_Generales!$E$15,"")</f>
        <v/>
      </c>
      <c r="M51" s="769"/>
      <c r="N51" s="754"/>
      <c r="O51" s="756">
        <f>IFERROR(IF(Datos_Generales!$K$8="SI",M51*(1+N51),0),"")</f>
        <v>0</v>
      </c>
      <c r="P51" s="756">
        <f t="shared" si="12"/>
        <v>0</v>
      </c>
      <c r="Q51" s="757" t="str">
        <f t="shared" ca="1" si="13"/>
        <v/>
      </c>
      <c r="R51" s="937"/>
      <c r="S51" s="758"/>
      <c r="T51" s="758"/>
      <c r="U51" s="758"/>
      <c r="V51" s="758"/>
      <c r="W51" s="758"/>
      <c r="X51" s="758"/>
      <c r="Y51" s="770"/>
      <c r="Z51" s="758"/>
      <c r="AA51" s="758"/>
      <c r="AB51" s="770"/>
      <c r="AC51" s="758"/>
      <c r="AD51" s="758"/>
      <c r="AE51" s="318"/>
      <c r="AF51" s="758"/>
      <c r="AG51" s="758"/>
      <c r="AH51" s="758"/>
      <c r="AI51" s="758"/>
      <c r="AJ51" s="758"/>
      <c r="AK51" s="758"/>
      <c r="AL51" s="770"/>
      <c r="AM51" s="758"/>
      <c r="AN51" s="758"/>
      <c r="AO51" s="770"/>
      <c r="AP51" s="758"/>
      <c r="AQ51" s="758"/>
    </row>
    <row r="52" spans="1:43" ht="14.25" customHeight="1" x14ac:dyDescent="0.2">
      <c r="A52" s="746"/>
      <c r="B52" s="747"/>
      <c r="C52" s="746">
        <v>30</v>
      </c>
      <c r="D52" s="748"/>
      <c r="E52" s="749">
        <f t="shared" si="10"/>
        <v>0</v>
      </c>
      <c r="F52" s="710" t="str">
        <f ca="1">IFERROR(VLOOKUP(B52,INDIRECT(VLOOKUP(Datos_Generales!$E$11,personal_Rangos,2,FALSE)),44,FALSE)*((D52/40)*A52)/30*C52,"")</f>
        <v/>
      </c>
      <c r="G52" s="710">
        <f ca="1">IFERROR(F52*Datos_Generales!$K$9,0)</f>
        <v>0</v>
      </c>
      <c r="H52" s="750" t="str">
        <f ca="1">IFERROR(VLOOKUP(B52,INDIRECT(VLOOKUP(Datos_Generales!$E$11,personal_Rangos,2,FALSE)),42,FALSE)*A52+VLOOKUP(B52,INDIRECT(VLOOKUP(Datos_Generales!$E$11,personal_Rangos,2,FALSE)),38,FALSE)*(D52/40)*A52,"")</f>
        <v/>
      </c>
      <c r="I52" s="746"/>
      <c r="J52" s="767" t="str">
        <f ca="1">IFERROR((F52/30)*SUM(Datos_Generales!$E$38:$P$38)/Datos_Generales!$E$15,"")</f>
        <v/>
      </c>
      <c r="K52" s="768" t="str">
        <f t="shared" ca="1" si="11"/>
        <v/>
      </c>
      <c r="L52" s="752" t="str">
        <f ca="1">IFERROR((F52+G52+I52+J52)+H52/Datos_Generales!$E$15,"")</f>
        <v/>
      </c>
      <c r="M52" s="769"/>
      <c r="N52" s="754"/>
      <c r="O52" s="756">
        <f>IFERROR(IF(Datos_Generales!$K$8="SI",M52*(1+N52),0),"")</f>
        <v>0</v>
      </c>
      <c r="P52" s="756">
        <f t="shared" si="12"/>
        <v>0</v>
      </c>
      <c r="Q52" s="757" t="str">
        <f t="shared" ca="1" si="13"/>
        <v/>
      </c>
      <c r="R52" s="937"/>
      <c r="S52" s="758"/>
      <c r="T52" s="758"/>
      <c r="U52" s="758"/>
      <c r="V52" s="758"/>
      <c r="W52" s="758"/>
      <c r="X52" s="758"/>
      <c r="Y52" s="770"/>
      <c r="Z52" s="758"/>
      <c r="AA52" s="758"/>
      <c r="AB52" s="770"/>
      <c r="AC52" s="758"/>
      <c r="AD52" s="758"/>
      <c r="AE52" s="318"/>
      <c r="AF52" s="758"/>
      <c r="AG52" s="758"/>
      <c r="AH52" s="758"/>
      <c r="AI52" s="758"/>
      <c r="AJ52" s="758"/>
      <c r="AK52" s="758"/>
      <c r="AL52" s="770"/>
      <c r="AM52" s="758"/>
      <c r="AN52" s="758"/>
      <c r="AO52" s="770"/>
      <c r="AP52" s="758"/>
      <c r="AQ52" s="758"/>
    </row>
    <row r="53" spans="1:43" ht="14.25" customHeight="1" x14ac:dyDescent="0.2">
      <c r="A53" s="746"/>
      <c r="B53" s="747"/>
      <c r="C53" s="746">
        <v>30</v>
      </c>
      <c r="D53" s="748"/>
      <c r="E53" s="749">
        <f t="shared" si="10"/>
        <v>0</v>
      </c>
      <c r="F53" s="710" t="str">
        <f ca="1">IFERROR(VLOOKUP(B53,INDIRECT(VLOOKUP(Datos_Generales!$E$11,personal_Rangos,2,FALSE)),44,FALSE)*((D53/40)*A53)/30*C53,"")</f>
        <v/>
      </c>
      <c r="G53" s="710">
        <f ca="1">IFERROR(F53*Datos_Generales!$K$9,0)</f>
        <v>0</v>
      </c>
      <c r="H53" s="750" t="str">
        <f ca="1">IFERROR(VLOOKUP(B53,INDIRECT(VLOOKUP(Datos_Generales!$E$11,personal_Rangos,2,FALSE)),42,FALSE)*A53+VLOOKUP(B53,INDIRECT(VLOOKUP(Datos_Generales!$E$11,personal_Rangos,2,FALSE)),38,FALSE)*(D53/40)*A53,"")</f>
        <v/>
      </c>
      <c r="I53" s="746"/>
      <c r="J53" s="767" t="str">
        <f ca="1">IFERROR((F53/30)*SUM(Datos_Generales!$E$38:$P$38)/Datos_Generales!$E$15,"")</f>
        <v/>
      </c>
      <c r="K53" s="768" t="str">
        <f t="shared" ca="1" si="11"/>
        <v/>
      </c>
      <c r="L53" s="752" t="str">
        <f ca="1">IFERROR((F53+G53+I53+J53)+H53/Datos_Generales!$E$15,"")</f>
        <v/>
      </c>
      <c r="M53" s="769"/>
      <c r="N53" s="754"/>
      <c r="O53" s="756">
        <f>IFERROR(IF(Datos_Generales!$K$8="SI",M53*(1+N53),0),"")</f>
        <v>0</v>
      </c>
      <c r="P53" s="756">
        <f t="shared" si="12"/>
        <v>0</v>
      </c>
      <c r="Q53" s="757" t="str">
        <f t="shared" ca="1" si="13"/>
        <v/>
      </c>
      <c r="R53" s="938"/>
      <c r="S53" s="758"/>
      <c r="T53" s="758"/>
      <c r="U53" s="758"/>
      <c r="V53" s="758"/>
      <c r="W53" s="758"/>
      <c r="X53" s="758"/>
      <c r="Y53" s="770"/>
      <c r="Z53" s="758"/>
      <c r="AA53" s="758"/>
      <c r="AB53" s="770"/>
      <c r="AC53" s="758"/>
      <c r="AD53" s="758"/>
      <c r="AE53" s="318"/>
      <c r="AF53" s="758"/>
      <c r="AG53" s="758"/>
      <c r="AH53" s="758"/>
      <c r="AI53" s="758"/>
      <c r="AJ53" s="758"/>
      <c r="AK53" s="758"/>
      <c r="AL53" s="770"/>
      <c r="AM53" s="758"/>
      <c r="AN53" s="758"/>
      <c r="AO53" s="770"/>
      <c r="AP53" s="758"/>
      <c r="AQ53" s="758"/>
    </row>
    <row r="54" spans="1:43" ht="14.25" customHeight="1" x14ac:dyDescent="0.2">
      <c r="A54" s="746"/>
      <c r="B54" s="747"/>
      <c r="C54" s="746">
        <v>30</v>
      </c>
      <c r="D54" s="748"/>
      <c r="E54" s="749">
        <f t="shared" si="10"/>
        <v>0</v>
      </c>
      <c r="F54" s="710" t="str">
        <f ca="1">IFERROR(VLOOKUP(B54,INDIRECT(VLOOKUP(Datos_Generales!$E$11,personal_Rangos,2,FALSE)),44,FALSE)*((D54/40)*A54)/30*C54,"")</f>
        <v/>
      </c>
      <c r="G54" s="710">
        <f ca="1">IFERROR(F54*Datos_Generales!$K$9,0)</f>
        <v>0</v>
      </c>
      <c r="H54" s="750" t="str">
        <f ca="1">IFERROR(VLOOKUP(B54,INDIRECT(VLOOKUP(Datos_Generales!$E$11,personal_Rangos,2,FALSE)),42,FALSE)*A54+VLOOKUP(B54,INDIRECT(VLOOKUP(Datos_Generales!$E$11,personal_Rangos,2,FALSE)),38,FALSE)*(D54/40)*A54,"")</f>
        <v/>
      </c>
      <c r="I54" s="746"/>
      <c r="J54" s="767" t="str">
        <f ca="1">IFERROR((F54/30)*SUM(Datos_Generales!$E$38:$P$38)/Datos_Generales!$E$15,"")</f>
        <v/>
      </c>
      <c r="K54" s="768" t="str">
        <f t="shared" ca="1" si="11"/>
        <v/>
      </c>
      <c r="L54" s="752" t="str">
        <f ca="1">IFERROR((F54+G54+I54+J54)+H54/Datos_Generales!$E$15,"")</f>
        <v/>
      </c>
      <c r="M54" s="769"/>
      <c r="N54" s="754"/>
      <c r="O54" s="756">
        <f>IFERROR(IF(Datos_Generales!$K$8="SI",M54*(1+N54),0),"")</f>
        <v>0</v>
      </c>
      <c r="P54" s="756">
        <f t="shared" si="12"/>
        <v>0</v>
      </c>
      <c r="Q54" s="757" t="str">
        <f t="shared" ca="1" si="13"/>
        <v/>
      </c>
      <c r="R54" s="317"/>
      <c r="S54" s="758"/>
      <c r="T54" s="758"/>
      <c r="U54" s="758"/>
      <c r="V54" s="758"/>
      <c r="W54" s="758"/>
      <c r="X54" s="758"/>
      <c r="Y54" s="770"/>
      <c r="Z54" s="758"/>
      <c r="AA54" s="758"/>
      <c r="AB54" s="770"/>
      <c r="AC54" s="758"/>
      <c r="AD54" s="758"/>
      <c r="AE54" s="318"/>
      <c r="AF54" s="758"/>
      <c r="AG54" s="758"/>
      <c r="AH54" s="758"/>
      <c r="AI54" s="758"/>
      <c r="AJ54" s="758"/>
      <c r="AK54" s="758"/>
      <c r="AL54" s="770"/>
      <c r="AM54" s="758"/>
      <c r="AN54" s="758"/>
      <c r="AO54" s="770"/>
      <c r="AP54" s="758"/>
      <c r="AQ54" s="758"/>
    </row>
    <row r="55" spans="1:43" ht="14.25" customHeight="1" x14ac:dyDescent="0.2">
      <c r="A55" s="746"/>
      <c r="B55" s="747"/>
      <c r="C55" s="746">
        <v>30</v>
      </c>
      <c r="D55" s="748"/>
      <c r="E55" s="749">
        <f t="shared" si="10"/>
        <v>0</v>
      </c>
      <c r="F55" s="710" t="str">
        <f ca="1">IFERROR(VLOOKUP(B55,INDIRECT(VLOOKUP(Datos_Generales!$E$11,personal_Rangos,2,FALSE)),44,FALSE)*((D55/40)*A55)/30*C55,"")</f>
        <v/>
      </c>
      <c r="G55" s="710">
        <f ca="1">IFERROR(F55*Datos_Generales!$K$9,0)</f>
        <v>0</v>
      </c>
      <c r="H55" s="750" t="str">
        <f ca="1">IFERROR(VLOOKUP(B55,INDIRECT(VLOOKUP(Datos_Generales!$E$11,personal_Rangos,2,FALSE)),42,FALSE)*A55+VLOOKUP(B55,INDIRECT(VLOOKUP(Datos_Generales!$E$11,personal_Rangos,2,FALSE)),38,FALSE)*(D55/40)*A55,"")</f>
        <v/>
      </c>
      <c r="I55" s="746"/>
      <c r="J55" s="767" t="str">
        <f ca="1">IFERROR((F55/30)*SUM(Datos_Generales!$E$38:$P$38)/Datos_Generales!$E$15,"")</f>
        <v/>
      </c>
      <c r="K55" s="768" t="str">
        <f t="shared" ca="1" si="11"/>
        <v/>
      </c>
      <c r="L55" s="752" t="str">
        <f ca="1">IFERROR((F55+G55+I55+J55)+H55/Datos_Generales!$E$15,"")</f>
        <v/>
      </c>
      <c r="M55" s="769"/>
      <c r="N55" s="754"/>
      <c r="O55" s="756">
        <f>IFERROR(IF(Datos_Generales!$K$8="SI",M55*(1+N55),0),"")</f>
        <v>0</v>
      </c>
      <c r="P55" s="756">
        <f t="shared" si="12"/>
        <v>0</v>
      </c>
      <c r="Q55" s="757" t="str">
        <f t="shared" ca="1" si="13"/>
        <v/>
      </c>
      <c r="R55" s="317"/>
      <c r="S55" s="758"/>
      <c r="T55" s="758"/>
      <c r="U55" s="758"/>
      <c r="V55" s="758"/>
      <c r="W55" s="758"/>
      <c r="X55" s="758"/>
      <c r="Y55" s="770"/>
      <c r="Z55" s="758"/>
      <c r="AA55" s="758"/>
      <c r="AB55" s="770"/>
      <c r="AC55" s="758"/>
      <c r="AD55" s="758"/>
      <c r="AE55" s="318"/>
      <c r="AF55" s="758"/>
      <c r="AG55" s="758"/>
      <c r="AH55" s="758"/>
      <c r="AI55" s="758"/>
      <c r="AJ55" s="758"/>
      <c r="AK55" s="758"/>
      <c r="AL55" s="770"/>
      <c r="AM55" s="758"/>
      <c r="AN55" s="758"/>
      <c r="AO55" s="770"/>
      <c r="AP55" s="758"/>
      <c r="AQ55" s="758"/>
    </row>
    <row r="56" spans="1:43" ht="14.25" customHeight="1" x14ac:dyDescent="0.2">
      <c r="A56" s="746"/>
      <c r="B56" s="747"/>
      <c r="C56" s="746">
        <v>30</v>
      </c>
      <c r="D56" s="748"/>
      <c r="E56" s="749">
        <f t="shared" si="10"/>
        <v>0</v>
      </c>
      <c r="F56" s="710" t="str">
        <f ca="1">IFERROR(VLOOKUP(B56,INDIRECT(VLOOKUP(Datos_Generales!$E$11,personal_Rangos,2,FALSE)),44,FALSE)*((D56/40)*A56)/30*C56,"")</f>
        <v/>
      </c>
      <c r="G56" s="710">
        <f ca="1">IFERROR(F56*Datos_Generales!$K$9,0)</f>
        <v>0</v>
      </c>
      <c r="H56" s="750" t="str">
        <f ca="1">IFERROR(VLOOKUP(B56,INDIRECT(VLOOKUP(Datos_Generales!$E$11,personal_Rangos,2,FALSE)),42,FALSE)*A56+VLOOKUP(B56,INDIRECT(VLOOKUP(Datos_Generales!$E$11,personal_Rangos,2,FALSE)),38,FALSE)*(D56/40)*A56,"")</f>
        <v/>
      </c>
      <c r="I56" s="746"/>
      <c r="J56" s="767" t="str">
        <f ca="1">IFERROR((F56/30)*SUM(Datos_Generales!$E$38:$P$38)/Datos_Generales!$E$15,"")</f>
        <v/>
      </c>
      <c r="K56" s="768" t="str">
        <f t="shared" ca="1" si="11"/>
        <v/>
      </c>
      <c r="L56" s="752" t="str">
        <f ca="1">IFERROR((F56+G56+I56+J56)+H56/Datos_Generales!$E$15,"")</f>
        <v/>
      </c>
      <c r="M56" s="769"/>
      <c r="N56" s="754"/>
      <c r="O56" s="756">
        <f>IFERROR(IF(Datos_Generales!$K$8="SI",M56*(1+N56),0),"")</f>
        <v>0</v>
      </c>
      <c r="P56" s="756">
        <f t="shared" si="12"/>
        <v>0</v>
      </c>
      <c r="Q56" s="757" t="str">
        <f t="shared" ca="1" si="13"/>
        <v/>
      </c>
      <c r="R56" s="317"/>
      <c r="S56" s="758"/>
      <c r="T56" s="758"/>
      <c r="U56" s="758"/>
      <c r="V56" s="758"/>
      <c r="W56" s="758"/>
      <c r="X56" s="758"/>
      <c r="Y56" s="770"/>
      <c r="Z56" s="758"/>
      <c r="AA56" s="758"/>
      <c r="AB56" s="770"/>
      <c r="AC56" s="758"/>
      <c r="AD56" s="758"/>
      <c r="AE56" s="318"/>
      <c r="AF56" s="758"/>
      <c r="AG56" s="758"/>
      <c r="AH56" s="758"/>
      <c r="AI56" s="758"/>
      <c r="AJ56" s="758"/>
      <c r="AK56" s="758"/>
      <c r="AL56" s="770"/>
      <c r="AM56" s="758"/>
      <c r="AN56" s="758"/>
      <c r="AO56" s="770"/>
      <c r="AP56" s="758"/>
      <c r="AQ56" s="758"/>
    </row>
    <row r="57" spans="1:43" ht="14.25" customHeight="1" x14ac:dyDescent="0.2">
      <c r="A57" s="746"/>
      <c r="B57" s="747"/>
      <c r="C57" s="746">
        <v>30</v>
      </c>
      <c r="D57" s="748"/>
      <c r="E57" s="749">
        <f t="shared" si="10"/>
        <v>0</v>
      </c>
      <c r="F57" s="710" t="str">
        <f ca="1">IFERROR(VLOOKUP(B57,INDIRECT(VLOOKUP(Datos_Generales!$E$11,personal_Rangos,2,FALSE)),44,FALSE)*((D57/40)*A57)/30*C57,"")</f>
        <v/>
      </c>
      <c r="G57" s="710">
        <f ca="1">IFERROR(F57*Datos_Generales!$K$9,0)</f>
        <v>0</v>
      </c>
      <c r="H57" s="750" t="str">
        <f ca="1">IFERROR(VLOOKUP(B57,INDIRECT(VLOOKUP(Datos_Generales!$E$11,personal_Rangos,2,FALSE)),42,FALSE)*A57+VLOOKUP(B57,INDIRECT(VLOOKUP(Datos_Generales!$E$11,personal_Rangos,2,FALSE)),38,FALSE)*(D57/40)*A57,"")</f>
        <v/>
      </c>
      <c r="I57" s="746"/>
      <c r="J57" s="767" t="str">
        <f ca="1">IFERROR((F57/30)*SUM(Datos_Generales!$E$38:$P$38)/Datos_Generales!$E$15,"")</f>
        <v/>
      </c>
      <c r="K57" s="768" t="str">
        <f t="shared" ca="1" si="11"/>
        <v/>
      </c>
      <c r="L57" s="752" t="str">
        <f ca="1">IFERROR((F57+G57+I57+J57)+H57/Datos_Generales!$E$15,"")</f>
        <v/>
      </c>
      <c r="M57" s="769"/>
      <c r="N57" s="754"/>
      <c r="O57" s="756">
        <f>IFERROR(IF(Datos_Generales!$K$8="SI",M57*(1+N57),0),"")</f>
        <v>0</v>
      </c>
      <c r="P57" s="756">
        <f t="shared" si="12"/>
        <v>0</v>
      </c>
      <c r="Q57" s="757" t="str">
        <f t="shared" ca="1" si="13"/>
        <v/>
      </c>
      <c r="R57" s="317"/>
      <c r="S57" s="758"/>
      <c r="T57" s="758"/>
      <c r="U57" s="758"/>
      <c r="V57" s="758"/>
      <c r="W57" s="758"/>
      <c r="X57" s="758"/>
      <c r="Y57" s="770"/>
      <c r="Z57" s="758"/>
      <c r="AA57" s="771"/>
      <c r="AB57" s="770"/>
      <c r="AC57" s="758"/>
      <c r="AD57" s="758"/>
      <c r="AE57" s="318"/>
      <c r="AF57" s="758"/>
      <c r="AG57" s="758"/>
      <c r="AH57" s="758"/>
      <c r="AI57" s="758"/>
      <c r="AJ57" s="758"/>
      <c r="AK57" s="758"/>
      <c r="AL57" s="770"/>
      <c r="AM57" s="758"/>
      <c r="AN57" s="758"/>
      <c r="AO57" s="770"/>
      <c r="AP57" s="758"/>
      <c r="AQ57" s="758"/>
    </row>
    <row r="58" spans="1:43" ht="14.25" customHeight="1" x14ac:dyDescent="0.2">
      <c r="A58" s="746"/>
      <c r="B58" s="747"/>
      <c r="C58" s="746">
        <v>30</v>
      </c>
      <c r="D58" s="748"/>
      <c r="E58" s="749">
        <f t="shared" si="10"/>
        <v>0</v>
      </c>
      <c r="F58" s="710" t="str">
        <f ca="1">IFERROR(VLOOKUP(B58,INDIRECT(VLOOKUP(Datos_Generales!$E$11,personal_Rangos,2,FALSE)),44,FALSE)*((D58/40)*A58)/30*C58,"")</f>
        <v/>
      </c>
      <c r="G58" s="710">
        <f ca="1">IFERROR(F58*Datos_Generales!$K$9,0)</f>
        <v>0</v>
      </c>
      <c r="H58" s="750" t="str">
        <f ca="1">IFERROR(VLOOKUP(B58,INDIRECT(VLOOKUP(Datos_Generales!$E$11,personal_Rangos,2,FALSE)),42,FALSE)*A58+VLOOKUP(B58,INDIRECT(VLOOKUP(Datos_Generales!$E$11,personal_Rangos,2,FALSE)),38,FALSE)*(D58/40)*A58,"")</f>
        <v/>
      </c>
      <c r="I58" s="746"/>
      <c r="J58" s="767" t="str">
        <f ca="1">IFERROR((F58/30)*SUM(Datos_Generales!$E$38:$P$38)/Datos_Generales!$E$15,"")</f>
        <v/>
      </c>
      <c r="K58" s="768" t="str">
        <f t="shared" ca="1" si="11"/>
        <v/>
      </c>
      <c r="L58" s="752" t="str">
        <f ca="1">IFERROR((F58+G58+I58+J58)+H58/Datos_Generales!$E$15,"")</f>
        <v/>
      </c>
      <c r="M58" s="769"/>
      <c r="N58" s="754"/>
      <c r="O58" s="756">
        <f>IFERROR(IF(Datos_Generales!$K$8="SI",M58*(1+N58),0),"")</f>
        <v>0</v>
      </c>
      <c r="P58" s="756">
        <f t="shared" si="12"/>
        <v>0</v>
      </c>
      <c r="Q58" s="757" t="str">
        <f t="shared" ca="1" si="13"/>
        <v/>
      </c>
      <c r="R58" s="317"/>
      <c r="S58" s="758"/>
      <c r="T58" s="758"/>
      <c r="U58" s="758"/>
      <c r="V58" s="758"/>
      <c r="W58" s="758"/>
      <c r="X58" s="758"/>
      <c r="Y58" s="770"/>
      <c r="Z58" s="758"/>
      <c r="AA58" s="771"/>
      <c r="AB58" s="770"/>
      <c r="AC58" s="758"/>
      <c r="AD58" s="758"/>
      <c r="AE58" s="318"/>
      <c r="AF58" s="758"/>
      <c r="AG58" s="758"/>
      <c r="AH58" s="758"/>
      <c r="AI58" s="758"/>
      <c r="AJ58" s="758"/>
      <c r="AK58" s="758"/>
      <c r="AL58" s="770"/>
      <c r="AM58" s="758"/>
      <c r="AN58" s="758"/>
      <c r="AO58" s="770"/>
      <c r="AP58" s="758"/>
      <c r="AQ58" s="758"/>
    </row>
    <row r="59" spans="1:43" ht="14.25" customHeight="1" x14ac:dyDescent="0.2">
      <c r="A59" s="746"/>
      <c r="B59" s="747"/>
      <c r="C59" s="746">
        <v>30</v>
      </c>
      <c r="D59" s="748"/>
      <c r="E59" s="749">
        <f t="shared" si="10"/>
        <v>0</v>
      </c>
      <c r="F59" s="710" t="str">
        <f ca="1">IFERROR(VLOOKUP(B59,INDIRECT(VLOOKUP(Datos_Generales!$E$11,personal_Rangos,2,FALSE)),44,FALSE)*((D59/40)*A59)/30*C59,"")</f>
        <v/>
      </c>
      <c r="G59" s="710">
        <f ca="1">IFERROR(F59*Datos_Generales!$K$9,0)</f>
        <v>0</v>
      </c>
      <c r="H59" s="750" t="str">
        <f ca="1">IFERROR(VLOOKUP(B59,INDIRECT(VLOOKUP(Datos_Generales!$E$11,personal_Rangos,2,FALSE)),42,FALSE)*A59+VLOOKUP(B59,INDIRECT(VLOOKUP(Datos_Generales!$E$11,personal_Rangos,2,FALSE)),38,FALSE)*(D59/40)*A59,"")</f>
        <v/>
      </c>
      <c r="I59" s="746"/>
      <c r="J59" s="767" t="str">
        <f ca="1">IFERROR((F59/30)*SUM(Datos_Generales!$E$38:$P$38)/Datos_Generales!$E$15,"")</f>
        <v/>
      </c>
      <c r="K59" s="768" t="str">
        <f t="shared" ca="1" si="11"/>
        <v/>
      </c>
      <c r="L59" s="752" t="str">
        <f ca="1">IFERROR((F59+G59+I59+J59)+H59/Datos_Generales!$E$15,"")</f>
        <v/>
      </c>
      <c r="M59" s="769"/>
      <c r="N59" s="754"/>
      <c r="O59" s="756">
        <f>IFERROR(IF(Datos_Generales!$K$8="SI",M59*(1+N59),0),"")</f>
        <v>0</v>
      </c>
      <c r="P59" s="756">
        <f t="shared" si="12"/>
        <v>0</v>
      </c>
      <c r="Q59" s="757" t="str">
        <f t="shared" ca="1" si="13"/>
        <v/>
      </c>
      <c r="R59" s="317"/>
      <c r="S59" s="758"/>
      <c r="T59" s="758"/>
      <c r="U59" s="758"/>
      <c r="V59" s="758"/>
      <c r="W59" s="758"/>
      <c r="X59" s="758"/>
      <c r="Y59" s="770"/>
      <c r="Z59" s="758"/>
      <c r="AA59" s="771"/>
      <c r="AB59" s="770"/>
      <c r="AC59" s="758"/>
      <c r="AD59" s="758"/>
      <c r="AE59" s="318"/>
      <c r="AF59" s="758"/>
      <c r="AG59" s="758"/>
      <c r="AH59" s="758"/>
      <c r="AI59" s="758"/>
      <c r="AJ59" s="758"/>
      <c r="AK59" s="758"/>
      <c r="AL59" s="770"/>
      <c r="AM59" s="758"/>
      <c r="AN59" s="758"/>
      <c r="AO59" s="770"/>
      <c r="AP59" s="758"/>
      <c r="AQ59" s="758"/>
    </row>
    <row r="60" spans="1:43" ht="14.25" customHeight="1" x14ac:dyDescent="0.2">
      <c r="A60" s="746"/>
      <c r="B60" s="747"/>
      <c r="C60" s="746">
        <v>30</v>
      </c>
      <c r="D60" s="748"/>
      <c r="E60" s="749">
        <f t="shared" si="10"/>
        <v>0</v>
      </c>
      <c r="F60" s="710" t="str">
        <f ca="1">IFERROR(VLOOKUP(B60,INDIRECT(VLOOKUP(Datos_Generales!$E$11,personal_Rangos,2,FALSE)),44,FALSE)*((D60/40)*A60)/30*C60,"")</f>
        <v/>
      </c>
      <c r="G60" s="710">
        <f ca="1">IFERROR(F60*Datos_Generales!$K$9,0)</f>
        <v>0</v>
      </c>
      <c r="H60" s="750" t="str">
        <f ca="1">IFERROR(VLOOKUP(B60,INDIRECT(VLOOKUP(Datos_Generales!$E$11,personal_Rangos,2,FALSE)),42,FALSE)*A60+VLOOKUP(B60,INDIRECT(VLOOKUP(Datos_Generales!$E$11,personal_Rangos,2,FALSE)),38,FALSE)*(D60/40)*A60,"")</f>
        <v/>
      </c>
      <c r="I60" s="746"/>
      <c r="J60" s="767" t="str">
        <f ca="1">IFERROR((F60/30)*SUM(Datos_Generales!$E$38:$P$38)/Datos_Generales!$E$15,"")</f>
        <v/>
      </c>
      <c r="K60" s="768" t="str">
        <f t="shared" ca="1" si="11"/>
        <v/>
      </c>
      <c r="L60" s="752" t="str">
        <f ca="1">IFERROR((F60+G60+I60+J60)+H60/Datos_Generales!$E$15,"")</f>
        <v/>
      </c>
      <c r="M60" s="769"/>
      <c r="N60" s="754"/>
      <c r="O60" s="756">
        <f>IFERROR(IF(Datos_Generales!$K$8="SI",M60*(1+N60),0),"")</f>
        <v>0</v>
      </c>
      <c r="P60" s="756">
        <f t="shared" si="12"/>
        <v>0</v>
      </c>
      <c r="Q60" s="757" t="str">
        <f t="shared" ca="1" si="13"/>
        <v/>
      </c>
      <c r="R60" s="317"/>
      <c r="S60" s="758"/>
      <c r="T60" s="758"/>
      <c r="U60" s="758"/>
      <c r="V60" s="758"/>
      <c r="W60" s="758"/>
      <c r="X60" s="758"/>
      <c r="Y60" s="770"/>
      <c r="Z60" s="758"/>
      <c r="AA60" s="771"/>
      <c r="AB60" s="770"/>
      <c r="AC60" s="758"/>
      <c r="AD60" s="758"/>
      <c r="AE60" s="318"/>
      <c r="AF60" s="758"/>
      <c r="AG60" s="758"/>
      <c r="AH60" s="758"/>
      <c r="AI60" s="758"/>
      <c r="AJ60" s="758"/>
      <c r="AK60" s="758"/>
      <c r="AL60" s="770"/>
      <c r="AM60" s="758"/>
      <c r="AN60" s="758"/>
      <c r="AO60" s="770"/>
      <c r="AP60" s="758"/>
      <c r="AQ60" s="758"/>
    </row>
    <row r="61" spans="1:43" ht="14.25" customHeight="1" x14ac:dyDescent="0.2">
      <c r="A61" s="746"/>
      <c r="B61" s="747"/>
      <c r="C61" s="746">
        <v>30</v>
      </c>
      <c r="D61" s="748"/>
      <c r="E61" s="749">
        <f t="shared" si="10"/>
        <v>0</v>
      </c>
      <c r="F61" s="710" t="str">
        <f ca="1">IFERROR(VLOOKUP(B61,INDIRECT(VLOOKUP(Datos_Generales!$E$11,personal_Rangos,2,FALSE)),44,FALSE)*((D61/40)*A61)/30*C61,"")</f>
        <v/>
      </c>
      <c r="G61" s="710">
        <f ca="1">IFERROR(F61*Datos_Generales!$K$9,0)</f>
        <v>0</v>
      </c>
      <c r="H61" s="750" t="str">
        <f ca="1">IFERROR(VLOOKUP(B61,INDIRECT(VLOOKUP(Datos_Generales!$E$11,personal_Rangos,2,FALSE)),42,FALSE)*A61+VLOOKUP(B61,INDIRECT(VLOOKUP(Datos_Generales!$E$11,personal_Rangos,2,FALSE)),38,FALSE)*(D61/40)*A61,"")</f>
        <v/>
      </c>
      <c r="I61" s="746"/>
      <c r="J61" s="767" t="str">
        <f ca="1">IFERROR((F61/30)*SUM(Datos_Generales!$E$38:$P$38)/Datos_Generales!$E$15,"")</f>
        <v/>
      </c>
      <c r="K61" s="768" t="str">
        <f t="shared" ca="1" si="11"/>
        <v/>
      </c>
      <c r="L61" s="752" t="str">
        <f ca="1">IFERROR((F61+G61+I61+J61)+H61/Datos_Generales!$E$15,"")</f>
        <v/>
      </c>
      <c r="M61" s="769"/>
      <c r="N61" s="754"/>
      <c r="O61" s="756">
        <f>IFERROR(IF(Datos_Generales!$K$8="SI",M61*(1+N61),0),"")</f>
        <v>0</v>
      </c>
      <c r="P61" s="756">
        <f t="shared" si="12"/>
        <v>0</v>
      </c>
      <c r="Q61" s="757" t="str">
        <f t="shared" ca="1" si="13"/>
        <v/>
      </c>
      <c r="R61" s="319"/>
      <c r="S61" s="758"/>
      <c r="T61" s="758"/>
      <c r="U61" s="758"/>
      <c r="V61" s="758"/>
      <c r="W61" s="758"/>
      <c r="X61" s="758"/>
      <c r="Y61" s="770"/>
      <c r="Z61" s="758"/>
      <c r="AA61" s="771"/>
      <c r="AB61" s="770"/>
      <c r="AC61" s="758"/>
      <c r="AD61" s="758"/>
      <c r="AE61" s="318"/>
      <c r="AF61" s="758"/>
      <c r="AG61" s="758"/>
      <c r="AH61" s="758"/>
      <c r="AI61" s="758"/>
      <c r="AJ61" s="758"/>
      <c r="AK61" s="758"/>
      <c r="AL61" s="770"/>
      <c r="AM61" s="758"/>
      <c r="AN61" s="758"/>
      <c r="AO61" s="770"/>
      <c r="AP61" s="758"/>
      <c r="AQ61" s="758"/>
    </row>
    <row r="62" spans="1:43" ht="14.25" customHeight="1" x14ac:dyDescent="0.2">
      <c r="A62" s="772"/>
      <c r="B62" s="773"/>
      <c r="C62" s="774"/>
      <c r="D62" s="774"/>
      <c r="E62" s="774"/>
      <c r="F62" s="712"/>
      <c r="G62" s="712"/>
      <c r="H62" s="712" t="str">
        <f ca="1">IFERROR(VLOOKUP(B62,INDIRECT(VLOOKUP(Datos_Generales!$E$11,personal_Rangos,2,FALSE)),42,FALSE)*A62+VLOOKUP(B62,INDIRECT(VLOOKUP(Datos_Generales!$E$11,personal_Rangos,2,FALSE)),38,FALSE)*(D62/40)*A62,"")</f>
        <v/>
      </c>
      <c r="I62" s="772"/>
      <c r="J62" s="775">
        <f>IFERROR((F62/30)*SUM(Datos_Generales!$E$38:$P$38),"")</f>
        <v>0</v>
      </c>
      <c r="K62" s="775">
        <f>IFERROR(L62/A62,0)</f>
        <v>0</v>
      </c>
      <c r="L62" s="333">
        <f>IF(Datos_Generales!K12="SI",Presupuesto_final!D34,0)</f>
        <v>0</v>
      </c>
      <c r="M62" s="421"/>
      <c r="N62" s="422"/>
      <c r="O62" s="333">
        <f>IFERROR(IF(Datos_Generales!$K$8="SI",M62*(1+N62),0),"")</f>
        <v>0</v>
      </c>
      <c r="P62" s="775">
        <f t="shared" si="12"/>
        <v>0</v>
      </c>
      <c r="Q62" s="775">
        <f t="shared" ref="Q62" si="14">IFERROR((P62-L62),0)</f>
        <v>0</v>
      </c>
      <c r="R62" s="317"/>
      <c r="S62" s="776"/>
      <c r="T62" s="776"/>
      <c r="U62" s="776"/>
      <c r="V62" s="776"/>
      <c r="W62" s="776"/>
      <c r="X62" s="776"/>
      <c r="Y62" s="776"/>
      <c r="Z62" s="776"/>
      <c r="AA62" s="776"/>
      <c r="AB62" s="776"/>
      <c r="AC62" s="776"/>
      <c r="AD62" s="776"/>
      <c r="AE62" s="463"/>
      <c r="AF62" s="776"/>
      <c r="AG62" s="776"/>
      <c r="AH62" s="776"/>
      <c r="AI62" s="776"/>
      <c r="AJ62" s="776"/>
      <c r="AK62" s="776"/>
      <c r="AL62" s="776"/>
      <c r="AM62" s="776"/>
      <c r="AN62" s="776"/>
      <c r="AO62" s="776"/>
      <c r="AP62" s="776"/>
      <c r="AQ62" s="776"/>
    </row>
    <row r="63" spans="1:43" ht="22.5" customHeight="1" x14ac:dyDescent="0.2">
      <c r="A63" s="759">
        <f>SUM(A37:A61)</f>
        <v>0</v>
      </c>
      <c r="B63" s="777" t="s">
        <v>161</v>
      </c>
      <c r="C63" s="759"/>
      <c r="D63" s="759">
        <f>SUM(D37:D61)</f>
        <v>0</v>
      </c>
      <c r="E63" s="759">
        <f>SUM(E37:E62)</f>
        <v>0</v>
      </c>
      <c r="F63" s="759">
        <f t="shared" ref="F63:L63" ca="1" si="15">SUM(F37:F61)</f>
        <v>0</v>
      </c>
      <c r="G63" s="759">
        <f t="shared" ca="1" si="15"/>
        <v>0</v>
      </c>
      <c r="H63" s="759">
        <f t="shared" ca="1" si="15"/>
        <v>0</v>
      </c>
      <c r="I63" s="759">
        <f t="shared" si="15"/>
        <v>0</v>
      </c>
      <c r="J63" s="759">
        <f t="shared" ca="1" si="15"/>
        <v>0</v>
      </c>
      <c r="K63" s="759">
        <f ca="1">IFERROR(SUMPRODUCT($A37:$A62,K37:K62)/$A63,0)</f>
        <v>0</v>
      </c>
      <c r="L63" s="320">
        <f t="shared" ca="1" si="15"/>
        <v>0</v>
      </c>
      <c r="M63" s="759">
        <f>IFERROR(SUMPRODUCT($A37:$A62,M37:M62)/$A63,0)</f>
        <v>0</v>
      </c>
      <c r="N63" s="761">
        <f>IFERROR(SUMPRODUCT($A37:$A62,N37:N62)/$A63,0)</f>
        <v>0</v>
      </c>
      <c r="O63" s="759">
        <f>SUM(O37:O61)</f>
        <v>0</v>
      </c>
      <c r="P63" s="764">
        <f>SUM(P37:P61)</f>
        <v>0</v>
      </c>
      <c r="Q63" s="759">
        <f ca="1">SUM(Q37:Q61)</f>
        <v>0</v>
      </c>
      <c r="R63" s="317"/>
      <c r="S63" s="759">
        <f>SUM(S37:S62)</f>
        <v>0</v>
      </c>
      <c r="T63" s="759">
        <f t="shared" ref="T63" si="16">SUM(T37:T62)</f>
        <v>0</v>
      </c>
      <c r="U63" s="759">
        <f t="shared" ref="U63" si="17">SUM(U37:U62)</f>
        <v>0</v>
      </c>
      <c r="V63" s="759">
        <f t="shared" ref="V63" si="18">SUM(V37:V62)</f>
        <v>0</v>
      </c>
      <c r="W63" s="759">
        <f t="shared" ref="W63" si="19">SUM(W37:W62)</f>
        <v>0</v>
      </c>
      <c r="X63" s="759">
        <f t="shared" ref="X63" si="20">SUM(X37:X62)</f>
        <v>0</v>
      </c>
      <c r="Y63" s="759">
        <f t="shared" ref="Y63" si="21">SUM(Y37:Y62)</f>
        <v>0</v>
      </c>
      <c r="Z63" s="759">
        <f t="shared" ref="Z63" si="22">SUM(Z37:Z62)</f>
        <v>0</v>
      </c>
      <c r="AA63" s="759">
        <f t="shared" ref="AA63" si="23">SUM(AA37:AA62)</f>
        <v>0</v>
      </c>
      <c r="AB63" s="759">
        <f t="shared" ref="AB63" si="24">SUM(AB37:AB62)</f>
        <v>0</v>
      </c>
      <c r="AC63" s="759">
        <f t="shared" ref="AC63" si="25">SUM(AC37:AC62)</f>
        <v>0</v>
      </c>
      <c r="AD63" s="759">
        <f t="shared" ref="AD63" si="26">SUM(AD37:AD62)</f>
        <v>0</v>
      </c>
      <c r="AE63" s="312"/>
      <c r="AF63" s="759">
        <f>SUM(AF37:AF62)</f>
        <v>0</v>
      </c>
      <c r="AG63" s="759">
        <f t="shared" ref="AG63" si="27">SUM(AG37:AG62)</f>
        <v>0</v>
      </c>
      <c r="AH63" s="759">
        <f t="shared" ref="AH63" si="28">SUM(AH37:AH62)</f>
        <v>0</v>
      </c>
      <c r="AI63" s="759">
        <f t="shared" ref="AI63" si="29">SUM(AI37:AI62)</f>
        <v>0</v>
      </c>
      <c r="AJ63" s="759">
        <f t="shared" ref="AJ63" si="30">SUM(AJ37:AJ62)</f>
        <v>0</v>
      </c>
      <c r="AK63" s="759">
        <f t="shared" ref="AK63" si="31">SUM(AK37:AK62)</f>
        <v>0</v>
      </c>
      <c r="AL63" s="759">
        <f t="shared" ref="AL63" si="32">SUM(AL37:AL62)</f>
        <v>0</v>
      </c>
      <c r="AM63" s="759">
        <f t="shared" ref="AM63" si="33">SUM(AM37:AM62)</f>
        <v>0</v>
      </c>
      <c r="AN63" s="759">
        <f t="shared" ref="AN63" si="34">SUM(AN37:AN62)</f>
        <v>0</v>
      </c>
      <c r="AO63" s="759">
        <f t="shared" ref="AO63" si="35">SUM(AO37:AO62)</f>
        <v>0</v>
      </c>
      <c r="AP63" s="759">
        <f t="shared" ref="AP63" si="36">SUM(AP37:AP62)</f>
        <v>0</v>
      </c>
      <c r="AQ63" s="759">
        <f t="shared" ref="AQ63" si="37">SUM(AQ37:AQ62)</f>
        <v>0</v>
      </c>
    </row>
    <row r="64" spans="1:43" s="313" customFormat="1" ht="27" customHeight="1" x14ac:dyDescent="0.2">
      <c r="A64" s="321"/>
      <c r="C64" s="316"/>
      <c r="D64" s="316"/>
      <c r="E64" s="315" t="s">
        <v>162</v>
      </c>
      <c r="F64" s="759">
        <f ca="1">SUM(F37:F62)*Datos_Generales!$E$15</f>
        <v>0</v>
      </c>
      <c r="G64" s="759">
        <f ca="1">SUM(G37:G62)*Datos_Generales!$E$15</f>
        <v>0</v>
      </c>
      <c r="H64" s="759">
        <f ca="1">+H63</f>
        <v>0</v>
      </c>
      <c r="I64" s="759">
        <f>SUM(I37:I62)*Datos_Generales!$E$15</f>
        <v>0</v>
      </c>
      <c r="J64" s="315" t="s">
        <v>162</v>
      </c>
      <c r="K64" s="315"/>
      <c r="L64" s="663">
        <f>SUM(S63:AD63)</f>
        <v>0</v>
      </c>
      <c r="M64" s="322">
        <f>L64/11</f>
        <v>0</v>
      </c>
      <c r="N64" s="315" t="s">
        <v>162</v>
      </c>
      <c r="O64" s="662">
        <f>SUM(AF63:AQ63)</f>
        <v>0</v>
      </c>
      <c r="P64" s="315" t="s">
        <v>162</v>
      </c>
      <c r="Q64" s="759">
        <f>O64-L64</f>
        <v>0</v>
      </c>
      <c r="R64" s="317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4"/>
    </row>
    <row r="65" spans="1:31" s="313" customFormat="1" ht="12" customHeight="1" x14ac:dyDescent="0.2">
      <c r="A65" s="321"/>
      <c r="C65" s="325"/>
      <c r="D65" s="325"/>
      <c r="E65" s="325"/>
      <c r="F65" s="325"/>
      <c r="G65" s="325"/>
      <c r="H65" s="325"/>
      <c r="I65" s="325"/>
      <c r="J65" s="325"/>
      <c r="K65" s="325"/>
      <c r="L65" s="318"/>
      <c r="M65" s="325"/>
      <c r="N65" s="326"/>
      <c r="O65" s="318"/>
      <c r="P65" s="318"/>
      <c r="Q65" s="325"/>
      <c r="S65" s="327"/>
      <c r="T65" s="327"/>
      <c r="U65" s="327"/>
      <c r="V65" s="327"/>
      <c r="W65" s="327"/>
      <c r="X65" s="327"/>
      <c r="Y65" s="327"/>
      <c r="Z65" s="327"/>
      <c r="AA65" s="327"/>
      <c r="AB65" s="327"/>
      <c r="AC65" s="327"/>
      <c r="AD65" s="327"/>
      <c r="AE65" s="324"/>
    </row>
    <row r="66" spans="1:31" s="313" customFormat="1" ht="22.5" customHeight="1" x14ac:dyDescent="0.2">
      <c r="A66" s="306"/>
      <c r="B66" s="328"/>
      <c r="C66" s="325"/>
      <c r="D66" s="325"/>
      <c r="E66" s="325"/>
      <c r="F66" s="325"/>
      <c r="G66" s="325"/>
      <c r="H66" s="325"/>
      <c r="I66" s="325"/>
      <c r="J66" s="318" t="s">
        <v>175</v>
      </c>
      <c r="K66" s="703">
        <v>0</v>
      </c>
      <c r="L66" s="702">
        <f ca="1">+L63*(K66+1)</f>
        <v>0</v>
      </c>
      <c r="M66" s="325"/>
      <c r="N66" s="325"/>
      <c r="O66" s="325"/>
      <c r="P66" s="325"/>
      <c r="Q66" s="325"/>
      <c r="R66" s="328"/>
      <c r="S66" s="329"/>
      <c r="T66" s="329"/>
      <c r="U66" s="329"/>
      <c r="V66" s="329"/>
      <c r="W66" s="329"/>
      <c r="X66" s="329"/>
      <c r="Y66" s="329"/>
      <c r="Z66" s="329"/>
      <c r="AA66" s="329"/>
      <c r="AB66" s="329"/>
      <c r="AC66" s="329"/>
      <c r="AD66" s="329"/>
      <c r="AE66" s="330"/>
    </row>
    <row r="67" spans="1:31" s="313" customFormat="1" ht="15.75" customHeight="1" x14ac:dyDescent="0.2">
      <c r="A67" s="306"/>
      <c r="B67" s="328"/>
      <c r="C67" s="325"/>
      <c r="D67" s="325"/>
      <c r="E67" s="325"/>
      <c r="F67" s="325"/>
      <c r="G67" s="325"/>
      <c r="H67" s="325"/>
      <c r="I67" s="325"/>
      <c r="J67" s="325"/>
      <c r="K67" s="325"/>
      <c r="L67" s="325"/>
      <c r="M67" s="325"/>
      <c r="N67" s="325"/>
      <c r="O67" s="325"/>
      <c r="P67" s="325"/>
      <c r="Q67" s="325"/>
      <c r="R67" s="328"/>
      <c r="S67" s="329"/>
      <c r="T67" s="329"/>
      <c r="U67" s="329"/>
      <c r="V67" s="329"/>
      <c r="W67" s="329"/>
      <c r="X67" s="329"/>
      <c r="Y67" s="329"/>
      <c r="Z67" s="329"/>
      <c r="AA67" s="329"/>
      <c r="AB67" s="329"/>
      <c r="AC67" s="329"/>
      <c r="AD67" s="329"/>
      <c r="AE67" s="330"/>
    </row>
    <row r="68" spans="1:31" s="313" customFormat="1" ht="15.75" customHeight="1" x14ac:dyDescent="0.2">
      <c r="A68" s="306"/>
      <c r="B68" s="328"/>
      <c r="C68" s="325"/>
      <c r="D68" s="325"/>
      <c r="E68" s="325"/>
      <c r="F68" s="325"/>
      <c r="G68" s="325"/>
      <c r="H68" s="325"/>
      <c r="I68" s="325"/>
      <c r="J68" s="325"/>
      <c r="K68" s="325"/>
      <c r="L68" s="325"/>
      <c r="M68" s="325"/>
      <c r="N68" s="325"/>
      <c r="O68" s="325"/>
      <c r="P68" s="325"/>
      <c r="Q68" s="325"/>
      <c r="R68" s="328"/>
      <c r="S68" s="329"/>
      <c r="T68" s="329"/>
      <c r="U68" s="329"/>
      <c r="V68" s="329"/>
      <c r="W68" s="329"/>
      <c r="X68" s="329"/>
      <c r="Y68" s="329"/>
      <c r="Z68" s="329"/>
      <c r="AA68" s="329"/>
      <c r="AB68" s="329"/>
      <c r="AC68" s="329"/>
      <c r="AD68" s="329"/>
      <c r="AE68" s="330"/>
    </row>
    <row r="69" spans="1:31" s="313" customFormat="1" ht="15.75" customHeight="1" x14ac:dyDescent="0.2">
      <c r="A69" s="306"/>
      <c r="B69" s="328"/>
      <c r="C69" s="325"/>
      <c r="D69" s="325"/>
      <c r="E69" s="325"/>
      <c r="F69" s="325"/>
      <c r="G69" s="325"/>
      <c r="H69" s="325"/>
      <c r="I69" s="325"/>
      <c r="J69" s="325"/>
      <c r="K69" s="325"/>
      <c r="L69" s="325"/>
      <c r="M69" s="325"/>
      <c r="N69" s="331"/>
      <c r="O69" s="325"/>
      <c r="P69" s="325"/>
      <c r="Q69" s="325"/>
      <c r="R69" s="328"/>
      <c r="S69" s="329"/>
      <c r="T69" s="329"/>
      <c r="U69" s="329"/>
      <c r="V69" s="329"/>
      <c r="W69" s="329"/>
      <c r="X69" s="329"/>
      <c r="Y69" s="329"/>
      <c r="Z69" s="329"/>
      <c r="AA69" s="329"/>
      <c r="AB69" s="329"/>
      <c r="AC69" s="329"/>
      <c r="AD69" s="329"/>
      <c r="AE69" s="330"/>
    </row>
    <row r="70" spans="1:31" s="313" customFormat="1" ht="15.75" customHeight="1" x14ac:dyDescent="0.2">
      <c r="A70" s="306"/>
      <c r="B70" s="328"/>
      <c r="C70" s="325"/>
      <c r="D70" s="325"/>
      <c r="E70" s="325"/>
      <c r="F70" s="325"/>
      <c r="G70" s="325"/>
      <c r="H70" s="325"/>
      <c r="I70" s="325"/>
      <c r="J70" s="325"/>
      <c r="K70" s="325"/>
      <c r="L70" s="325"/>
      <c r="M70" s="325"/>
      <c r="N70" s="331"/>
      <c r="O70" s="325"/>
      <c r="P70" s="325"/>
      <c r="Q70" s="325"/>
      <c r="R70" s="328"/>
      <c r="S70" s="329"/>
      <c r="T70" s="329"/>
      <c r="U70" s="329"/>
      <c r="V70" s="329"/>
      <c r="W70" s="329"/>
      <c r="X70" s="329"/>
      <c r="Y70" s="329"/>
      <c r="Z70" s="329"/>
      <c r="AA70" s="329"/>
      <c r="AB70" s="329"/>
      <c r="AC70" s="329"/>
      <c r="AD70" s="329"/>
      <c r="AE70" s="330"/>
    </row>
  </sheetData>
  <sheetProtection algorithmName="SHA-512" hashValue="EJTLcrU9BBKG7SHsrA2W6zPMB0IX5Yuv2rMOkl6Zu5OTAXra18DqPRsxBYrUthmYnM4bqCcaW2Q4oHqUnSiUEQ==" saltValue="mrmMNd8sHPBl+hTH6vRRUQ==" spinCount="100000" sheet="1" formatCells="0" formatColumns="0"/>
  <mergeCells count="6">
    <mergeCell ref="R48:R53"/>
    <mergeCell ref="S2:AD2"/>
    <mergeCell ref="AF2:AQ2"/>
    <mergeCell ref="S34:AD34"/>
    <mergeCell ref="AF34:AQ34"/>
    <mergeCell ref="R10:R15"/>
  </mergeCells>
  <conditionalFormatting sqref="S3:AD3">
    <cfRule type="cellIs" dxfId="69" priority="6" operator="equal">
      <formula>0</formula>
    </cfRule>
  </conditionalFormatting>
  <conditionalFormatting sqref="AF3:AQ3">
    <cfRule type="cellIs" dxfId="68" priority="5" operator="equal">
      <formula>0</formula>
    </cfRule>
  </conditionalFormatting>
  <conditionalFormatting sqref="S35:AD35">
    <cfRule type="cellIs" dxfId="67" priority="4" operator="equal">
      <formula>0</formula>
    </cfRule>
  </conditionalFormatting>
  <conditionalFormatting sqref="AF35:AQ35">
    <cfRule type="cellIs" dxfId="66" priority="3" operator="equal">
      <formula>0</formula>
    </cfRule>
  </conditionalFormatting>
  <conditionalFormatting sqref="A3:A31">
    <cfRule type="cellIs" dxfId="65" priority="2" operator="equal">
      <formula>0</formula>
    </cfRule>
  </conditionalFormatting>
  <dataValidations count="1">
    <dataValidation type="list" allowBlank="1" showInputMessage="1" showErrorMessage="1" sqref="E68:E70" xr:uid="{5067CC7D-32F7-48DD-8276-D0AE730F5F44}">
      <formula1>Tipo_Comensal</formula1>
    </dataValidation>
  </dataValidations>
  <pageMargins left="0.25" right="0.25" top="0.51" bottom="0.3" header="0.21" footer="0.24"/>
  <pageSetup paperSize="9" scale="52" orientation="landscape" r:id="rId1"/>
  <headerFooter alignWithMargins="0"/>
  <ignoredErrors>
    <ignoredError sqref="L31 M32:P32 A31 D64 N64 J64 I31 P64 J62 J37:J61 J5:J31 P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96" r:id="rId4" name="Button 24">
              <controlPr defaultSize="0" print="0" autoFill="0" autoPict="0" macro="[0]!pasar_datos_personal">
                <anchor moveWithCells="1" sizeWithCells="1">
                  <from>
                    <xdr:col>17</xdr:col>
                    <xdr:colOff>104775</xdr:colOff>
                    <xdr:row>2</xdr:row>
                    <xdr:rowOff>142875</xdr:rowOff>
                  </from>
                  <to>
                    <xdr:col>17</xdr:col>
                    <xdr:colOff>904875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06" r:id="rId5" name="Button 34">
              <controlPr defaultSize="0" print="0" autoFill="0" autoPict="0" macro="[0]!pasar_datos_cocinero_gas">
                <anchor moveWithCells="1" sizeWithCells="1">
                  <from>
                    <xdr:col>17</xdr:col>
                    <xdr:colOff>66675</xdr:colOff>
                    <xdr:row>35</xdr:row>
                    <xdr:rowOff>142875</xdr:rowOff>
                  </from>
                  <to>
                    <xdr:col>17</xdr:col>
                    <xdr:colOff>981075</xdr:colOff>
                    <xdr:row>39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D0075-AAC2-47D8-BE13-4E02DEA377DB}">
          <x14:formula1>
            <xm:f>INDIRECT(Datos_Generales!$E$11)</xm:f>
          </x14:formula1>
          <xm:sqref>B37:B61 B64:B65 B5:B30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51CD-F5A4-4AE0-A868-2137008BA4AE}">
  <sheetPr codeName="Hoja25">
    <tabColor theme="3" tint="0.39997558519241921"/>
    <pageSetUpPr fitToPage="1"/>
  </sheetPr>
  <dimension ref="A1:W98"/>
  <sheetViews>
    <sheetView view="pageBreakPreview" zoomScale="85" zoomScaleNormal="85" zoomScaleSheetLayoutView="85" workbookViewId="0">
      <selection activeCell="D4" sqref="D4"/>
    </sheetView>
  </sheetViews>
  <sheetFormatPr baseColWidth="10" defaultColWidth="11.42578125" defaultRowHeight="11.25" x14ac:dyDescent="0.2"/>
  <cols>
    <col min="1" max="1" width="4.5703125" style="111" customWidth="1"/>
    <col min="2" max="2" width="20.5703125" style="111" customWidth="1"/>
    <col min="3" max="3" width="1.42578125" style="117" customWidth="1"/>
    <col min="4" max="4" width="11.42578125" style="116" customWidth="1"/>
    <col min="5" max="5" width="1.42578125" style="117" customWidth="1"/>
    <col min="6" max="6" width="8.5703125" style="111" customWidth="1"/>
    <col min="7" max="7" width="1.42578125" style="117" customWidth="1"/>
    <col min="8" max="8" width="8.5703125" style="111" customWidth="1"/>
    <col min="9" max="9" width="15.42578125" style="117" customWidth="1"/>
    <col min="10" max="21" width="13.5703125" style="116" customWidth="1"/>
    <col min="22" max="22" width="16.42578125" style="120" customWidth="1"/>
    <col min="23" max="23" width="11.42578125" style="111"/>
    <col min="24" max="25" width="16.5703125" style="111" customWidth="1"/>
    <col min="26" max="262" width="11.42578125" style="111"/>
    <col min="263" max="264" width="0" style="111" hidden="1" customWidth="1"/>
    <col min="265" max="265" width="32.42578125" style="111" customWidth="1"/>
    <col min="266" max="278" width="14.5703125" style="111" customWidth="1"/>
    <col min="279" max="518" width="11.42578125" style="111"/>
    <col min="519" max="520" width="0" style="111" hidden="1" customWidth="1"/>
    <col min="521" max="521" width="32.42578125" style="111" customWidth="1"/>
    <col min="522" max="534" width="14.5703125" style="111" customWidth="1"/>
    <col min="535" max="774" width="11.42578125" style="111"/>
    <col min="775" max="776" width="0" style="111" hidden="1" customWidth="1"/>
    <col min="777" max="777" width="32.42578125" style="111" customWidth="1"/>
    <col min="778" max="790" width="14.5703125" style="111" customWidth="1"/>
    <col min="791" max="1030" width="11.42578125" style="111"/>
    <col min="1031" max="1032" width="0" style="111" hidden="1" customWidth="1"/>
    <col min="1033" max="1033" width="32.42578125" style="111" customWidth="1"/>
    <col min="1034" max="1046" width="14.5703125" style="111" customWidth="1"/>
    <col min="1047" max="1286" width="11.42578125" style="111"/>
    <col min="1287" max="1288" width="0" style="111" hidden="1" customWidth="1"/>
    <col min="1289" max="1289" width="32.42578125" style="111" customWidth="1"/>
    <col min="1290" max="1302" width="14.5703125" style="111" customWidth="1"/>
    <col min="1303" max="1542" width="11.42578125" style="111"/>
    <col min="1543" max="1544" width="0" style="111" hidden="1" customWidth="1"/>
    <col min="1545" max="1545" width="32.42578125" style="111" customWidth="1"/>
    <col min="1546" max="1558" width="14.5703125" style="111" customWidth="1"/>
    <col min="1559" max="1798" width="11.42578125" style="111"/>
    <col min="1799" max="1800" width="0" style="111" hidden="1" customWidth="1"/>
    <col min="1801" max="1801" width="32.42578125" style="111" customWidth="1"/>
    <col min="1802" max="1814" width="14.5703125" style="111" customWidth="1"/>
    <col min="1815" max="2054" width="11.42578125" style="111"/>
    <col min="2055" max="2056" width="0" style="111" hidden="1" customWidth="1"/>
    <col min="2057" max="2057" width="32.42578125" style="111" customWidth="1"/>
    <col min="2058" max="2070" width="14.5703125" style="111" customWidth="1"/>
    <col min="2071" max="2310" width="11.42578125" style="111"/>
    <col min="2311" max="2312" width="0" style="111" hidden="1" customWidth="1"/>
    <col min="2313" max="2313" width="32.42578125" style="111" customWidth="1"/>
    <col min="2314" max="2326" width="14.5703125" style="111" customWidth="1"/>
    <col min="2327" max="2566" width="11.42578125" style="111"/>
    <col min="2567" max="2568" width="0" style="111" hidden="1" customWidth="1"/>
    <col min="2569" max="2569" width="32.42578125" style="111" customWidth="1"/>
    <col min="2570" max="2582" width="14.5703125" style="111" customWidth="1"/>
    <col min="2583" max="2822" width="11.42578125" style="111"/>
    <col min="2823" max="2824" width="0" style="111" hidden="1" customWidth="1"/>
    <col min="2825" max="2825" width="32.42578125" style="111" customWidth="1"/>
    <col min="2826" max="2838" width="14.5703125" style="111" customWidth="1"/>
    <col min="2839" max="3078" width="11.42578125" style="111"/>
    <col min="3079" max="3080" width="0" style="111" hidden="1" customWidth="1"/>
    <col min="3081" max="3081" width="32.42578125" style="111" customWidth="1"/>
    <col min="3082" max="3094" width="14.5703125" style="111" customWidth="1"/>
    <col min="3095" max="3334" width="11.42578125" style="111"/>
    <col min="3335" max="3336" width="0" style="111" hidden="1" customWidth="1"/>
    <col min="3337" max="3337" width="32.42578125" style="111" customWidth="1"/>
    <col min="3338" max="3350" width="14.5703125" style="111" customWidth="1"/>
    <col min="3351" max="3590" width="11.42578125" style="111"/>
    <col min="3591" max="3592" width="0" style="111" hidden="1" customWidth="1"/>
    <col min="3593" max="3593" width="32.42578125" style="111" customWidth="1"/>
    <col min="3594" max="3606" width="14.5703125" style="111" customWidth="1"/>
    <col min="3607" max="3846" width="11.42578125" style="111"/>
    <col min="3847" max="3848" width="0" style="111" hidden="1" customWidth="1"/>
    <col min="3849" max="3849" width="32.42578125" style="111" customWidth="1"/>
    <col min="3850" max="3862" width="14.5703125" style="111" customWidth="1"/>
    <col min="3863" max="4102" width="11.42578125" style="111"/>
    <col min="4103" max="4104" width="0" style="111" hidden="1" customWidth="1"/>
    <col min="4105" max="4105" width="32.42578125" style="111" customWidth="1"/>
    <col min="4106" max="4118" width="14.5703125" style="111" customWidth="1"/>
    <col min="4119" max="4358" width="11.42578125" style="111"/>
    <col min="4359" max="4360" width="0" style="111" hidden="1" customWidth="1"/>
    <col min="4361" max="4361" width="32.42578125" style="111" customWidth="1"/>
    <col min="4362" max="4374" width="14.5703125" style="111" customWidth="1"/>
    <col min="4375" max="4614" width="11.42578125" style="111"/>
    <col min="4615" max="4616" width="0" style="111" hidden="1" customWidth="1"/>
    <col min="4617" max="4617" width="32.42578125" style="111" customWidth="1"/>
    <col min="4618" max="4630" width="14.5703125" style="111" customWidth="1"/>
    <col min="4631" max="4870" width="11.42578125" style="111"/>
    <col min="4871" max="4872" width="0" style="111" hidden="1" customWidth="1"/>
    <col min="4873" max="4873" width="32.42578125" style="111" customWidth="1"/>
    <col min="4874" max="4886" width="14.5703125" style="111" customWidth="1"/>
    <col min="4887" max="5126" width="11.42578125" style="111"/>
    <col min="5127" max="5128" width="0" style="111" hidden="1" customWidth="1"/>
    <col min="5129" max="5129" width="32.42578125" style="111" customWidth="1"/>
    <col min="5130" max="5142" width="14.5703125" style="111" customWidth="1"/>
    <col min="5143" max="5382" width="11.42578125" style="111"/>
    <col min="5383" max="5384" width="0" style="111" hidden="1" customWidth="1"/>
    <col min="5385" max="5385" width="32.42578125" style="111" customWidth="1"/>
    <col min="5386" max="5398" width="14.5703125" style="111" customWidth="1"/>
    <col min="5399" max="5638" width="11.42578125" style="111"/>
    <col min="5639" max="5640" width="0" style="111" hidden="1" customWidth="1"/>
    <col min="5641" max="5641" width="32.42578125" style="111" customWidth="1"/>
    <col min="5642" max="5654" width="14.5703125" style="111" customWidth="1"/>
    <col min="5655" max="5894" width="11.42578125" style="111"/>
    <col min="5895" max="5896" width="0" style="111" hidden="1" customWidth="1"/>
    <col min="5897" max="5897" width="32.42578125" style="111" customWidth="1"/>
    <col min="5898" max="5910" width="14.5703125" style="111" customWidth="1"/>
    <col min="5911" max="6150" width="11.42578125" style="111"/>
    <col min="6151" max="6152" width="0" style="111" hidden="1" customWidth="1"/>
    <col min="6153" max="6153" width="32.42578125" style="111" customWidth="1"/>
    <col min="6154" max="6166" width="14.5703125" style="111" customWidth="1"/>
    <col min="6167" max="6406" width="11.42578125" style="111"/>
    <col min="6407" max="6408" width="0" style="111" hidden="1" customWidth="1"/>
    <col min="6409" max="6409" width="32.42578125" style="111" customWidth="1"/>
    <col min="6410" max="6422" width="14.5703125" style="111" customWidth="1"/>
    <col min="6423" max="6662" width="11.42578125" style="111"/>
    <col min="6663" max="6664" width="0" style="111" hidden="1" customWidth="1"/>
    <col min="6665" max="6665" width="32.42578125" style="111" customWidth="1"/>
    <col min="6666" max="6678" width="14.5703125" style="111" customWidth="1"/>
    <col min="6679" max="6918" width="11.42578125" style="111"/>
    <col min="6919" max="6920" width="0" style="111" hidden="1" customWidth="1"/>
    <col min="6921" max="6921" width="32.42578125" style="111" customWidth="1"/>
    <col min="6922" max="6934" width="14.5703125" style="111" customWidth="1"/>
    <col min="6935" max="7174" width="11.42578125" style="111"/>
    <col min="7175" max="7176" width="0" style="111" hidden="1" customWidth="1"/>
    <col min="7177" max="7177" width="32.42578125" style="111" customWidth="1"/>
    <col min="7178" max="7190" width="14.5703125" style="111" customWidth="1"/>
    <col min="7191" max="7430" width="11.42578125" style="111"/>
    <col min="7431" max="7432" width="0" style="111" hidden="1" customWidth="1"/>
    <col min="7433" max="7433" width="32.42578125" style="111" customWidth="1"/>
    <col min="7434" max="7446" width="14.5703125" style="111" customWidth="1"/>
    <col min="7447" max="7686" width="11.42578125" style="111"/>
    <col min="7687" max="7688" width="0" style="111" hidden="1" customWidth="1"/>
    <col min="7689" max="7689" width="32.42578125" style="111" customWidth="1"/>
    <col min="7690" max="7702" width="14.5703125" style="111" customWidth="1"/>
    <col min="7703" max="7942" width="11.42578125" style="111"/>
    <col min="7943" max="7944" width="0" style="111" hidden="1" customWidth="1"/>
    <col min="7945" max="7945" width="32.42578125" style="111" customWidth="1"/>
    <col min="7946" max="7958" width="14.5703125" style="111" customWidth="1"/>
    <col min="7959" max="8198" width="11.42578125" style="111"/>
    <col min="8199" max="8200" width="0" style="111" hidden="1" customWidth="1"/>
    <col min="8201" max="8201" width="32.42578125" style="111" customWidth="1"/>
    <col min="8202" max="8214" width="14.5703125" style="111" customWidth="1"/>
    <col min="8215" max="8454" width="11.42578125" style="111"/>
    <col min="8455" max="8456" width="0" style="111" hidden="1" customWidth="1"/>
    <col min="8457" max="8457" width="32.42578125" style="111" customWidth="1"/>
    <col min="8458" max="8470" width="14.5703125" style="111" customWidth="1"/>
    <col min="8471" max="8710" width="11.42578125" style="111"/>
    <col min="8711" max="8712" width="0" style="111" hidden="1" customWidth="1"/>
    <col min="8713" max="8713" width="32.42578125" style="111" customWidth="1"/>
    <col min="8714" max="8726" width="14.5703125" style="111" customWidth="1"/>
    <col min="8727" max="8966" width="11.42578125" style="111"/>
    <col min="8967" max="8968" width="0" style="111" hidden="1" customWidth="1"/>
    <col min="8969" max="8969" width="32.42578125" style="111" customWidth="1"/>
    <col min="8970" max="8982" width="14.5703125" style="111" customWidth="1"/>
    <col min="8983" max="9222" width="11.42578125" style="111"/>
    <col min="9223" max="9224" width="0" style="111" hidden="1" customWidth="1"/>
    <col min="9225" max="9225" width="32.42578125" style="111" customWidth="1"/>
    <col min="9226" max="9238" width="14.5703125" style="111" customWidth="1"/>
    <col min="9239" max="9478" width="11.42578125" style="111"/>
    <col min="9479" max="9480" width="0" style="111" hidden="1" customWidth="1"/>
    <col min="9481" max="9481" width="32.42578125" style="111" customWidth="1"/>
    <col min="9482" max="9494" width="14.5703125" style="111" customWidth="1"/>
    <col min="9495" max="9734" width="11.42578125" style="111"/>
    <col min="9735" max="9736" width="0" style="111" hidden="1" customWidth="1"/>
    <col min="9737" max="9737" width="32.42578125" style="111" customWidth="1"/>
    <col min="9738" max="9750" width="14.5703125" style="111" customWidth="1"/>
    <col min="9751" max="9990" width="11.42578125" style="111"/>
    <col min="9991" max="9992" width="0" style="111" hidden="1" customWidth="1"/>
    <col min="9993" max="9993" width="32.42578125" style="111" customWidth="1"/>
    <col min="9994" max="10006" width="14.5703125" style="111" customWidth="1"/>
    <col min="10007" max="10246" width="11.42578125" style="111"/>
    <col min="10247" max="10248" width="0" style="111" hidden="1" customWidth="1"/>
    <col min="10249" max="10249" width="32.42578125" style="111" customWidth="1"/>
    <col min="10250" max="10262" width="14.5703125" style="111" customWidth="1"/>
    <col min="10263" max="10502" width="11.42578125" style="111"/>
    <col min="10503" max="10504" width="0" style="111" hidden="1" customWidth="1"/>
    <col min="10505" max="10505" width="32.42578125" style="111" customWidth="1"/>
    <col min="10506" max="10518" width="14.5703125" style="111" customWidth="1"/>
    <col min="10519" max="10758" width="11.42578125" style="111"/>
    <col min="10759" max="10760" width="0" style="111" hidden="1" customWidth="1"/>
    <col min="10761" max="10761" width="32.42578125" style="111" customWidth="1"/>
    <col min="10762" max="10774" width="14.5703125" style="111" customWidth="1"/>
    <col min="10775" max="11014" width="11.42578125" style="111"/>
    <col min="11015" max="11016" width="0" style="111" hidden="1" customWidth="1"/>
    <col min="11017" max="11017" width="32.42578125" style="111" customWidth="1"/>
    <col min="11018" max="11030" width="14.5703125" style="111" customWidth="1"/>
    <col min="11031" max="11270" width="11.42578125" style="111"/>
    <col min="11271" max="11272" width="0" style="111" hidden="1" customWidth="1"/>
    <col min="11273" max="11273" width="32.42578125" style="111" customWidth="1"/>
    <col min="11274" max="11286" width="14.5703125" style="111" customWidth="1"/>
    <col min="11287" max="11526" width="11.42578125" style="111"/>
    <col min="11527" max="11528" width="0" style="111" hidden="1" customWidth="1"/>
    <col min="11529" max="11529" width="32.42578125" style="111" customWidth="1"/>
    <col min="11530" max="11542" width="14.5703125" style="111" customWidth="1"/>
    <col min="11543" max="11782" width="11.42578125" style="111"/>
    <col min="11783" max="11784" width="0" style="111" hidden="1" customWidth="1"/>
    <col min="11785" max="11785" width="32.42578125" style="111" customWidth="1"/>
    <col min="11786" max="11798" width="14.5703125" style="111" customWidth="1"/>
    <col min="11799" max="12038" width="11.42578125" style="111"/>
    <col min="12039" max="12040" width="0" style="111" hidden="1" customWidth="1"/>
    <col min="12041" max="12041" width="32.42578125" style="111" customWidth="1"/>
    <col min="12042" max="12054" width="14.5703125" style="111" customWidth="1"/>
    <col min="12055" max="12294" width="11.42578125" style="111"/>
    <col min="12295" max="12296" width="0" style="111" hidden="1" customWidth="1"/>
    <col min="12297" max="12297" width="32.42578125" style="111" customWidth="1"/>
    <col min="12298" max="12310" width="14.5703125" style="111" customWidth="1"/>
    <col min="12311" max="12550" width="11.42578125" style="111"/>
    <col min="12551" max="12552" width="0" style="111" hidden="1" customWidth="1"/>
    <col min="12553" max="12553" width="32.42578125" style="111" customWidth="1"/>
    <col min="12554" max="12566" width="14.5703125" style="111" customWidth="1"/>
    <col min="12567" max="12806" width="11.42578125" style="111"/>
    <col min="12807" max="12808" width="0" style="111" hidden="1" customWidth="1"/>
    <col min="12809" max="12809" width="32.42578125" style="111" customWidth="1"/>
    <col min="12810" max="12822" width="14.5703125" style="111" customWidth="1"/>
    <col min="12823" max="13062" width="11.42578125" style="111"/>
    <col min="13063" max="13064" width="0" style="111" hidden="1" customWidth="1"/>
    <col min="13065" max="13065" width="32.42578125" style="111" customWidth="1"/>
    <col min="13066" max="13078" width="14.5703125" style="111" customWidth="1"/>
    <col min="13079" max="13318" width="11.42578125" style="111"/>
    <col min="13319" max="13320" width="0" style="111" hidden="1" customWidth="1"/>
    <col min="13321" max="13321" width="32.42578125" style="111" customWidth="1"/>
    <col min="13322" max="13334" width="14.5703125" style="111" customWidth="1"/>
    <col min="13335" max="13574" width="11.42578125" style="111"/>
    <col min="13575" max="13576" width="0" style="111" hidden="1" customWidth="1"/>
    <col min="13577" max="13577" width="32.42578125" style="111" customWidth="1"/>
    <col min="13578" max="13590" width="14.5703125" style="111" customWidth="1"/>
    <col min="13591" max="13830" width="11.42578125" style="111"/>
    <col min="13831" max="13832" width="0" style="111" hidden="1" customWidth="1"/>
    <col min="13833" max="13833" width="32.42578125" style="111" customWidth="1"/>
    <col min="13834" max="13846" width="14.5703125" style="111" customWidth="1"/>
    <col min="13847" max="14086" width="11.42578125" style="111"/>
    <col min="14087" max="14088" width="0" style="111" hidden="1" customWidth="1"/>
    <col min="14089" max="14089" width="32.42578125" style="111" customWidth="1"/>
    <col min="14090" max="14102" width="14.5703125" style="111" customWidth="1"/>
    <col min="14103" max="14342" width="11.42578125" style="111"/>
    <col min="14343" max="14344" width="0" style="111" hidden="1" customWidth="1"/>
    <col min="14345" max="14345" width="32.42578125" style="111" customWidth="1"/>
    <col min="14346" max="14358" width="14.5703125" style="111" customWidth="1"/>
    <col min="14359" max="14598" width="11.42578125" style="111"/>
    <col min="14599" max="14600" width="0" style="111" hidden="1" customWidth="1"/>
    <col min="14601" max="14601" width="32.42578125" style="111" customWidth="1"/>
    <col min="14602" max="14614" width="14.5703125" style="111" customWidth="1"/>
    <col min="14615" max="14854" width="11.42578125" style="111"/>
    <col min="14855" max="14856" width="0" style="111" hidden="1" customWidth="1"/>
    <col min="14857" max="14857" width="32.42578125" style="111" customWidth="1"/>
    <col min="14858" max="14870" width="14.5703125" style="111" customWidth="1"/>
    <col min="14871" max="15110" width="11.42578125" style="111"/>
    <col min="15111" max="15112" width="0" style="111" hidden="1" customWidth="1"/>
    <col min="15113" max="15113" width="32.42578125" style="111" customWidth="1"/>
    <col min="15114" max="15126" width="14.5703125" style="111" customWidth="1"/>
    <col min="15127" max="15366" width="11.42578125" style="111"/>
    <col min="15367" max="15368" width="0" style="111" hidden="1" customWidth="1"/>
    <col min="15369" max="15369" width="32.42578125" style="111" customWidth="1"/>
    <col min="15370" max="15382" width="14.5703125" style="111" customWidth="1"/>
    <col min="15383" max="15622" width="11.42578125" style="111"/>
    <col min="15623" max="15624" width="0" style="111" hidden="1" customWidth="1"/>
    <col min="15625" max="15625" width="32.42578125" style="111" customWidth="1"/>
    <col min="15626" max="15638" width="14.5703125" style="111" customWidth="1"/>
    <col min="15639" max="15878" width="11.42578125" style="111"/>
    <col min="15879" max="15880" width="0" style="111" hidden="1" customWidth="1"/>
    <col min="15881" max="15881" width="32.42578125" style="111" customWidth="1"/>
    <col min="15882" max="15894" width="14.5703125" style="111" customWidth="1"/>
    <col min="15895" max="16134" width="11.42578125" style="111"/>
    <col min="16135" max="16136" width="0" style="111" hidden="1" customWidth="1"/>
    <col min="16137" max="16137" width="32.42578125" style="111" customWidth="1"/>
    <col min="16138" max="16150" width="14.5703125" style="111" customWidth="1"/>
    <col min="16151" max="16384" width="11.42578125" style="111"/>
  </cols>
  <sheetData>
    <row r="1" spans="1:23" x14ac:dyDescent="0.2">
      <c r="B1" s="129"/>
      <c r="C1" s="134"/>
      <c r="D1" s="118"/>
      <c r="E1" s="134"/>
      <c r="F1" s="112"/>
      <c r="G1" s="134"/>
      <c r="H1" s="112"/>
      <c r="I1" s="134"/>
      <c r="J1" s="633">
        <f>MONTH(J3)</f>
        <v>10</v>
      </c>
      <c r="K1" s="633">
        <f t="shared" ref="K1:U1" si="0">MONTH(K3)</f>
        <v>11</v>
      </c>
      <c r="L1" s="633">
        <f t="shared" si="0"/>
        <v>12</v>
      </c>
      <c r="M1" s="633">
        <f t="shared" si="0"/>
        <v>1</v>
      </c>
      <c r="N1" s="633">
        <f t="shared" si="0"/>
        <v>2</v>
      </c>
      <c r="O1" s="633">
        <f t="shared" si="0"/>
        <v>3</v>
      </c>
      <c r="P1" s="633">
        <f t="shared" si="0"/>
        <v>4</v>
      </c>
      <c r="Q1" s="633">
        <f t="shared" si="0"/>
        <v>5</v>
      </c>
      <c r="R1" s="633">
        <f t="shared" si="0"/>
        <v>6</v>
      </c>
      <c r="S1" s="633">
        <f t="shared" si="0"/>
        <v>7</v>
      </c>
      <c r="T1" s="633">
        <f t="shared" si="0"/>
        <v>8</v>
      </c>
      <c r="U1" s="633">
        <f t="shared" si="0"/>
        <v>9</v>
      </c>
      <c r="V1" s="632"/>
    </row>
    <row r="2" spans="1:23" ht="12" thickBot="1" x14ac:dyDescent="0.25">
      <c r="B2" s="129"/>
      <c r="C2" s="134"/>
      <c r="D2" s="135"/>
      <c r="E2" s="134"/>
      <c r="F2" s="134"/>
      <c r="G2" s="134"/>
      <c r="H2" s="134"/>
      <c r="I2" s="134"/>
      <c r="J2" s="778">
        <f>IF(Datos_Generales!$E$15&gt;0,1,0)</f>
        <v>0</v>
      </c>
      <c r="K2" s="778">
        <f>IF(Datos_Generales!$E$15&gt;1,1,0)</f>
        <v>0</v>
      </c>
      <c r="L2" s="778">
        <f>IF(Datos_Generales!$E$15&gt;2,1,0)</f>
        <v>0</v>
      </c>
      <c r="M2" s="778">
        <f>IF(Datos_Generales!$E$15&gt;3,1,0)</f>
        <v>0</v>
      </c>
      <c r="N2" s="778">
        <f>IF(Datos_Generales!$E$15&gt;4,1,0)</f>
        <v>0</v>
      </c>
      <c r="O2" s="778">
        <f>IF(Datos_Generales!$E$15&gt;5,1,0)</f>
        <v>0</v>
      </c>
      <c r="P2" s="778">
        <f>IF(Datos_Generales!$E$15&gt;6,1,0)</f>
        <v>0</v>
      </c>
      <c r="Q2" s="778">
        <f>IF(Datos_Generales!$E$15&gt;7,1,0)</f>
        <v>0</v>
      </c>
      <c r="R2" s="778">
        <f>IF(Datos_Generales!$E$15&gt;8,1,0)</f>
        <v>0</v>
      </c>
      <c r="S2" s="778">
        <f>IF(Datos_Generales!$E$15&gt;9,1,0)</f>
        <v>0</v>
      </c>
      <c r="T2" s="778">
        <f>IF(Datos_Generales!$E$15&gt;10,1,0)</f>
        <v>0</v>
      </c>
      <c r="U2" s="778">
        <f>IF(Datos_Generales!$E$15&gt;11,1,0)</f>
        <v>0</v>
      </c>
      <c r="V2" s="125"/>
    </row>
    <row r="3" spans="1:23" x14ac:dyDescent="0.2">
      <c r="B3" s="779" t="s">
        <v>176</v>
      </c>
      <c r="C3" s="135"/>
      <c r="D3" s="779"/>
      <c r="E3" s="135"/>
      <c r="F3" s="779"/>
      <c r="G3" s="135"/>
      <c r="H3" s="779"/>
      <c r="I3" s="135"/>
      <c r="J3" s="780">
        <f>+Datos_Generales!E36</f>
        <v>45596</v>
      </c>
      <c r="K3" s="780">
        <f>+Datos_Generales!F36</f>
        <v>45626</v>
      </c>
      <c r="L3" s="780">
        <f>+Datos_Generales!G36</f>
        <v>45657</v>
      </c>
      <c r="M3" s="780">
        <f>+Datos_Generales!H36</f>
        <v>45688</v>
      </c>
      <c r="N3" s="780">
        <f>+Datos_Generales!I36</f>
        <v>45716</v>
      </c>
      <c r="O3" s="780">
        <f>+Datos_Generales!J36</f>
        <v>45747</v>
      </c>
      <c r="P3" s="780">
        <f>+Datos_Generales!K36</f>
        <v>45777</v>
      </c>
      <c r="Q3" s="780">
        <f>+Datos_Generales!L36</f>
        <v>45808</v>
      </c>
      <c r="R3" s="780">
        <f>+Datos_Generales!M36</f>
        <v>45838</v>
      </c>
      <c r="S3" s="780">
        <f>+Datos_Generales!N36</f>
        <v>45869</v>
      </c>
      <c r="T3" s="780">
        <f>+Datos_Generales!O36</f>
        <v>45900</v>
      </c>
      <c r="U3" s="780">
        <f>+Datos_Generales!P36</f>
        <v>45930</v>
      </c>
      <c r="V3" s="136" t="s">
        <v>177</v>
      </c>
    </row>
    <row r="4" spans="1:23" ht="14.25" customHeight="1" x14ac:dyDescent="0.2">
      <c r="B4" s="781" t="s">
        <v>178</v>
      </c>
      <c r="C4" s="135"/>
      <c r="D4" s="782" t="s">
        <v>179</v>
      </c>
      <c r="E4" s="135"/>
      <c r="F4" s="782" t="s">
        <v>180</v>
      </c>
      <c r="G4" s="135"/>
      <c r="H4" s="783"/>
      <c r="I4" s="135"/>
      <c r="J4" s="784">
        <f>IF(AND(OR(Datos_Generales!$E$12="Colegio Publico",Datos_Generales!$E$12="Colegio Privado"),OR(J1=9,J1=6)),Datos_Generales!E40*0.8,Datos_Generales!E40)</f>
        <v>0</v>
      </c>
      <c r="K4" s="784">
        <f>IF(AND(OR(Datos_Generales!$E$12="Colegio Publico",Datos_Generales!$E$12="Colegio Privado"),OR(K1=9,K1=6)),Datos_Generales!F40*0.8,Datos_Generales!F40)</f>
        <v>0</v>
      </c>
      <c r="L4" s="784">
        <f>IF(AND(OR(Datos_Generales!$E$12="Colegio Publico",Datos_Generales!$E$12="Colegio Privado"),OR(L1=9,L1=6)),Datos_Generales!G40*0.8,Datos_Generales!G40)</f>
        <v>0</v>
      </c>
      <c r="M4" s="784">
        <f>IF(AND(OR(Datos_Generales!$E$12="Colegio Publico",Datos_Generales!$E$12="Colegio Privado"),OR(M1=9,M1=6)),Datos_Generales!H40*0.8,Datos_Generales!H40)</f>
        <v>0</v>
      </c>
      <c r="N4" s="784">
        <f>IF(AND(OR(Datos_Generales!$E$12="Colegio Publico",Datos_Generales!$E$12="Colegio Privado"),OR(N1=9,N1=6)),Datos_Generales!I40*0.8,Datos_Generales!I40)</f>
        <v>0</v>
      </c>
      <c r="O4" s="784">
        <f>IF(AND(OR(Datos_Generales!$E$12="Colegio Publico",Datos_Generales!$E$12="Colegio Privado"),OR(O1=9,O1=6)),Datos_Generales!J40*0.8,Datos_Generales!J40)</f>
        <v>0</v>
      </c>
      <c r="P4" s="784">
        <f>IF(AND(OR(Datos_Generales!$E$12="Colegio Publico",Datos_Generales!$E$12="Colegio Privado"),OR(P1=9,P1=6)),Datos_Generales!K40*0.8,Datos_Generales!K40)</f>
        <v>0</v>
      </c>
      <c r="Q4" s="784">
        <f>IF(AND(OR(Datos_Generales!$E$12="Colegio Publico",Datos_Generales!$E$12="Colegio Privado"),OR(Q1=9,Q1=6)),Datos_Generales!L40*0.8,Datos_Generales!L40)</f>
        <v>0</v>
      </c>
      <c r="R4" s="784">
        <f>IF(AND(OR(Datos_Generales!$E$12="Colegio Publico",Datos_Generales!$E$12="Colegio Privado"),OR(R1=9,R1=6)),Datos_Generales!M40*0.8,Datos_Generales!M40)</f>
        <v>0</v>
      </c>
      <c r="S4" s="784">
        <f>IF(AND(OR(Datos_Generales!$E$12="Colegio Publico",Datos_Generales!$E$12="Colegio Privado"),OR(S1=9,S1=6)),Datos_Generales!N40*0.8,Datos_Generales!N40)</f>
        <v>0</v>
      </c>
      <c r="T4" s="784">
        <f>IF(AND(OR(Datos_Generales!$E$12="Colegio Publico",Datos_Generales!$E$12="Colegio Privado"),OR(T1=9,T1=6)),Datos_Generales!O40*0.8,Datos_Generales!O40)</f>
        <v>0</v>
      </c>
      <c r="U4" s="784">
        <f>IF(AND(OR(Datos_Generales!$E$12="Colegio Publico",Datos_Generales!$E$12="Colegio Privado"),OR(U1=9,U1=6)),Datos_Generales!P40*0.8,Datos_Generales!P40)</f>
        <v>0</v>
      </c>
      <c r="V4" s="137">
        <f>SUM(J4:U4)</f>
        <v>0</v>
      </c>
    </row>
    <row r="5" spans="1:23" ht="12.6" customHeight="1" x14ac:dyDescent="0.2">
      <c r="A5" s="943"/>
      <c r="B5" s="785" t="str">
        <f>IF(Datos_Generales!N8=0,"",Datos_Generales!N8)</f>
        <v/>
      </c>
      <c r="D5" s="786">
        <f>+Datos_Generales!P8</f>
        <v>0</v>
      </c>
      <c r="F5" s="787" t="str">
        <f>IF(B5="","",Datos_Generales!$K$13)</f>
        <v/>
      </c>
      <c r="H5" s="788"/>
      <c r="J5" s="789"/>
      <c r="K5" s="789"/>
      <c r="L5" s="789"/>
      <c r="M5" s="789"/>
      <c r="N5" s="789"/>
      <c r="O5" s="789"/>
      <c r="P5" s="789"/>
      <c r="Q5" s="789"/>
      <c r="R5" s="789"/>
      <c r="S5" s="789"/>
      <c r="T5" s="789"/>
      <c r="U5" s="789"/>
      <c r="V5" s="139">
        <f t="shared" ref="V5:V16" si="1">SUM(J5:U5)</f>
        <v>0</v>
      </c>
      <c r="W5" s="111">
        <v>0</v>
      </c>
    </row>
    <row r="6" spans="1:23" x14ac:dyDescent="0.2">
      <c r="A6" s="943"/>
      <c r="B6" s="785" t="str">
        <f>IF(Datos_Generales!N9=0,"",Datos_Generales!N9)</f>
        <v/>
      </c>
      <c r="D6" s="786">
        <f>+Datos_Generales!P9</f>
        <v>0</v>
      </c>
      <c r="F6" s="787" t="str">
        <f>IF(B6="","",Datos_Generales!$K$13)</f>
        <v/>
      </c>
      <c r="H6" s="788"/>
      <c r="J6" s="789"/>
      <c r="K6" s="789"/>
      <c r="L6" s="789"/>
      <c r="M6" s="789"/>
      <c r="N6" s="789"/>
      <c r="O6" s="789"/>
      <c r="P6" s="789"/>
      <c r="Q6" s="789"/>
      <c r="R6" s="789"/>
      <c r="S6" s="789"/>
      <c r="T6" s="789"/>
      <c r="U6" s="789"/>
      <c r="V6" s="139">
        <f t="shared" si="1"/>
        <v>0</v>
      </c>
      <c r="W6" s="111">
        <v>0</v>
      </c>
    </row>
    <row r="7" spans="1:23" x14ac:dyDescent="0.2">
      <c r="A7" s="943"/>
      <c r="B7" s="785" t="str">
        <f>IF(Datos_Generales!N10=0,"",Datos_Generales!N10)</f>
        <v/>
      </c>
      <c r="D7" s="786">
        <f>+Datos_Generales!P10</f>
        <v>0</v>
      </c>
      <c r="F7" s="787" t="str">
        <f>IF(B7="","",Datos_Generales!$K$13)</f>
        <v/>
      </c>
      <c r="H7" s="788"/>
      <c r="J7" s="789"/>
      <c r="K7" s="789"/>
      <c r="L7" s="789"/>
      <c r="M7" s="789"/>
      <c r="N7" s="789"/>
      <c r="O7" s="789"/>
      <c r="P7" s="789"/>
      <c r="Q7" s="789"/>
      <c r="R7" s="789"/>
      <c r="S7" s="789"/>
      <c r="T7" s="789"/>
      <c r="U7" s="789"/>
      <c r="V7" s="139">
        <f t="shared" si="1"/>
        <v>0</v>
      </c>
      <c r="W7" s="111">
        <v>0</v>
      </c>
    </row>
    <row r="8" spans="1:23" x14ac:dyDescent="0.2">
      <c r="A8" s="943"/>
      <c r="B8" s="785" t="str">
        <f>IF(Datos_Generales!N11=0,"",Datos_Generales!N11)</f>
        <v/>
      </c>
      <c r="D8" s="786">
        <f>+Datos_Generales!P11</f>
        <v>0</v>
      </c>
      <c r="F8" s="787" t="str">
        <f>IF(B8="","",Datos_Generales!$K$13)</f>
        <v/>
      </c>
      <c r="H8" s="788"/>
      <c r="J8" s="789"/>
      <c r="K8" s="789"/>
      <c r="L8" s="789"/>
      <c r="M8" s="789"/>
      <c r="N8" s="789"/>
      <c r="O8" s="789"/>
      <c r="P8" s="789"/>
      <c r="Q8" s="789"/>
      <c r="R8" s="789"/>
      <c r="S8" s="789"/>
      <c r="T8" s="789"/>
      <c r="U8" s="789"/>
      <c r="V8" s="139">
        <f t="shared" si="1"/>
        <v>0</v>
      </c>
      <c r="W8" s="111">
        <v>0</v>
      </c>
    </row>
    <row r="9" spans="1:23" x14ac:dyDescent="0.2">
      <c r="A9" s="943"/>
      <c r="B9" s="785" t="str">
        <f>IF(Datos_Generales!N12=0,"",Datos_Generales!N12)</f>
        <v/>
      </c>
      <c r="D9" s="786">
        <f>+Datos_Generales!P12</f>
        <v>0</v>
      </c>
      <c r="F9" s="787" t="str">
        <f>IF(B9="","",Datos_Generales!$K$13)</f>
        <v/>
      </c>
      <c r="H9" s="788"/>
      <c r="J9" s="789"/>
      <c r="K9" s="789"/>
      <c r="L9" s="789"/>
      <c r="M9" s="789"/>
      <c r="N9" s="789"/>
      <c r="O9" s="789"/>
      <c r="P9" s="789"/>
      <c r="Q9" s="789"/>
      <c r="R9" s="789"/>
      <c r="S9" s="789"/>
      <c r="T9" s="789"/>
      <c r="U9" s="789"/>
      <c r="V9" s="139">
        <f t="shared" si="1"/>
        <v>0</v>
      </c>
      <c r="W9" s="111">
        <v>0</v>
      </c>
    </row>
    <row r="10" spans="1:23" x14ac:dyDescent="0.2">
      <c r="A10" s="943"/>
      <c r="B10" s="785" t="str">
        <f>IF(Datos_Generales!N13=0,"",Datos_Generales!N13)</f>
        <v/>
      </c>
      <c r="D10" s="786">
        <f>+Datos_Generales!P13</f>
        <v>0</v>
      </c>
      <c r="F10" s="787" t="str">
        <f>IF(B10="","",Datos_Generales!$K$13)</f>
        <v/>
      </c>
      <c r="H10" s="788"/>
      <c r="J10" s="789"/>
      <c r="K10" s="789"/>
      <c r="L10" s="789"/>
      <c r="M10" s="789"/>
      <c r="N10" s="789"/>
      <c r="O10" s="789"/>
      <c r="P10" s="789"/>
      <c r="Q10" s="789"/>
      <c r="R10" s="789"/>
      <c r="S10" s="789"/>
      <c r="T10" s="789"/>
      <c r="U10" s="789"/>
      <c r="V10" s="139">
        <f t="shared" si="1"/>
        <v>0</v>
      </c>
    </row>
    <row r="11" spans="1:23" x14ac:dyDescent="0.2">
      <c r="A11" s="943"/>
      <c r="B11" s="785" t="str">
        <f>IF(Datos_Generales!N14=0,"",Datos_Generales!N14)</f>
        <v/>
      </c>
      <c r="D11" s="786">
        <f>+Datos_Generales!P14</f>
        <v>0</v>
      </c>
      <c r="F11" s="787" t="str">
        <f>IF(B11="","",Datos_Generales!$K$13)</f>
        <v/>
      </c>
      <c r="H11" s="788"/>
      <c r="J11" s="789"/>
      <c r="K11" s="789"/>
      <c r="L11" s="789"/>
      <c r="M11" s="789"/>
      <c r="N11" s="789"/>
      <c r="O11" s="789"/>
      <c r="P11" s="789"/>
      <c r="Q11" s="789"/>
      <c r="R11" s="789"/>
      <c r="S11" s="789"/>
      <c r="T11" s="789"/>
      <c r="U11" s="789"/>
      <c r="V11" s="139">
        <f t="shared" si="1"/>
        <v>0</v>
      </c>
    </row>
    <row r="12" spans="1:23" x14ac:dyDescent="0.2">
      <c r="A12" s="943"/>
      <c r="B12" s="785" t="str">
        <f>IF(Datos_Generales!N15=0,"",Datos_Generales!N15)</f>
        <v/>
      </c>
      <c r="D12" s="786">
        <f>+Datos_Generales!P15</f>
        <v>0</v>
      </c>
      <c r="F12" s="787" t="str">
        <f>IF(B12="","",Datos_Generales!$K$13)</f>
        <v/>
      </c>
      <c r="H12" s="788"/>
      <c r="J12" s="789"/>
      <c r="K12" s="789"/>
      <c r="L12" s="789"/>
      <c r="M12" s="789"/>
      <c r="N12" s="789"/>
      <c r="O12" s="789"/>
      <c r="P12" s="789"/>
      <c r="Q12" s="789"/>
      <c r="R12" s="789"/>
      <c r="S12" s="789"/>
      <c r="T12" s="789"/>
      <c r="U12" s="789"/>
      <c r="V12" s="139">
        <f t="shared" si="1"/>
        <v>0</v>
      </c>
    </row>
    <row r="13" spans="1:23" x14ac:dyDescent="0.2">
      <c r="A13" s="943"/>
      <c r="B13" s="785" t="str">
        <f>IF(Datos_Generales!N16=0,"",Datos_Generales!N16)</f>
        <v/>
      </c>
      <c r="D13" s="786">
        <f>+Datos_Generales!P16</f>
        <v>0</v>
      </c>
      <c r="F13" s="787" t="str">
        <f>IF(B13="","",Datos_Generales!$K$13)</f>
        <v/>
      </c>
      <c r="H13" s="788"/>
      <c r="J13" s="789"/>
      <c r="K13" s="789"/>
      <c r="L13" s="789"/>
      <c r="M13" s="789"/>
      <c r="N13" s="789"/>
      <c r="O13" s="789"/>
      <c r="P13" s="789"/>
      <c r="Q13" s="789"/>
      <c r="R13" s="789"/>
      <c r="S13" s="789"/>
      <c r="T13" s="789"/>
      <c r="U13" s="789"/>
      <c r="V13" s="139">
        <f t="shared" si="1"/>
        <v>0</v>
      </c>
    </row>
    <row r="14" spans="1:23" x14ac:dyDescent="0.2">
      <c r="A14" s="943"/>
      <c r="B14" s="785"/>
      <c r="D14" s="786">
        <f>+Datos_Generales!P17</f>
        <v>0</v>
      </c>
      <c r="F14" s="787" t="str">
        <f>IF(B14="","",Datos_Generales!$K$13)</f>
        <v/>
      </c>
      <c r="H14" s="788"/>
      <c r="J14" s="789"/>
      <c r="K14" s="789"/>
      <c r="L14" s="789"/>
      <c r="M14" s="789"/>
      <c r="N14" s="789"/>
      <c r="O14" s="789"/>
      <c r="P14" s="789"/>
      <c r="Q14" s="789"/>
      <c r="R14" s="789"/>
      <c r="S14" s="789"/>
      <c r="T14" s="789"/>
      <c r="U14" s="789"/>
      <c r="V14" s="139">
        <f t="shared" si="1"/>
        <v>0</v>
      </c>
    </row>
    <row r="15" spans="1:23" x14ac:dyDescent="0.2">
      <c r="A15" s="943"/>
      <c r="B15" s="790" t="s">
        <v>181</v>
      </c>
      <c r="D15" s="786"/>
      <c r="F15" s="787">
        <f>IF(B15="","",Datos_Generales!$K$13)</f>
        <v>0</v>
      </c>
      <c r="H15" s="788"/>
      <c r="J15" s="789"/>
      <c r="K15" s="789"/>
      <c r="L15" s="789"/>
      <c r="M15" s="789"/>
      <c r="N15" s="789"/>
      <c r="O15" s="789"/>
      <c r="P15" s="789"/>
      <c r="Q15" s="789"/>
      <c r="R15" s="789"/>
      <c r="S15" s="789"/>
      <c r="T15" s="789"/>
      <c r="U15" s="789"/>
      <c r="V15" s="139">
        <f t="shared" si="1"/>
        <v>0</v>
      </c>
      <c r="W15" s="111">
        <v>0</v>
      </c>
    </row>
    <row r="16" spans="1:23" x14ac:dyDescent="0.2">
      <c r="A16" s="943"/>
      <c r="B16" s="790" t="s">
        <v>182</v>
      </c>
      <c r="D16" s="786"/>
      <c r="F16" s="787">
        <f>IF(B16="","",Datos_Generales!$K$13)</f>
        <v>0</v>
      </c>
      <c r="H16" s="788"/>
      <c r="J16" s="789"/>
      <c r="K16" s="789"/>
      <c r="L16" s="789"/>
      <c r="M16" s="789"/>
      <c r="N16" s="789"/>
      <c r="O16" s="789"/>
      <c r="P16" s="789"/>
      <c r="Q16" s="789"/>
      <c r="R16" s="789"/>
      <c r="S16" s="789"/>
      <c r="T16" s="789"/>
      <c r="U16" s="789"/>
      <c r="V16" s="139">
        <f t="shared" si="1"/>
        <v>0</v>
      </c>
      <c r="W16" s="111">
        <v>0</v>
      </c>
    </row>
    <row r="17" spans="1:22" x14ac:dyDescent="0.2">
      <c r="B17" s="781" t="s">
        <v>183</v>
      </c>
      <c r="C17" s="135"/>
      <c r="D17" s="782" t="s">
        <v>179</v>
      </c>
      <c r="E17" s="135"/>
      <c r="F17" s="782" t="s">
        <v>184</v>
      </c>
      <c r="G17" s="135"/>
      <c r="H17" s="791"/>
      <c r="I17" s="135"/>
      <c r="J17" s="792"/>
      <c r="K17" s="792"/>
      <c r="L17" s="792"/>
      <c r="M17" s="792"/>
      <c r="N17" s="792"/>
      <c r="O17" s="792"/>
      <c r="P17" s="792"/>
      <c r="Q17" s="792"/>
      <c r="R17" s="792"/>
      <c r="S17" s="792"/>
      <c r="T17" s="792"/>
      <c r="U17" s="792"/>
      <c r="V17" s="137"/>
    </row>
    <row r="18" spans="1:22" x14ac:dyDescent="0.2">
      <c r="A18" s="944" t="s">
        <v>185</v>
      </c>
      <c r="B18" s="793" t="str">
        <f>+B5</f>
        <v/>
      </c>
      <c r="D18" s="794">
        <f>+D5</f>
        <v>0</v>
      </c>
      <c r="F18" s="795">
        <f>+Datos_Generales!R8</f>
        <v>0</v>
      </c>
      <c r="H18" s="793"/>
      <c r="J18" s="796"/>
      <c r="K18" s="796"/>
      <c r="L18" s="796"/>
      <c r="M18" s="796"/>
      <c r="N18" s="796"/>
      <c r="O18" s="796"/>
      <c r="P18" s="796"/>
      <c r="Q18" s="796"/>
      <c r="R18" s="796"/>
      <c r="S18" s="796"/>
      <c r="T18" s="796"/>
      <c r="U18" s="796"/>
      <c r="V18" s="139">
        <f t="shared" ref="V18:V29" si="2">SUM(J18:U18)</f>
        <v>0</v>
      </c>
    </row>
    <row r="19" spans="1:22" x14ac:dyDescent="0.2">
      <c r="A19" s="944"/>
      <c r="B19" s="793" t="str">
        <f t="shared" ref="B19:B29" si="3">+B6</f>
        <v/>
      </c>
      <c r="D19" s="794">
        <f t="shared" ref="D19:D29" si="4">+D6</f>
        <v>0</v>
      </c>
      <c r="F19" s="795">
        <f>+Datos_Generales!R9</f>
        <v>0</v>
      </c>
      <c r="H19" s="793"/>
      <c r="J19" s="796"/>
      <c r="K19" s="796"/>
      <c r="L19" s="796"/>
      <c r="M19" s="796"/>
      <c r="N19" s="796"/>
      <c r="O19" s="796"/>
      <c r="P19" s="796"/>
      <c r="Q19" s="796"/>
      <c r="R19" s="796"/>
      <c r="S19" s="796"/>
      <c r="T19" s="796"/>
      <c r="U19" s="796"/>
      <c r="V19" s="139">
        <f t="shared" si="2"/>
        <v>0</v>
      </c>
    </row>
    <row r="20" spans="1:22" x14ac:dyDescent="0.2">
      <c r="A20" s="944"/>
      <c r="B20" s="793" t="str">
        <f t="shared" si="3"/>
        <v/>
      </c>
      <c r="D20" s="794">
        <f t="shared" si="4"/>
        <v>0</v>
      </c>
      <c r="F20" s="795">
        <f>+Datos_Generales!R10</f>
        <v>0</v>
      </c>
      <c r="H20" s="793"/>
      <c r="J20" s="796"/>
      <c r="K20" s="796"/>
      <c r="L20" s="796"/>
      <c r="M20" s="796"/>
      <c r="N20" s="796"/>
      <c r="O20" s="796"/>
      <c r="P20" s="796"/>
      <c r="Q20" s="796"/>
      <c r="R20" s="796"/>
      <c r="S20" s="796"/>
      <c r="T20" s="796"/>
      <c r="U20" s="796"/>
      <c r="V20" s="139">
        <f t="shared" si="2"/>
        <v>0</v>
      </c>
    </row>
    <row r="21" spans="1:22" x14ac:dyDescent="0.2">
      <c r="A21" s="944"/>
      <c r="B21" s="793" t="str">
        <f t="shared" si="3"/>
        <v/>
      </c>
      <c r="D21" s="794">
        <f t="shared" si="4"/>
        <v>0</v>
      </c>
      <c r="F21" s="795">
        <f>+Datos_Generales!R11</f>
        <v>0</v>
      </c>
      <c r="H21" s="793"/>
      <c r="J21" s="796"/>
      <c r="K21" s="796"/>
      <c r="L21" s="796"/>
      <c r="M21" s="796"/>
      <c r="N21" s="796"/>
      <c r="O21" s="796"/>
      <c r="P21" s="796"/>
      <c r="Q21" s="796"/>
      <c r="R21" s="796"/>
      <c r="S21" s="796"/>
      <c r="T21" s="796"/>
      <c r="U21" s="796"/>
      <c r="V21" s="139">
        <f t="shared" si="2"/>
        <v>0</v>
      </c>
    </row>
    <row r="22" spans="1:22" x14ac:dyDescent="0.2">
      <c r="A22" s="944"/>
      <c r="B22" s="793" t="str">
        <f t="shared" si="3"/>
        <v/>
      </c>
      <c r="D22" s="794">
        <f t="shared" si="4"/>
        <v>0</v>
      </c>
      <c r="F22" s="795">
        <f>+Datos_Generales!R12</f>
        <v>0</v>
      </c>
      <c r="H22" s="793"/>
      <c r="J22" s="796"/>
      <c r="K22" s="796"/>
      <c r="L22" s="796"/>
      <c r="M22" s="796"/>
      <c r="N22" s="796"/>
      <c r="O22" s="796"/>
      <c r="P22" s="796"/>
      <c r="Q22" s="796"/>
      <c r="R22" s="796"/>
      <c r="S22" s="796"/>
      <c r="T22" s="796"/>
      <c r="U22" s="796"/>
      <c r="V22" s="139">
        <f t="shared" si="2"/>
        <v>0</v>
      </c>
    </row>
    <row r="23" spans="1:22" x14ac:dyDescent="0.2">
      <c r="A23" s="944"/>
      <c r="B23" s="793" t="str">
        <f t="shared" si="3"/>
        <v/>
      </c>
      <c r="D23" s="794">
        <f t="shared" si="4"/>
        <v>0</v>
      </c>
      <c r="F23" s="795">
        <f>+Datos_Generales!R13</f>
        <v>0</v>
      </c>
      <c r="H23" s="793"/>
      <c r="J23" s="796"/>
      <c r="K23" s="796"/>
      <c r="L23" s="796"/>
      <c r="M23" s="796"/>
      <c r="N23" s="796"/>
      <c r="O23" s="796"/>
      <c r="P23" s="796"/>
      <c r="Q23" s="796"/>
      <c r="R23" s="796"/>
      <c r="S23" s="796"/>
      <c r="T23" s="796"/>
      <c r="U23" s="796"/>
      <c r="V23" s="139">
        <f t="shared" si="2"/>
        <v>0</v>
      </c>
    </row>
    <row r="24" spans="1:22" ht="12" x14ac:dyDescent="0.2">
      <c r="A24" s="944"/>
      <c r="B24" s="793" t="str">
        <f t="shared" si="3"/>
        <v/>
      </c>
      <c r="D24" s="794">
        <f t="shared" si="4"/>
        <v>0</v>
      </c>
      <c r="F24" s="795">
        <f>+Datos_Generales!R14</f>
        <v>0</v>
      </c>
      <c r="H24" s="793"/>
      <c r="I24" s="310" t="s">
        <v>186</v>
      </c>
      <c r="J24" s="796"/>
      <c r="K24" s="796"/>
      <c r="L24" s="796"/>
      <c r="M24" s="796"/>
      <c r="N24" s="796"/>
      <c r="O24" s="796"/>
      <c r="P24" s="796"/>
      <c r="Q24" s="796"/>
      <c r="R24" s="796"/>
      <c r="S24" s="796"/>
      <c r="T24" s="796"/>
      <c r="U24" s="796"/>
      <c r="V24" s="139">
        <f t="shared" si="2"/>
        <v>0</v>
      </c>
    </row>
    <row r="25" spans="1:22" x14ac:dyDescent="0.2">
      <c r="A25" s="944"/>
      <c r="B25" s="793" t="str">
        <f t="shared" si="3"/>
        <v/>
      </c>
      <c r="D25" s="794">
        <f t="shared" si="4"/>
        <v>0</v>
      </c>
      <c r="F25" s="795">
        <f>+Datos_Generales!R15</f>
        <v>0</v>
      </c>
      <c r="H25" s="793"/>
      <c r="I25" s="945">
        <f ca="1">+Presupuesto_Final2!$G$37</f>
        <v>0</v>
      </c>
      <c r="J25" s="796"/>
      <c r="K25" s="796"/>
      <c r="L25" s="796"/>
      <c r="M25" s="796"/>
      <c r="N25" s="796"/>
      <c r="O25" s="796"/>
      <c r="P25" s="796"/>
      <c r="Q25" s="796"/>
      <c r="R25" s="796"/>
      <c r="S25" s="796"/>
      <c r="T25" s="796"/>
      <c r="U25" s="796"/>
      <c r="V25" s="139">
        <f t="shared" si="2"/>
        <v>0</v>
      </c>
    </row>
    <row r="26" spans="1:22" x14ac:dyDescent="0.2">
      <c r="A26" s="944"/>
      <c r="B26" s="793" t="str">
        <f t="shared" si="3"/>
        <v/>
      </c>
      <c r="D26" s="794">
        <f t="shared" si="4"/>
        <v>0</v>
      </c>
      <c r="F26" s="795">
        <f>+Datos_Generales!R16</f>
        <v>0</v>
      </c>
      <c r="H26" s="793"/>
      <c r="I26" s="946"/>
      <c r="J26" s="796"/>
      <c r="K26" s="796"/>
      <c r="L26" s="796"/>
      <c r="M26" s="796"/>
      <c r="N26" s="796"/>
      <c r="O26" s="796"/>
      <c r="P26" s="796"/>
      <c r="Q26" s="796"/>
      <c r="R26" s="796"/>
      <c r="S26" s="796"/>
      <c r="T26" s="796"/>
      <c r="U26" s="796"/>
      <c r="V26" s="139">
        <f t="shared" si="2"/>
        <v>0</v>
      </c>
    </row>
    <row r="27" spans="1:22" x14ac:dyDescent="0.2">
      <c r="A27" s="944"/>
      <c r="B27" s="793">
        <f t="shared" si="3"/>
        <v>0</v>
      </c>
      <c r="D27" s="794">
        <f t="shared" si="4"/>
        <v>0</v>
      </c>
      <c r="F27" s="795">
        <f>+Datos_Generales!R17</f>
        <v>0</v>
      </c>
      <c r="H27" s="793"/>
      <c r="I27" s="946"/>
      <c r="J27" s="796"/>
      <c r="K27" s="796"/>
      <c r="L27" s="796"/>
      <c r="M27" s="796"/>
      <c r="N27" s="796"/>
      <c r="O27" s="796"/>
      <c r="P27" s="796"/>
      <c r="Q27" s="796"/>
      <c r="R27" s="796"/>
      <c r="S27" s="796"/>
      <c r="T27" s="796"/>
      <c r="U27" s="796"/>
      <c r="V27" s="139">
        <f t="shared" si="2"/>
        <v>0</v>
      </c>
    </row>
    <row r="28" spans="1:22" x14ac:dyDescent="0.2">
      <c r="A28" s="944"/>
      <c r="B28" s="793" t="str">
        <f t="shared" si="3"/>
        <v>Becas</v>
      </c>
      <c r="D28" s="794">
        <f t="shared" si="4"/>
        <v>0</v>
      </c>
      <c r="F28" s="797">
        <f>+Datos_Generales!R18</f>
        <v>0</v>
      </c>
      <c r="H28" s="793"/>
      <c r="I28" s="946"/>
      <c r="J28" s="796"/>
      <c r="K28" s="796"/>
      <c r="L28" s="796"/>
      <c r="M28" s="796"/>
      <c r="N28" s="796"/>
      <c r="O28" s="796"/>
      <c r="P28" s="796"/>
      <c r="Q28" s="796"/>
      <c r="R28" s="796"/>
      <c r="S28" s="796"/>
      <c r="T28" s="796"/>
      <c r="U28" s="796"/>
      <c r="V28" s="139">
        <f t="shared" si="2"/>
        <v>0</v>
      </c>
    </row>
    <row r="29" spans="1:22" x14ac:dyDescent="0.2">
      <c r="A29" s="944"/>
      <c r="B29" s="793" t="str">
        <f t="shared" si="3"/>
        <v>Dietas Irco</v>
      </c>
      <c r="D29" s="794">
        <f t="shared" si="4"/>
        <v>0</v>
      </c>
      <c r="F29" s="797">
        <f>+Datos_Generales!R19</f>
        <v>0</v>
      </c>
      <c r="H29" s="793"/>
      <c r="I29" s="946"/>
      <c r="J29" s="796"/>
      <c r="K29" s="796"/>
      <c r="L29" s="796"/>
      <c r="M29" s="796"/>
      <c r="N29" s="796"/>
      <c r="O29" s="796"/>
      <c r="P29" s="796"/>
      <c r="Q29" s="796"/>
      <c r="R29" s="796"/>
      <c r="S29" s="796"/>
      <c r="T29" s="796"/>
      <c r="U29" s="796"/>
      <c r="V29" s="139">
        <f t="shared" si="2"/>
        <v>0</v>
      </c>
    </row>
    <row r="30" spans="1:22" x14ac:dyDescent="0.2">
      <c r="B30" s="781" t="s">
        <v>187</v>
      </c>
      <c r="C30" s="135"/>
      <c r="D30" s="782" t="s">
        <v>179</v>
      </c>
      <c r="E30" s="135"/>
      <c r="F30" s="782" t="s">
        <v>188</v>
      </c>
      <c r="G30" s="135"/>
      <c r="H30" s="791"/>
      <c r="I30" s="947"/>
      <c r="J30" s="792"/>
      <c r="K30" s="792"/>
      <c r="L30" s="792"/>
      <c r="M30" s="792"/>
      <c r="N30" s="792"/>
      <c r="O30" s="792"/>
      <c r="P30" s="792"/>
      <c r="Q30" s="792"/>
      <c r="R30" s="792"/>
      <c r="S30" s="792"/>
      <c r="T30" s="792"/>
      <c r="U30" s="792"/>
      <c r="V30" s="137"/>
    </row>
    <row r="31" spans="1:22" x14ac:dyDescent="0.2">
      <c r="A31" s="944" t="s">
        <v>189</v>
      </c>
      <c r="B31" s="793" t="str">
        <f t="shared" ref="B31:B37" si="5">+B5</f>
        <v/>
      </c>
      <c r="D31" s="798">
        <f t="shared" ref="D31:D40" si="6">+D5</f>
        <v>0</v>
      </c>
      <c r="F31" s="795">
        <f>+Datos_Generales!R8</f>
        <v>0</v>
      </c>
      <c r="H31" s="793"/>
      <c r="J31" s="799">
        <f>IFERROR(J18*J5,"")</f>
        <v>0</v>
      </c>
      <c r="K31" s="799">
        <f t="shared" ref="K31:U31" si="7">IFERROR(K18*K5,"")</f>
        <v>0</v>
      </c>
      <c r="L31" s="799">
        <f t="shared" si="7"/>
        <v>0</v>
      </c>
      <c r="M31" s="799">
        <f t="shared" si="7"/>
        <v>0</v>
      </c>
      <c r="N31" s="799">
        <f t="shared" si="7"/>
        <v>0</v>
      </c>
      <c r="O31" s="799">
        <f t="shared" si="7"/>
        <v>0</v>
      </c>
      <c r="P31" s="799">
        <f t="shared" si="7"/>
        <v>0</v>
      </c>
      <c r="Q31" s="799">
        <f t="shared" si="7"/>
        <v>0</v>
      </c>
      <c r="R31" s="799">
        <f t="shared" si="7"/>
        <v>0</v>
      </c>
      <c r="S31" s="799">
        <f t="shared" si="7"/>
        <v>0</v>
      </c>
      <c r="T31" s="799">
        <f t="shared" si="7"/>
        <v>0</v>
      </c>
      <c r="U31" s="799">
        <f t="shared" si="7"/>
        <v>0</v>
      </c>
      <c r="V31" s="139">
        <f t="shared" ref="V31:V36" si="8">SUM(J31:U31)</f>
        <v>0</v>
      </c>
    </row>
    <row r="32" spans="1:22" x14ac:dyDescent="0.2">
      <c r="A32" s="944"/>
      <c r="B32" s="793" t="str">
        <f t="shared" si="5"/>
        <v/>
      </c>
      <c r="D32" s="798">
        <f t="shared" si="6"/>
        <v>0</v>
      </c>
      <c r="F32" s="795">
        <f>+Datos_Generales!R9</f>
        <v>0</v>
      </c>
      <c r="H32" s="793"/>
      <c r="J32" s="799">
        <f t="shared" ref="J32:U42" si="9">IFERROR(J19*J6,"")</f>
        <v>0</v>
      </c>
      <c r="K32" s="799">
        <f t="shared" si="9"/>
        <v>0</v>
      </c>
      <c r="L32" s="799">
        <f t="shared" si="9"/>
        <v>0</v>
      </c>
      <c r="M32" s="799">
        <f t="shared" si="9"/>
        <v>0</v>
      </c>
      <c r="N32" s="799">
        <f t="shared" si="9"/>
        <v>0</v>
      </c>
      <c r="O32" s="799">
        <f t="shared" si="9"/>
        <v>0</v>
      </c>
      <c r="P32" s="799">
        <f t="shared" si="9"/>
        <v>0</v>
      </c>
      <c r="Q32" s="799">
        <f t="shared" si="9"/>
        <v>0</v>
      </c>
      <c r="R32" s="799">
        <f t="shared" si="9"/>
        <v>0</v>
      </c>
      <c r="S32" s="799">
        <f t="shared" si="9"/>
        <v>0</v>
      </c>
      <c r="T32" s="799">
        <f t="shared" si="9"/>
        <v>0</v>
      </c>
      <c r="U32" s="799">
        <f t="shared" si="9"/>
        <v>0</v>
      </c>
      <c r="V32" s="139">
        <f t="shared" si="8"/>
        <v>0</v>
      </c>
    </row>
    <row r="33" spans="1:22" x14ac:dyDescent="0.2">
      <c r="A33" s="944"/>
      <c r="B33" s="793" t="str">
        <f t="shared" si="5"/>
        <v/>
      </c>
      <c r="D33" s="798">
        <f t="shared" si="6"/>
        <v>0</v>
      </c>
      <c r="F33" s="795">
        <f>+Datos_Generales!R10</f>
        <v>0</v>
      </c>
      <c r="H33" s="793"/>
      <c r="J33" s="799">
        <f t="shared" si="9"/>
        <v>0</v>
      </c>
      <c r="K33" s="799">
        <f t="shared" si="9"/>
        <v>0</v>
      </c>
      <c r="L33" s="799">
        <f t="shared" si="9"/>
        <v>0</v>
      </c>
      <c r="M33" s="799">
        <f t="shared" si="9"/>
        <v>0</v>
      </c>
      <c r="N33" s="799">
        <f t="shared" si="9"/>
        <v>0</v>
      </c>
      <c r="O33" s="799">
        <f t="shared" si="9"/>
        <v>0</v>
      </c>
      <c r="P33" s="799">
        <f t="shared" si="9"/>
        <v>0</v>
      </c>
      <c r="Q33" s="799">
        <f t="shared" si="9"/>
        <v>0</v>
      </c>
      <c r="R33" s="799">
        <f t="shared" si="9"/>
        <v>0</v>
      </c>
      <c r="S33" s="799">
        <f t="shared" si="9"/>
        <v>0</v>
      </c>
      <c r="T33" s="799">
        <f t="shared" si="9"/>
        <v>0</v>
      </c>
      <c r="U33" s="799">
        <f t="shared" si="9"/>
        <v>0</v>
      </c>
      <c r="V33" s="139">
        <f t="shared" si="8"/>
        <v>0</v>
      </c>
    </row>
    <row r="34" spans="1:22" x14ac:dyDescent="0.2">
      <c r="A34" s="944"/>
      <c r="B34" s="793" t="str">
        <f t="shared" si="5"/>
        <v/>
      </c>
      <c r="D34" s="798">
        <f t="shared" si="6"/>
        <v>0</v>
      </c>
      <c r="F34" s="795">
        <f>+Datos_Generales!R11</f>
        <v>0</v>
      </c>
      <c r="H34" s="793"/>
      <c r="J34" s="799">
        <f t="shared" si="9"/>
        <v>0</v>
      </c>
      <c r="K34" s="799">
        <f t="shared" si="9"/>
        <v>0</v>
      </c>
      <c r="L34" s="799">
        <f t="shared" si="9"/>
        <v>0</v>
      </c>
      <c r="M34" s="799">
        <f t="shared" si="9"/>
        <v>0</v>
      </c>
      <c r="N34" s="799">
        <f t="shared" si="9"/>
        <v>0</v>
      </c>
      <c r="O34" s="799">
        <f t="shared" si="9"/>
        <v>0</v>
      </c>
      <c r="P34" s="799">
        <f t="shared" si="9"/>
        <v>0</v>
      </c>
      <c r="Q34" s="799">
        <f t="shared" si="9"/>
        <v>0</v>
      </c>
      <c r="R34" s="799">
        <f t="shared" si="9"/>
        <v>0</v>
      </c>
      <c r="S34" s="799">
        <f t="shared" si="9"/>
        <v>0</v>
      </c>
      <c r="T34" s="799">
        <f t="shared" si="9"/>
        <v>0</v>
      </c>
      <c r="U34" s="799">
        <f t="shared" si="9"/>
        <v>0</v>
      </c>
      <c r="V34" s="139">
        <f t="shared" si="8"/>
        <v>0</v>
      </c>
    </row>
    <row r="35" spans="1:22" x14ac:dyDescent="0.2">
      <c r="A35" s="944"/>
      <c r="B35" s="793" t="str">
        <f t="shared" si="5"/>
        <v/>
      </c>
      <c r="D35" s="798">
        <f t="shared" si="6"/>
        <v>0</v>
      </c>
      <c r="F35" s="795">
        <f>+Datos_Generales!R12</f>
        <v>0</v>
      </c>
      <c r="H35" s="793"/>
      <c r="J35" s="799">
        <f t="shared" si="9"/>
        <v>0</v>
      </c>
      <c r="K35" s="799">
        <f t="shared" si="9"/>
        <v>0</v>
      </c>
      <c r="L35" s="799">
        <f t="shared" si="9"/>
        <v>0</v>
      </c>
      <c r="M35" s="799">
        <f>IFERROR(M22*M9,"")</f>
        <v>0</v>
      </c>
      <c r="N35" s="799">
        <f t="shared" si="9"/>
        <v>0</v>
      </c>
      <c r="O35" s="799">
        <f t="shared" si="9"/>
        <v>0</v>
      </c>
      <c r="P35" s="799">
        <f t="shared" si="9"/>
        <v>0</v>
      </c>
      <c r="Q35" s="799">
        <f t="shared" si="9"/>
        <v>0</v>
      </c>
      <c r="R35" s="799">
        <f t="shared" si="9"/>
        <v>0</v>
      </c>
      <c r="S35" s="799">
        <f t="shared" si="9"/>
        <v>0</v>
      </c>
      <c r="T35" s="799">
        <f t="shared" si="9"/>
        <v>0</v>
      </c>
      <c r="U35" s="799">
        <f t="shared" si="9"/>
        <v>0</v>
      </c>
      <c r="V35" s="139">
        <f t="shared" si="8"/>
        <v>0</v>
      </c>
    </row>
    <row r="36" spans="1:22" x14ac:dyDescent="0.2">
      <c r="A36" s="944"/>
      <c r="B36" s="793" t="str">
        <f t="shared" si="5"/>
        <v/>
      </c>
      <c r="D36" s="798">
        <f t="shared" si="6"/>
        <v>0</v>
      </c>
      <c r="F36" s="795">
        <f>+Datos_Generales!R13</f>
        <v>0</v>
      </c>
      <c r="H36" s="793"/>
      <c r="J36" s="799">
        <f t="shared" si="9"/>
        <v>0</v>
      </c>
      <c r="K36" s="799">
        <f t="shared" si="9"/>
        <v>0</v>
      </c>
      <c r="L36" s="799">
        <f t="shared" si="9"/>
        <v>0</v>
      </c>
      <c r="M36" s="799">
        <f t="shared" si="9"/>
        <v>0</v>
      </c>
      <c r="N36" s="799">
        <f t="shared" si="9"/>
        <v>0</v>
      </c>
      <c r="O36" s="799">
        <f t="shared" si="9"/>
        <v>0</v>
      </c>
      <c r="P36" s="799">
        <f t="shared" si="9"/>
        <v>0</v>
      </c>
      <c r="Q36" s="799">
        <f t="shared" si="9"/>
        <v>0</v>
      </c>
      <c r="R36" s="799">
        <f t="shared" si="9"/>
        <v>0</v>
      </c>
      <c r="S36" s="799">
        <f t="shared" si="9"/>
        <v>0</v>
      </c>
      <c r="T36" s="799">
        <f t="shared" si="9"/>
        <v>0</v>
      </c>
      <c r="U36" s="799">
        <f t="shared" si="9"/>
        <v>0</v>
      </c>
      <c r="V36" s="139">
        <f t="shared" si="8"/>
        <v>0</v>
      </c>
    </row>
    <row r="37" spans="1:22" x14ac:dyDescent="0.2">
      <c r="A37" s="944"/>
      <c r="B37" s="793" t="str">
        <f t="shared" si="5"/>
        <v/>
      </c>
      <c r="D37" s="798">
        <f t="shared" si="6"/>
        <v>0</v>
      </c>
      <c r="F37" s="795">
        <f>+Datos_Generales!R14</f>
        <v>0</v>
      </c>
      <c r="H37" s="793"/>
      <c r="J37" s="799">
        <f t="shared" si="9"/>
        <v>0</v>
      </c>
      <c r="K37" s="799">
        <f t="shared" si="9"/>
        <v>0</v>
      </c>
      <c r="L37" s="799">
        <f t="shared" si="9"/>
        <v>0</v>
      </c>
      <c r="M37" s="799">
        <f t="shared" si="9"/>
        <v>0</v>
      </c>
      <c r="N37" s="799">
        <f t="shared" si="9"/>
        <v>0</v>
      </c>
      <c r="O37" s="799">
        <f t="shared" si="9"/>
        <v>0</v>
      </c>
      <c r="P37" s="799">
        <f t="shared" si="9"/>
        <v>0</v>
      </c>
      <c r="Q37" s="799">
        <f t="shared" si="9"/>
        <v>0</v>
      </c>
      <c r="R37" s="799">
        <f t="shared" si="9"/>
        <v>0</v>
      </c>
      <c r="S37" s="799">
        <f t="shared" si="9"/>
        <v>0</v>
      </c>
      <c r="T37" s="799">
        <f t="shared" si="9"/>
        <v>0</v>
      </c>
      <c r="U37" s="799">
        <f t="shared" si="9"/>
        <v>0</v>
      </c>
      <c r="V37" s="139">
        <f t="shared" ref="V37:V42" si="10">SUM(J37:U37)</f>
        <v>0</v>
      </c>
    </row>
    <row r="38" spans="1:22" x14ac:dyDescent="0.2">
      <c r="A38" s="944"/>
      <c r="B38" s="793" t="str">
        <f t="shared" ref="B38:B42" si="11">+B12</f>
        <v/>
      </c>
      <c r="D38" s="798">
        <f t="shared" si="6"/>
        <v>0</v>
      </c>
      <c r="F38" s="795">
        <f>+Datos_Generales!R15</f>
        <v>0</v>
      </c>
      <c r="H38" s="793"/>
      <c r="J38" s="799">
        <f t="shared" si="9"/>
        <v>0</v>
      </c>
      <c r="K38" s="799">
        <f t="shared" si="9"/>
        <v>0</v>
      </c>
      <c r="L38" s="799">
        <f t="shared" si="9"/>
        <v>0</v>
      </c>
      <c r="M38" s="799">
        <f t="shared" si="9"/>
        <v>0</v>
      </c>
      <c r="N38" s="799">
        <f t="shared" si="9"/>
        <v>0</v>
      </c>
      <c r="O38" s="799">
        <f t="shared" si="9"/>
        <v>0</v>
      </c>
      <c r="P38" s="799">
        <f t="shared" si="9"/>
        <v>0</v>
      </c>
      <c r="Q38" s="799">
        <f t="shared" si="9"/>
        <v>0</v>
      </c>
      <c r="R38" s="799">
        <f t="shared" si="9"/>
        <v>0</v>
      </c>
      <c r="S38" s="799">
        <f t="shared" si="9"/>
        <v>0</v>
      </c>
      <c r="T38" s="799">
        <f t="shared" si="9"/>
        <v>0</v>
      </c>
      <c r="U38" s="799">
        <f t="shared" si="9"/>
        <v>0</v>
      </c>
      <c r="V38" s="139">
        <f>SUM(J38:U38)</f>
        <v>0</v>
      </c>
    </row>
    <row r="39" spans="1:22" x14ac:dyDescent="0.2">
      <c r="A39" s="944"/>
      <c r="B39" s="793" t="str">
        <f t="shared" si="11"/>
        <v/>
      </c>
      <c r="D39" s="798">
        <f t="shared" si="6"/>
        <v>0</v>
      </c>
      <c r="F39" s="795">
        <f>+Datos_Generales!R16</f>
        <v>0</v>
      </c>
      <c r="H39" s="793"/>
      <c r="J39" s="799">
        <f t="shared" si="9"/>
        <v>0</v>
      </c>
      <c r="K39" s="799">
        <f t="shared" si="9"/>
        <v>0</v>
      </c>
      <c r="L39" s="799">
        <f t="shared" si="9"/>
        <v>0</v>
      </c>
      <c r="M39" s="799">
        <f t="shared" si="9"/>
        <v>0</v>
      </c>
      <c r="N39" s="799">
        <f t="shared" si="9"/>
        <v>0</v>
      </c>
      <c r="O39" s="799">
        <f t="shared" si="9"/>
        <v>0</v>
      </c>
      <c r="P39" s="799">
        <f t="shared" si="9"/>
        <v>0</v>
      </c>
      <c r="Q39" s="799">
        <f t="shared" si="9"/>
        <v>0</v>
      </c>
      <c r="R39" s="799">
        <f t="shared" si="9"/>
        <v>0</v>
      </c>
      <c r="S39" s="799">
        <f t="shared" si="9"/>
        <v>0</v>
      </c>
      <c r="T39" s="799">
        <f t="shared" si="9"/>
        <v>0</v>
      </c>
      <c r="U39" s="799">
        <f t="shared" si="9"/>
        <v>0</v>
      </c>
      <c r="V39" s="139">
        <f>SUM(J39:U39)</f>
        <v>0</v>
      </c>
    </row>
    <row r="40" spans="1:22" x14ac:dyDescent="0.2">
      <c r="A40" s="944"/>
      <c r="B40" s="793">
        <f t="shared" si="11"/>
        <v>0</v>
      </c>
      <c r="D40" s="798">
        <f t="shared" si="6"/>
        <v>0</v>
      </c>
      <c r="F40" s="795">
        <f>+Datos_Generales!R17</f>
        <v>0</v>
      </c>
      <c r="H40" s="793"/>
      <c r="J40" s="799">
        <f t="shared" si="9"/>
        <v>0</v>
      </c>
      <c r="K40" s="799">
        <f t="shared" si="9"/>
        <v>0</v>
      </c>
      <c r="L40" s="799">
        <f t="shared" si="9"/>
        <v>0</v>
      </c>
      <c r="M40" s="799">
        <f t="shared" si="9"/>
        <v>0</v>
      </c>
      <c r="N40" s="799">
        <f t="shared" si="9"/>
        <v>0</v>
      </c>
      <c r="O40" s="799">
        <f t="shared" si="9"/>
        <v>0</v>
      </c>
      <c r="P40" s="799">
        <f t="shared" si="9"/>
        <v>0</v>
      </c>
      <c r="Q40" s="799">
        <f t="shared" si="9"/>
        <v>0</v>
      </c>
      <c r="R40" s="799">
        <f t="shared" si="9"/>
        <v>0</v>
      </c>
      <c r="S40" s="799">
        <f t="shared" si="9"/>
        <v>0</v>
      </c>
      <c r="T40" s="799">
        <f t="shared" si="9"/>
        <v>0</v>
      </c>
      <c r="U40" s="799">
        <f t="shared" si="9"/>
        <v>0</v>
      </c>
      <c r="V40" s="139">
        <f>SUM(J40:U40)</f>
        <v>0</v>
      </c>
    </row>
    <row r="41" spans="1:22" x14ac:dyDescent="0.2">
      <c r="A41" s="944"/>
      <c r="B41" s="793" t="str">
        <f t="shared" si="11"/>
        <v>Becas</v>
      </c>
      <c r="D41" s="798"/>
      <c r="F41" s="797">
        <f>+Datos_Generales!R18</f>
        <v>0</v>
      </c>
      <c r="H41" s="793"/>
      <c r="J41" s="799">
        <f t="shared" si="9"/>
        <v>0</v>
      </c>
      <c r="K41" s="799">
        <f t="shared" si="9"/>
        <v>0</v>
      </c>
      <c r="L41" s="799">
        <f t="shared" si="9"/>
        <v>0</v>
      </c>
      <c r="M41" s="799">
        <f t="shared" si="9"/>
        <v>0</v>
      </c>
      <c r="N41" s="799">
        <f t="shared" si="9"/>
        <v>0</v>
      </c>
      <c r="O41" s="799">
        <f t="shared" si="9"/>
        <v>0</v>
      </c>
      <c r="P41" s="799">
        <f t="shared" si="9"/>
        <v>0</v>
      </c>
      <c r="Q41" s="799">
        <f t="shared" si="9"/>
        <v>0</v>
      </c>
      <c r="R41" s="799">
        <f t="shared" si="9"/>
        <v>0</v>
      </c>
      <c r="S41" s="799">
        <f t="shared" si="9"/>
        <v>0</v>
      </c>
      <c r="T41" s="799">
        <f t="shared" si="9"/>
        <v>0</v>
      </c>
      <c r="U41" s="799">
        <f t="shared" si="9"/>
        <v>0</v>
      </c>
      <c r="V41" s="139">
        <f>SUM(J41:U41)</f>
        <v>0</v>
      </c>
    </row>
    <row r="42" spans="1:22" x14ac:dyDescent="0.2">
      <c r="A42" s="944"/>
      <c r="B42" s="793" t="str">
        <f t="shared" si="11"/>
        <v>Dietas Irco</v>
      </c>
      <c r="D42" s="798"/>
      <c r="F42" s="797">
        <f>+Datos_Generales!R19</f>
        <v>0</v>
      </c>
      <c r="H42" s="793"/>
      <c r="J42" s="799">
        <f t="shared" si="9"/>
        <v>0</v>
      </c>
      <c r="K42" s="799">
        <f t="shared" si="9"/>
        <v>0</v>
      </c>
      <c r="L42" s="799">
        <f t="shared" si="9"/>
        <v>0</v>
      </c>
      <c r="M42" s="799">
        <f t="shared" si="9"/>
        <v>0</v>
      </c>
      <c r="N42" s="799">
        <f t="shared" si="9"/>
        <v>0</v>
      </c>
      <c r="O42" s="799">
        <f t="shared" si="9"/>
        <v>0</v>
      </c>
      <c r="P42" s="799">
        <f t="shared" si="9"/>
        <v>0</v>
      </c>
      <c r="Q42" s="799">
        <f t="shared" si="9"/>
        <v>0</v>
      </c>
      <c r="R42" s="799">
        <f t="shared" si="9"/>
        <v>0</v>
      </c>
      <c r="S42" s="799">
        <f t="shared" si="9"/>
        <v>0</v>
      </c>
      <c r="T42" s="799">
        <f t="shared" si="9"/>
        <v>0</v>
      </c>
      <c r="U42" s="799">
        <f t="shared" si="9"/>
        <v>0</v>
      </c>
      <c r="V42" s="139">
        <f t="shared" si="10"/>
        <v>0</v>
      </c>
    </row>
    <row r="43" spans="1:22" x14ac:dyDescent="0.2">
      <c r="B43" s="781" t="s">
        <v>190</v>
      </c>
      <c r="C43" s="135"/>
      <c r="D43" s="782" t="s">
        <v>179</v>
      </c>
      <c r="E43" s="135"/>
      <c r="F43" s="782" t="s">
        <v>188</v>
      </c>
      <c r="G43" s="135"/>
      <c r="H43" s="800"/>
      <c r="I43" s="135"/>
      <c r="J43" s="801"/>
      <c r="K43" s="801"/>
      <c r="L43" s="801"/>
      <c r="M43" s="801"/>
      <c r="N43" s="801"/>
      <c r="O43" s="801"/>
      <c r="P43" s="801"/>
      <c r="Q43" s="801"/>
      <c r="R43" s="801"/>
      <c r="S43" s="801"/>
      <c r="T43" s="801"/>
      <c r="U43" s="220"/>
      <c r="V43" s="140"/>
    </row>
    <row r="44" spans="1:22" x14ac:dyDescent="0.2">
      <c r="A44" s="944" t="s">
        <v>190</v>
      </c>
      <c r="B44" s="793" t="str">
        <f t="shared" ref="B44:B51" si="12">+B5</f>
        <v/>
      </c>
      <c r="D44" s="798">
        <f t="shared" ref="D44:D51" si="13">+D5</f>
        <v>0</v>
      </c>
      <c r="F44" s="802">
        <f>+Datos_Generales!G21</f>
        <v>0</v>
      </c>
      <c r="H44" s="802"/>
      <c r="J44" s="803">
        <f>IFERROR(J31*$F44,"")</f>
        <v>0</v>
      </c>
      <c r="K44" s="803">
        <f t="shared" ref="K44:U44" si="14">IFERROR(K31*$F44,"")</f>
        <v>0</v>
      </c>
      <c r="L44" s="803">
        <f t="shared" si="14"/>
        <v>0</v>
      </c>
      <c r="M44" s="803">
        <f t="shared" si="14"/>
        <v>0</v>
      </c>
      <c r="N44" s="803">
        <f t="shared" si="14"/>
        <v>0</v>
      </c>
      <c r="O44" s="803">
        <f t="shared" si="14"/>
        <v>0</v>
      </c>
      <c r="P44" s="803">
        <f t="shared" si="14"/>
        <v>0</v>
      </c>
      <c r="Q44" s="803">
        <f t="shared" si="14"/>
        <v>0</v>
      </c>
      <c r="R44" s="803">
        <f t="shared" si="14"/>
        <v>0</v>
      </c>
      <c r="S44" s="803">
        <f t="shared" si="14"/>
        <v>0</v>
      </c>
      <c r="T44" s="803">
        <f t="shared" si="14"/>
        <v>0</v>
      </c>
      <c r="U44" s="803">
        <f t="shared" si="14"/>
        <v>0</v>
      </c>
      <c r="V44" s="141">
        <f>SUM(J44:U44)</f>
        <v>0</v>
      </c>
    </row>
    <row r="45" spans="1:22" x14ac:dyDescent="0.2">
      <c r="A45" s="944"/>
      <c r="B45" s="793" t="str">
        <f t="shared" si="12"/>
        <v/>
      </c>
      <c r="D45" s="798">
        <f t="shared" si="13"/>
        <v>0</v>
      </c>
      <c r="F45" s="802">
        <f>+Datos_Generales!G22</f>
        <v>0</v>
      </c>
      <c r="H45" s="802"/>
      <c r="J45" s="803">
        <f>IFERROR(J32*$F45,"")</f>
        <v>0</v>
      </c>
      <c r="K45" s="803">
        <f t="shared" ref="K45:U45" si="15">IFERROR(K32*$F45,"")</f>
        <v>0</v>
      </c>
      <c r="L45" s="803">
        <f t="shared" si="15"/>
        <v>0</v>
      </c>
      <c r="M45" s="803">
        <f t="shared" si="15"/>
        <v>0</v>
      </c>
      <c r="N45" s="803">
        <f t="shared" si="15"/>
        <v>0</v>
      </c>
      <c r="O45" s="803">
        <f t="shared" si="15"/>
        <v>0</v>
      </c>
      <c r="P45" s="803">
        <f t="shared" si="15"/>
        <v>0</v>
      </c>
      <c r="Q45" s="803">
        <f t="shared" si="15"/>
        <v>0</v>
      </c>
      <c r="R45" s="803">
        <f t="shared" si="15"/>
        <v>0</v>
      </c>
      <c r="S45" s="803">
        <f t="shared" si="15"/>
        <v>0</v>
      </c>
      <c r="T45" s="803">
        <f t="shared" si="15"/>
        <v>0</v>
      </c>
      <c r="U45" s="803">
        <f t="shared" si="15"/>
        <v>0</v>
      </c>
      <c r="V45" s="141">
        <f t="shared" ref="V45:V55" si="16">SUM(J45:U45)</f>
        <v>0</v>
      </c>
    </row>
    <row r="46" spans="1:22" x14ac:dyDescent="0.2">
      <c r="A46" s="944"/>
      <c r="B46" s="793" t="str">
        <f t="shared" si="12"/>
        <v/>
      </c>
      <c r="D46" s="798">
        <f t="shared" si="13"/>
        <v>0</v>
      </c>
      <c r="F46" s="802">
        <f>+Datos_Generales!G23</f>
        <v>0</v>
      </c>
      <c r="H46" s="802"/>
      <c r="J46" s="803">
        <f>IFERROR(J33*$F46,"")</f>
        <v>0</v>
      </c>
      <c r="K46" s="803">
        <f t="shared" ref="K46:U46" si="17">IFERROR(K33*$F46,"")</f>
        <v>0</v>
      </c>
      <c r="L46" s="803">
        <f t="shared" si="17"/>
        <v>0</v>
      </c>
      <c r="M46" s="803">
        <f t="shared" si="17"/>
        <v>0</v>
      </c>
      <c r="N46" s="803">
        <f t="shared" si="17"/>
        <v>0</v>
      </c>
      <c r="O46" s="803">
        <f t="shared" si="17"/>
        <v>0</v>
      </c>
      <c r="P46" s="803">
        <f t="shared" si="17"/>
        <v>0</v>
      </c>
      <c r="Q46" s="803">
        <f t="shared" si="17"/>
        <v>0</v>
      </c>
      <c r="R46" s="803">
        <f t="shared" si="17"/>
        <v>0</v>
      </c>
      <c r="S46" s="803">
        <f t="shared" si="17"/>
        <v>0</v>
      </c>
      <c r="T46" s="803">
        <f t="shared" si="17"/>
        <v>0</v>
      </c>
      <c r="U46" s="803">
        <f t="shared" si="17"/>
        <v>0</v>
      </c>
      <c r="V46" s="141">
        <f t="shared" si="16"/>
        <v>0</v>
      </c>
    </row>
    <row r="47" spans="1:22" x14ac:dyDescent="0.2">
      <c r="A47" s="944"/>
      <c r="B47" s="793" t="str">
        <f t="shared" si="12"/>
        <v/>
      </c>
      <c r="D47" s="798">
        <f t="shared" si="13"/>
        <v>0</v>
      </c>
      <c r="F47" s="802">
        <f>+Datos_Generales!G24</f>
        <v>0</v>
      </c>
      <c r="H47" s="802"/>
      <c r="J47" s="803">
        <f>IFERROR(J34*$F47,"")</f>
        <v>0</v>
      </c>
      <c r="K47" s="803">
        <f t="shared" ref="K47:U47" si="18">IFERROR(K34*$F47,"")</f>
        <v>0</v>
      </c>
      <c r="L47" s="803">
        <f t="shared" si="18"/>
        <v>0</v>
      </c>
      <c r="M47" s="803">
        <f t="shared" si="18"/>
        <v>0</v>
      </c>
      <c r="N47" s="803">
        <f t="shared" si="18"/>
        <v>0</v>
      </c>
      <c r="O47" s="803">
        <f t="shared" si="18"/>
        <v>0</v>
      </c>
      <c r="P47" s="803">
        <f t="shared" si="18"/>
        <v>0</v>
      </c>
      <c r="Q47" s="803">
        <f t="shared" si="18"/>
        <v>0</v>
      </c>
      <c r="R47" s="803">
        <f t="shared" si="18"/>
        <v>0</v>
      </c>
      <c r="S47" s="803">
        <f t="shared" si="18"/>
        <v>0</v>
      </c>
      <c r="T47" s="803">
        <f t="shared" si="18"/>
        <v>0</v>
      </c>
      <c r="U47" s="803">
        <f t="shared" si="18"/>
        <v>0</v>
      </c>
      <c r="V47" s="141">
        <f t="shared" si="16"/>
        <v>0</v>
      </c>
    </row>
    <row r="48" spans="1:22" x14ac:dyDescent="0.2">
      <c r="A48" s="944"/>
      <c r="B48" s="793" t="str">
        <f t="shared" si="12"/>
        <v/>
      </c>
      <c r="D48" s="798">
        <f t="shared" si="13"/>
        <v>0</v>
      </c>
      <c r="F48" s="802">
        <f>+Datos_Generales!G25</f>
        <v>0</v>
      </c>
      <c r="H48" s="802"/>
      <c r="J48" s="803">
        <f>IFERROR(J35*$F48,"")</f>
        <v>0</v>
      </c>
      <c r="K48" s="803">
        <f t="shared" ref="K48:U48" si="19">IFERROR(K35*$F48,"")</f>
        <v>0</v>
      </c>
      <c r="L48" s="803">
        <f t="shared" si="19"/>
        <v>0</v>
      </c>
      <c r="M48" s="803">
        <f t="shared" si="19"/>
        <v>0</v>
      </c>
      <c r="N48" s="803">
        <f t="shared" si="19"/>
        <v>0</v>
      </c>
      <c r="O48" s="803">
        <f t="shared" si="19"/>
        <v>0</v>
      </c>
      <c r="P48" s="803">
        <f t="shared" si="19"/>
        <v>0</v>
      </c>
      <c r="Q48" s="803">
        <f t="shared" si="19"/>
        <v>0</v>
      </c>
      <c r="R48" s="803">
        <f t="shared" si="19"/>
        <v>0</v>
      </c>
      <c r="S48" s="803">
        <f t="shared" si="19"/>
        <v>0</v>
      </c>
      <c r="T48" s="803">
        <f t="shared" si="19"/>
        <v>0</v>
      </c>
      <c r="U48" s="803">
        <f t="shared" si="19"/>
        <v>0</v>
      </c>
      <c r="V48" s="141">
        <f t="shared" si="16"/>
        <v>0</v>
      </c>
    </row>
    <row r="49" spans="1:22" x14ac:dyDescent="0.2">
      <c r="A49" s="944"/>
      <c r="B49" s="793" t="str">
        <f t="shared" si="12"/>
        <v/>
      </c>
      <c r="D49" s="798">
        <f t="shared" si="13"/>
        <v>0</v>
      </c>
      <c r="F49" s="802">
        <f>+Datos_Generales!G26</f>
        <v>0</v>
      </c>
      <c r="H49" s="802"/>
      <c r="J49" s="803">
        <f t="shared" ref="J49:U55" si="20">IFERROR(J36*$F49,"")</f>
        <v>0</v>
      </c>
      <c r="K49" s="803">
        <f t="shared" si="20"/>
        <v>0</v>
      </c>
      <c r="L49" s="803">
        <f t="shared" si="20"/>
        <v>0</v>
      </c>
      <c r="M49" s="803">
        <f t="shared" si="20"/>
        <v>0</v>
      </c>
      <c r="N49" s="803">
        <f t="shared" si="20"/>
        <v>0</v>
      </c>
      <c r="O49" s="803">
        <f t="shared" si="20"/>
        <v>0</v>
      </c>
      <c r="P49" s="803">
        <f t="shared" si="20"/>
        <v>0</v>
      </c>
      <c r="Q49" s="803">
        <f t="shared" si="20"/>
        <v>0</v>
      </c>
      <c r="R49" s="803">
        <f t="shared" si="20"/>
        <v>0</v>
      </c>
      <c r="S49" s="803">
        <f t="shared" si="20"/>
        <v>0</v>
      </c>
      <c r="T49" s="803">
        <f t="shared" si="20"/>
        <v>0</v>
      </c>
      <c r="U49" s="803">
        <f t="shared" si="20"/>
        <v>0</v>
      </c>
      <c r="V49" s="141">
        <f t="shared" si="16"/>
        <v>0</v>
      </c>
    </row>
    <row r="50" spans="1:22" x14ac:dyDescent="0.2">
      <c r="A50" s="944"/>
      <c r="B50" s="793" t="str">
        <f t="shared" si="12"/>
        <v/>
      </c>
      <c r="D50" s="798">
        <f t="shared" si="13"/>
        <v>0</v>
      </c>
      <c r="F50" s="802">
        <f>+Datos_Generales!G27</f>
        <v>0</v>
      </c>
      <c r="H50" s="802"/>
      <c r="J50" s="803">
        <f t="shared" si="20"/>
        <v>0</v>
      </c>
      <c r="K50" s="803">
        <f t="shared" si="20"/>
        <v>0</v>
      </c>
      <c r="L50" s="803">
        <f t="shared" si="20"/>
        <v>0</v>
      </c>
      <c r="M50" s="803">
        <f t="shared" si="20"/>
        <v>0</v>
      </c>
      <c r="N50" s="803">
        <f t="shared" si="20"/>
        <v>0</v>
      </c>
      <c r="O50" s="803">
        <f t="shared" si="20"/>
        <v>0</v>
      </c>
      <c r="P50" s="803">
        <f t="shared" si="20"/>
        <v>0</v>
      </c>
      <c r="Q50" s="803">
        <f t="shared" si="20"/>
        <v>0</v>
      </c>
      <c r="R50" s="803">
        <f t="shared" si="20"/>
        <v>0</v>
      </c>
      <c r="S50" s="803">
        <f t="shared" si="20"/>
        <v>0</v>
      </c>
      <c r="T50" s="803">
        <f t="shared" si="20"/>
        <v>0</v>
      </c>
      <c r="U50" s="803">
        <f t="shared" si="20"/>
        <v>0</v>
      </c>
      <c r="V50" s="141">
        <f t="shared" si="16"/>
        <v>0</v>
      </c>
    </row>
    <row r="51" spans="1:22" x14ac:dyDescent="0.2">
      <c r="A51" s="944"/>
      <c r="B51" s="793" t="str">
        <f t="shared" si="12"/>
        <v/>
      </c>
      <c r="D51" s="798">
        <f t="shared" si="13"/>
        <v>0</v>
      </c>
      <c r="F51" s="802">
        <f>+Datos_Generales!G28</f>
        <v>0</v>
      </c>
      <c r="H51" s="802"/>
      <c r="J51" s="803">
        <f t="shared" si="20"/>
        <v>0</v>
      </c>
      <c r="K51" s="803">
        <f t="shared" si="20"/>
        <v>0</v>
      </c>
      <c r="L51" s="803">
        <f t="shared" si="20"/>
        <v>0</v>
      </c>
      <c r="M51" s="803">
        <f t="shared" si="20"/>
        <v>0</v>
      </c>
      <c r="N51" s="803">
        <f t="shared" si="20"/>
        <v>0</v>
      </c>
      <c r="O51" s="803">
        <f t="shared" si="20"/>
        <v>0</v>
      </c>
      <c r="P51" s="803">
        <f t="shared" si="20"/>
        <v>0</v>
      </c>
      <c r="Q51" s="803">
        <f t="shared" si="20"/>
        <v>0</v>
      </c>
      <c r="R51" s="803">
        <f t="shared" si="20"/>
        <v>0</v>
      </c>
      <c r="S51" s="803">
        <f t="shared" si="20"/>
        <v>0</v>
      </c>
      <c r="T51" s="803">
        <f t="shared" si="20"/>
        <v>0</v>
      </c>
      <c r="U51" s="803">
        <f t="shared" si="20"/>
        <v>0</v>
      </c>
      <c r="V51" s="141">
        <f t="shared" si="16"/>
        <v>0</v>
      </c>
    </row>
    <row r="52" spans="1:22" x14ac:dyDescent="0.2">
      <c r="A52" s="944"/>
      <c r="B52" s="793" t="str">
        <f t="shared" ref="B52:B55" si="21">+B13</f>
        <v/>
      </c>
      <c r="D52" s="798"/>
      <c r="F52" s="802">
        <f>+Datos_Generales!G29</f>
        <v>0</v>
      </c>
      <c r="H52" s="802"/>
      <c r="J52" s="803">
        <f t="shared" si="20"/>
        <v>0</v>
      </c>
      <c r="K52" s="803">
        <f t="shared" si="20"/>
        <v>0</v>
      </c>
      <c r="L52" s="803">
        <f t="shared" si="20"/>
        <v>0</v>
      </c>
      <c r="M52" s="803">
        <f t="shared" si="20"/>
        <v>0</v>
      </c>
      <c r="N52" s="803">
        <f t="shared" si="20"/>
        <v>0</v>
      </c>
      <c r="O52" s="803">
        <f t="shared" si="20"/>
        <v>0</v>
      </c>
      <c r="P52" s="803">
        <f t="shared" si="20"/>
        <v>0</v>
      </c>
      <c r="Q52" s="803">
        <f t="shared" si="20"/>
        <v>0</v>
      </c>
      <c r="R52" s="803">
        <f t="shared" si="20"/>
        <v>0</v>
      </c>
      <c r="S52" s="803">
        <f t="shared" si="20"/>
        <v>0</v>
      </c>
      <c r="T52" s="803">
        <f t="shared" si="20"/>
        <v>0</v>
      </c>
      <c r="U52" s="803">
        <f t="shared" si="20"/>
        <v>0</v>
      </c>
      <c r="V52" s="141"/>
    </row>
    <row r="53" spans="1:22" x14ac:dyDescent="0.2">
      <c r="A53" s="944"/>
      <c r="B53" s="793">
        <f t="shared" si="21"/>
        <v>0</v>
      </c>
      <c r="D53" s="798"/>
      <c r="F53" s="802">
        <f>+Datos_Generales!G30</f>
        <v>0</v>
      </c>
      <c r="H53" s="802"/>
      <c r="J53" s="803">
        <f t="shared" si="20"/>
        <v>0</v>
      </c>
      <c r="K53" s="803">
        <f t="shared" si="20"/>
        <v>0</v>
      </c>
      <c r="L53" s="803">
        <f t="shared" si="20"/>
        <v>0</v>
      </c>
      <c r="M53" s="803">
        <f t="shared" si="20"/>
        <v>0</v>
      </c>
      <c r="N53" s="803">
        <f t="shared" si="20"/>
        <v>0</v>
      </c>
      <c r="O53" s="803">
        <f t="shared" si="20"/>
        <v>0</v>
      </c>
      <c r="P53" s="803">
        <f t="shared" si="20"/>
        <v>0</v>
      </c>
      <c r="Q53" s="803">
        <f t="shared" si="20"/>
        <v>0</v>
      </c>
      <c r="R53" s="803">
        <f t="shared" si="20"/>
        <v>0</v>
      </c>
      <c r="S53" s="803">
        <f t="shared" si="20"/>
        <v>0</v>
      </c>
      <c r="T53" s="803">
        <f t="shared" si="20"/>
        <v>0</v>
      </c>
      <c r="U53" s="803">
        <f t="shared" si="20"/>
        <v>0</v>
      </c>
      <c r="V53" s="141"/>
    </row>
    <row r="54" spans="1:22" x14ac:dyDescent="0.2">
      <c r="A54" s="944"/>
      <c r="B54" s="793" t="str">
        <f t="shared" si="21"/>
        <v>Becas</v>
      </c>
      <c r="D54" s="798"/>
      <c r="F54" s="802">
        <f>+Datos_Generales!G31</f>
        <v>0</v>
      </c>
      <c r="H54" s="802"/>
      <c r="J54" s="803">
        <f t="shared" si="20"/>
        <v>0</v>
      </c>
      <c r="K54" s="803">
        <f t="shared" si="20"/>
        <v>0</v>
      </c>
      <c r="L54" s="803">
        <f t="shared" si="20"/>
        <v>0</v>
      </c>
      <c r="M54" s="803">
        <f t="shared" si="20"/>
        <v>0</v>
      </c>
      <c r="N54" s="803">
        <f t="shared" si="20"/>
        <v>0</v>
      </c>
      <c r="O54" s="803">
        <f t="shared" si="20"/>
        <v>0</v>
      </c>
      <c r="P54" s="803">
        <f t="shared" si="20"/>
        <v>0</v>
      </c>
      <c r="Q54" s="803">
        <f t="shared" si="20"/>
        <v>0</v>
      </c>
      <c r="R54" s="803">
        <f t="shared" si="20"/>
        <v>0</v>
      </c>
      <c r="S54" s="803">
        <f t="shared" si="20"/>
        <v>0</v>
      </c>
      <c r="T54" s="803">
        <f t="shared" si="20"/>
        <v>0</v>
      </c>
      <c r="U54" s="803">
        <f t="shared" si="20"/>
        <v>0</v>
      </c>
      <c r="V54" s="141">
        <f t="shared" si="16"/>
        <v>0</v>
      </c>
    </row>
    <row r="55" spans="1:22" x14ac:dyDescent="0.2">
      <c r="A55" s="944"/>
      <c r="B55" s="793" t="str">
        <f t="shared" si="21"/>
        <v>Dietas Irco</v>
      </c>
      <c r="D55" s="798"/>
      <c r="F55" s="802">
        <f>+Datos_Generales!G32</f>
        <v>0</v>
      </c>
      <c r="H55" s="802"/>
      <c r="J55" s="803">
        <f t="shared" si="20"/>
        <v>0</v>
      </c>
      <c r="K55" s="803">
        <f t="shared" si="20"/>
        <v>0</v>
      </c>
      <c r="L55" s="803">
        <f t="shared" si="20"/>
        <v>0</v>
      </c>
      <c r="M55" s="803">
        <f t="shared" si="20"/>
        <v>0</v>
      </c>
      <c r="N55" s="803">
        <f t="shared" si="20"/>
        <v>0</v>
      </c>
      <c r="O55" s="803">
        <f t="shared" si="20"/>
        <v>0</v>
      </c>
      <c r="P55" s="803">
        <f t="shared" si="20"/>
        <v>0</v>
      </c>
      <c r="Q55" s="803">
        <f t="shared" si="20"/>
        <v>0</v>
      </c>
      <c r="R55" s="803">
        <f t="shared" si="20"/>
        <v>0</v>
      </c>
      <c r="S55" s="803">
        <f t="shared" si="20"/>
        <v>0</v>
      </c>
      <c r="T55" s="803">
        <f t="shared" si="20"/>
        <v>0</v>
      </c>
      <c r="U55" s="803">
        <f t="shared" si="20"/>
        <v>0</v>
      </c>
      <c r="V55" s="141">
        <f t="shared" si="16"/>
        <v>0</v>
      </c>
    </row>
    <row r="56" spans="1:22" x14ac:dyDescent="0.2">
      <c r="B56" s="781" t="s">
        <v>191</v>
      </c>
      <c r="C56" s="135"/>
      <c r="D56" s="782" t="s">
        <v>179</v>
      </c>
      <c r="E56" s="135"/>
      <c r="F56" s="782" t="s">
        <v>188</v>
      </c>
      <c r="G56" s="135"/>
      <c r="H56" s="800"/>
      <c r="I56" s="135"/>
      <c r="J56" s="801"/>
      <c r="K56" s="801"/>
      <c r="L56" s="801"/>
      <c r="M56" s="801"/>
      <c r="N56" s="801"/>
      <c r="O56" s="801"/>
      <c r="P56" s="801"/>
      <c r="Q56" s="801"/>
      <c r="R56" s="801"/>
      <c r="S56" s="801"/>
      <c r="T56" s="801"/>
      <c r="U56" s="220"/>
      <c r="V56" s="140"/>
    </row>
    <row r="57" spans="1:22" ht="12" customHeight="1" x14ac:dyDescent="0.2">
      <c r="A57" s="944" t="s">
        <v>191</v>
      </c>
      <c r="B57" s="793" t="str">
        <f t="shared" ref="B57:B64" si="22">+B5</f>
        <v/>
      </c>
      <c r="D57" s="798">
        <f t="shared" ref="D57:D64" si="23">+D5</f>
        <v>0</v>
      </c>
      <c r="F57" s="802">
        <f>+Datos_Generales!J21</f>
        <v>0</v>
      </c>
      <c r="H57" s="793">
        <f>+H5</f>
        <v>0</v>
      </c>
      <c r="J57" s="803">
        <f t="shared" ref="J57:J64" si="24">IFERROR($F57*J31,"")</f>
        <v>0</v>
      </c>
      <c r="K57" s="803">
        <f t="shared" ref="K57:U57" si="25">IFERROR($F57*K31,"")</f>
        <v>0</v>
      </c>
      <c r="L57" s="803">
        <f t="shared" si="25"/>
        <v>0</v>
      </c>
      <c r="M57" s="803">
        <f t="shared" si="25"/>
        <v>0</v>
      </c>
      <c r="N57" s="803">
        <f t="shared" si="25"/>
        <v>0</v>
      </c>
      <c r="O57" s="803">
        <f t="shared" si="25"/>
        <v>0</v>
      </c>
      <c r="P57" s="803">
        <f t="shared" si="25"/>
        <v>0</v>
      </c>
      <c r="Q57" s="803">
        <f t="shared" si="25"/>
        <v>0</v>
      </c>
      <c r="R57" s="803">
        <f t="shared" si="25"/>
        <v>0</v>
      </c>
      <c r="S57" s="803">
        <f t="shared" si="25"/>
        <v>0</v>
      </c>
      <c r="T57" s="803">
        <f t="shared" si="25"/>
        <v>0</v>
      </c>
      <c r="U57" s="803">
        <f t="shared" si="25"/>
        <v>0</v>
      </c>
      <c r="V57" s="141">
        <f>SUM(J57:U57)</f>
        <v>0</v>
      </c>
    </row>
    <row r="58" spans="1:22" ht="12" x14ac:dyDescent="0.2">
      <c r="A58" s="944"/>
      <c r="B58" s="793" t="str">
        <f t="shared" si="22"/>
        <v/>
      </c>
      <c r="D58" s="798">
        <f t="shared" si="23"/>
        <v>0</v>
      </c>
      <c r="F58" s="802">
        <f>+Datos_Generales!J22</f>
        <v>0</v>
      </c>
      <c r="H58" s="793">
        <f t="shared" ref="H58" si="26">+H6</f>
        <v>0</v>
      </c>
      <c r="I58" s="310" t="s">
        <v>186</v>
      </c>
      <c r="J58" s="803">
        <f t="shared" si="24"/>
        <v>0</v>
      </c>
      <c r="K58" s="803">
        <f t="shared" ref="K58:U58" si="27">IFERROR($F58*K32,"")</f>
        <v>0</v>
      </c>
      <c r="L58" s="803">
        <f t="shared" si="27"/>
        <v>0</v>
      </c>
      <c r="M58" s="803">
        <f t="shared" si="27"/>
        <v>0</v>
      </c>
      <c r="N58" s="803">
        <f t="shared" si="27"/>
        <v>0</v>
      </c>
      <c r="O58" s="803">
        <f t="shared" si="27"/>
        <v>0</v>
      </c>
      <c r="P58" s="803">
        <f t="shared" si="27"/>
        <v>0</v>
      </c>
      <c r="Q58" s="803">
        <f t="shared" si="27"/>
        <v>0</v>
      </c>
      <c r="R58" s="803">
        <f t="shared" si="27"/>
        <v>0</v>
      </c>
      <c r="S58" s="803">
        <f t="shared" si="27"/>
        <v>0</v>
      </c>
      <c r="T58" s="803">
        <f t="shared" si="27"/>
        <v>0</v>
      </c>
      <c r="U58" s="803">
        <f t="shared" si="27"/>
        <v>0</v>
      </c>
      <c r="V58" s="141">
        <f t="shared" ref="V58:V68" si="28">SUM(J58:U58)</f>
        <v>0</v>
      </c>
    </row>
    <row r="59" spans="1:22" x14ac:dyDescent="0.2">
      <c r="A59" s="944"/>
      <c r="B59" s="793" t="str">
        <f t="shared" si="22"/>
        <v/>
      </c>
      <c r="D59" s="798">
        <f t="shared" si="23"/>
        <v>0</v>
      </c>
      <c r="F59" s="802">
        <f>+Datos_Generales!J23</f>
        <v>0</v>
      </c>
      <c r="H59" s="793">
        <f t="shared" ref="H59" si="29">+H7</f>
        <v>0</v>
      </c>
      <c r="I59" s="945">
        <f ca="1">+Presupuesto_Final2!$G$37</f>
        <v>0</v>
      </c>
      <c r="J59" s="803">
        <f t="shared" si="24"/>
        <v>0</v>
      </c>
      <c r="K59" s="803">
        <f t="shared" ref="K59:U59" si="30">IFERROR($F59*K33,"")</f>
        <v>0</v>
      </c>
      <c r="L59" s="803">
        <f t="shared" si="30"/>
        <v>0</v>
      </c>
      <c r="M59" s="803">
        <f t="shared" si="30"/>
        <v>0</v>
      </c>
      <c r="N59" s="803">
        <f t="shared" si="30"/>
        <v>0</v>
      </c>
      <c r="O59" s="803">
        <f t="shared" si="30"/>
        <v>0</v>
      </c>
      <c r="P59" s="803">
        <f t="shared" si="30"/>
        <v>0</v>
      </c>
      <c r="Q59" s="803">
        <f t="shared" si="30"/>
        <v>0</v>
      </c>
      <c r="R59" s="803">
        <f t="shared" si="30"/>
        <v>0</v>
      </c>
      <c r="S59" s="803">
        <f t="shared" si="30"/>
        <v>0</v>
      </c>
      <c r="T59" s="803">
        <f t="shared" si="30"/>
        <v>0</v>
      </c>
      <c r="U59" s="803">
        <f t="shared" si="30"/>
        <v>0</v>
      </c>
      <c r="V59" s="141">
        <f t="shared" si="28"/>
        <v>0</v>
      </c>
    </row>
    <row r="60" spans="1:22" x14ac:dyDescent="0.2">
      <c r="A60" s="944"/>
      <c r="B60" s="793" t="str">
        <f t="shared" si="22"/>
        <v/>
      </c>
      <c r="D60" s="798">
        <f t="shared" si="23"/>
        <v>0</v>
      </c>
      <c r="F60" s="802">
        <f>+Datos_Generales!J24</f>
        <v>0</v>
      </c>
      <c r="H60" s="793">
        <f t="shared" ref="H60" si="31">+H8</f>
        <v>0</v>
      </c>
      <c r="I60" s="946"/>
      <c r="J60" s="803">
        <f t="shared" si="24"/>
        <v>0</v>
      </c>
      <c r="K60" s="803">
        <f t="shared" ref="K60:U60" si="32">IFERROR($F60*K34,"")</f>
        <v>0</v>
      </c>
      <c r="L60" s="803">
        <f t="shared" si="32"/>
        <v>0</v>
      </c>
      <c r="M60" s="803">
        <f t="shared" si="32"/>
        <v>0</v>
      </c>
      <c r="N60" s="803">
        <f t="shared" si="32"/>
        <v>0</v>
      </c>
      <c r="O60" s="803">
        <f t="shared" si="32"/>
        <v>0</v>
      </c>
      <c r="P60" s="803">
        <f t="shared" si="32"/>
        <v>0</v>
      </c>
      <c r="Q60" s="803">
        <f t="shared" si="32"/>
        <v>0</v>
      </c>
      <c r="R60" s="803">
        <f t="shared" si="32"/>
        <v>0</v>
      </c>
      <c r="S60" s="803">
        <f t="shared" si="32"/>
        <v>0</v>
      </c>
      <c r="T60" s="803">
        <f t="shared" si="32"/>
        <v>0</v>
      </c>
      <c r="U60" s="803">
        <f t="shared" si="32"/>
        <v>0</v>
      </c>
      <c r="V60" s="141">
        <f t="shared" si="28"/>
        <v>0</v>
      </c>
    </row>
    <row r="61" spans="1:22" x14ac:dyDescent="0.2">
      <c r="A61" s="944"/>
      <c r="B61" s="793" t="str">
        <f t="shared" si="22"/>
        <v/>
      </c>
      <c r="D61" s="798">
        <f t="shared" si="23"/>
        <v>0</v>
      </c>
      <c r="F61" s="802">
        <f>+Datos_Generales!J25</f>
        <v>0</v>
      </c>
      <c r="H61" s="793">
        <f t="shared" ref="H61" si="33">+H9</f>
        <v>0</v>
      </c>
      <c r="I61" s="946"/>
      <c r="J61" s="803">
        <f t="shared" si="24"/>
        <v>0</v>
      </c>
      <c r="K61" s="803">
        <f t="shared" ref="K61:U61" si="34">IFERROR($F61*K35,"")</f>
        <v>0</v>
      </c>
      <c r="L61" s="803">
        <f t="shared" si="34"/>
        <v>0</v>
      </c>
      <c r="M61" s="803">
        <f t="shared" si="34"/>
        <v>0</v>
      </c>
      <c r="N61" s="803">
        <f t="shared" si="34"/>
        <v>0</v>
      </c>
      <c r="O61" s="803">
        <f t="shared" si="34"/>
        <v>0</v>
      </c>
      <c r="P61" s="803">
        <f t="shared" si="34"/>
        <v>0</v>
      </c>
      <c r="Q61" s="803">
        <f t="shared" si="34"/>
        <v>0</v>
      </c>
      <c r="R61" s="803">
        <f t="shared" si="34"/>
        <v>0</v>
      </c>
      <c r="S61" s="803">
        <f t="shared" si="34"/>
        <v>0</v>
      </c>
      <c r="T61" s="803">
        <f t="shared" si="34"/>
        <v>0</v>
      </c>
      <c r="U61" s="803">
        <f t="shared" si="34"/>
        <v>0</v>
      </c>
      <c r="V61" s="141">
        <f t="shared" si="28"/>
        <v>0</v>
      </c>
    </row>
    <row r="62" spans="1:22" x14ac:dyDescent="0.2">
      <c r="A62" s="944"/>
      <c r="B62" s="793" t="str">
        <f t="shared" si="22"/>
        <v/>
      </c>
      <c r="D62" s="798">
        <f t="shared" si="23"/>
        <v>0</v>
      </c>
      <c r="F62" s="802">
        <f>+Datos_Generales!J26</f>
        <v>0</v>
      </c>
      <c r="H62" s="793">
        <f t="shared" ref="H62" si="35">+H10</f>
        <v>0</v>
      </c>
      <c r="I62" s="946"/>
      <c r="J62" s="803">
        <f t="shared" si="24"/>
        <v>0</v>
      </c>
      <c r="K62" s="803">
        <f t="shared" ref="K62:U62" si="36">IFERROR($F62*K36,"")</f>
        <v>0</v>
      </c>
      <c r="L62" s="803">
        <f t="shared" si="36"/>
        <v>0</v>
      </c>
      <c r="M62" s="803">
        <f t="shared" si="36"/>
        <v>0</v>
      </c>
      <c r="N62" s="803">
        <f t="shared" si="36"/>
        <v>0</v>
      </c>
      <c r="O62" s="803">
        <f t="shared" si="36"/>
        <v>0</v>
      </c>
      <c r="P62" s="803">
        <f t="shared" si="36"/>
        <v>0</v>
      </c>
      <c r="Q62" s="803">
        <f t="shared" si="36"/>
        <v>0</v>
      </c>
      <c r="R62" s="803">
        <f t="shared" si="36"/>
        <v>0</v>
      </c>
      <c r="S62" s="803">
        <f t="shared" si="36"/>
        <v>0</v>
      </c>
      <c r="T62" s="803">
        <f t="shared" si="36"/>
        <v>0</v>
      </c>
      <c r="U62" s="803">
        <f t="shared" si="36"/>
        <v>0</v>
      </c>
      <c r="V62" s="141">
        <f t="shared" si="28"/>
        <v>0</v>
      </c>
    </row>
    <row r="63" spans="1:22" x14ac:dyDescent="0.2">
      <c r="A63" s="944"/>
      <c r="B63" s="793" t="str">
        <f t="shared" si="22"/>
        <v/>
      </c>
      <c r="D63" s="798">
        <f t="shared" si="23"/>
        <v>0</v>
      </c>
      <c r="F63" s="802">
        <f>+Datos_Generales!J27</f>
        <v>0</v>
      </c>
      <c r="H63" s="793">
        <f t="shared" ref="H63" si="37">+H11</f>
        <v>0</v>
      </c>
      <c r="I63" s="946"/>
      <c r="J63" s="803">
        <f t="shared" si="24"/>
        <v>0</v>
      </c>
      <c r="K63" s="803">
        <f t="shared" ref="K63:U63" si="38">IFERROR($F63*K37,"")</f>
        <v>0</v>
      </c>
      <c r="L63" s="803">
        <f t="shared" si="38"/>
        <v>0</v>
      </c>
      <c r="M63" s="803">
        <f t="shared" si="38"/>
        <v>0</v>
      </c>
      <c r="N63" s="803">
        <f t="shared" si="38"/>
        <v>0</v>
      </c>
      <c r="O63" s="803">
        <f t="shared" si="38"/>
        <v>0</v>
      </c>
      <c r="P63" s="803">
        <f t="shared" si="38"/>
        <v>0</v>
      </c>
      <c r="Q63" s="803">
        <f t="shared" si="38"/>
        <v>0</v>
      </c>
      <c r="R63" s="803">
        <f t="shared" si="38"/>
        <v>0</v>
      </c>
      <c r="S63" s="803">
        <f t="shared" si="38"/>
        <v>0</v>
      </c>
      <c r="T63" s="803">
        <f t="shared" si="38"/>
        <v>0</v>
      </c>
      <c r="U63" s="803">
        <f t="shared" si="38"/>
        <v>0</v>
      </c>
      <c r="V63" s="141">
        <f t="shared" si="28"/>
        <v>0</v>
      </c>
    </row>
    <row r="64" spans="1:22" x14ac:dyDescent="0.2">
      <c r="A64" s="944"/>
      <c r="B64" s="793" t="str">
        <f t="shared" si="22"/>
        <v/>
      </c>
      <c r="D64" s="798">
        <f t="shared" si="23"/>
        <v>0</v>
      </c>
      <c r="F64" s="802">
        <f>+Datos_Generales!J28</f>
        <v>0</v>
      </c>
      <c r="H64" s="793">
        <f t="shared" ref="H64" si="39">+H12</f>
        <v>0</v>
      </c>
      <c r="I64" s="947"/>
      <c r="J64" s="803">
        <f t="shared" si="24"/>
        <v>0</v>
      </c>
      <c r="K64" s="803">
        <f t="shared" ref="K64:U64" si="40">IFERROR($F64*K38,"")</f>
        <v>0</v>
      </c>
      <c r="L64" s="803">
        <f t="shared" si="40"/>
        <v>0</v>
      </c>
      <c r="M64" s="803">
        <f t="shared" si="40"/>
        <v>0</v>
      </c>
      <c r="N64" s="803">
        <f t="shared" si="40"/>
        <v>0</v>
      </c>
      <c r="O64" s="803">
        <f t="shared" si="40"/>
        <v>0</v>
      </c>
      <c r="P64" s="803">
        <f t="shared" si="40"/>
        <v>0</v>
      </c>
      <c r="Q64" s="803">
        <f t="shared" si="40"/>
        <v>0</v>
      </c>
      <c r="R64" s="803">
        <f t="shared" si="40"/>
        <v>0</v>
      </c>
      <c r="S64" s="803">
        <f t="shared" si="40"/>
        <v>0</v>
      </c>
      <c r="T64" s="803">
        <f t="shared" si="40"/>
        <v>0</v>
      </c>
      <c r="U64" s="803">
        <f t="shared" si="40"/>
        <v>0</v>
      </c>
      <c r="V64" s="141">
        <f t="shared" si="28"/>
        <v>0</v>
      </c>
    </row>
    <row r="65" spans="1:22" x14ac:dyDescent="0.2">
      <c r="A65" s="944"/>
      <c r="B65" s="793" t="str">
        <f t="shared" ref="B65:B68" si="41">+B13</f>
        <v/>
      </c>
      <c r="D65" s="798">
        <f t="shared" ref="D65:D66" si="42">+D13</f>
        <v>0</v>
      </c>
      <c r="F65" s="802">
        <f>+Datos_Generales!J29</f>
        <v>0</v>
      </c>
      <c r="H65" s="793"/>
      <c r="J65" s="803"/>
      <c r="K65" s="803"/>
      <c r="L65" s="803"/>
      <c r="M65" s="803"/>
      <c r="N65" s="803"/>
      <c r="O65" s="803"/>
      <c r="P65" s="803"/>
      <c r="Q65" s="803"/>
      <c r="R65" s="803"/>
      <c r="S65" s="803"/>
      <c r="T65" s="803"/>
      <c r="U65" s="803"/>
      <c r="V65" s="141"/>
    </row>
    <row r="66" spans="1:22" x14ac:dyDescent="0.2">
      <c r="A66" s="944"/>
      <c r="B66" s="793">
        <f t="shared" si="41"/>
        <v>0</v>
      </c>
      <c r="D66" s="798">
        <f t="shared" si="42"/>
        <v>0</v>
      </c>
      <c r="F66" s="802">
        <f>+Datos_Generales!J30</f>
        <v>0</v>
      </c>
      <c r="H66" s="793"/>
      <c r="J66" s="803"/>
      <c r="K66" s="803"/>
      <c r="L66" s="803"/>
      <c r="M66" s="803"/>
      <c r="N66" s="803"/>
      <c r="O66" s="803"/>
      <c r="P66" s="803"/>
      <c r="Q66" s="803"/>
      <c r="R66" s="803"/>
      <c r="S66" s="803"/>
      <c r="T66" s="803"/>
      <c r="U66" s="803"/>
      <c r="V66" s="141"/>
    </row>
    <row r="67" spans="1:22" x14ac:dyDescent="0.2">
      <c r="A67" s="944"/>
      <c r="B67" s="793" t="str">
        <f t="shared" si="41"/>
        <v>Becas</v>
      </c>
      <c r="D67" s="798"/>
      <c r="F67" s="802">
        <f>+Datos_Generales!J31</f>
        <v>0</v>
      </c>
      <c r="H67" s="793"/>
      <c r="J67" s="803">
        <f t="shared" ref="J67:U67" si="43">IFERROR($F67*J39,"")</f>
        <v>0</v>
      </c>
      <c r="K67" s="803">
        <f t="shared" si="43"/>
        <v>0</v>
      </c>
      <c r="L67" s="803">
        <f t="shared" si="43"/>
        <v>0</v>
      </c>
      <c r="M67" s="803">
        <f t="shared" si="43"/>
        <v>0</v>
      </c>
      <c r="N67" s="803">
        <f t="shared" si="43"/>
        <v>0</v>
      </c>
      <c r="O67" s="803">
        <f t="shared" si="43"/>
        <v>0</v>
      </c>
      <c r="P67" s="803">
        <f t="shared" si="43"/>
        <v>0</v>
      </c>
      <c r="Q67" s="803">
        <f t="shared" si="43"/>
        <v>0</v>
      </c>
      <c r="R67" s="803">
        <f t="shared" si="43"/>
        <v>0</v>
      </c>
      <c r="S67" s="803">
        <f t="shared" si="43"/>
        <v>0</v>
      </c>
      <c r="T67" s="803">
        <f t="shared" si="43"/>
        <v>0</v>
      </c>
      <c r="U67" s="803">
        <f t="shared" si="43"/>
        <v>0</v>
      </c>
      <c r="V67" s="141">
        <f t="shared" si="28"/>
        <v>0</v>
      </c>
    </row>
    <row r="68" spans="1:22" ht="12" thickBot="1" x14ac:dyDescent="0.25">
      <c r="A68" s="944"/>
      <c r="B68" s="793" t="str">
        <f t="shared" si="41"/>
        <v>Dietas Irco</v>
      </c>
      <c r="D68" s="798"/>
      <c r="F68" s="802">
        <f>+Datos_Generales!J32</f>
        <v>0</v>
      </c>
      <c r="H68" s="793"/>
      <c r="J68" s="803">
        <f t="shared" ref="J68:U68" si="44">IFERROR($F68*J42,"")</f>
        <v>0</v>
      </c>
      <c r="K68" s="803">
        <f t="shared" si="44"/>
        <v>0</v>
      </c>
      <c r="L68" s="803">
        <f t="shared" si="44"/>
        <v>0</v>
      </c>
      <c r="M68" s="803">
        <f t="shared" si="44"/>
        <v>0</v>
      </c>
      <c r="N68" s="803">
        <f t="shared" si="44"/>
        <v>0</v>
      </c>
      <c r="O68" s="803">
        <f t="shared" si="44"/>
        <v>0</v>
      </c>
      <c r="P68" s="803">
        <f t="shared" si="44"/>
        <v>0</v>
      </c>
      <c r="Q68" s="803">
        <f t="shared" si="44"/>
        <v>0</v>
      </c>
      <c r="R68" s="803">
        <f t="shared" si="44"/>
        <v>0</v>
      </c>
      <c r="S68" s="803">
        <f t="shared" si="44"/>
        <v>0</v>
      </c>
      <c r="T68" s="803">
        <f t="shared" si="44"/>
        <v>0</v>
      </c>
      <c r="U68" s="803">
        <f t="shared" si="44"/>
        <v>0</v>
      </c>
      <c r="V68" s="201">
        <f t="shared" si="28"/>
        <v>0</v>
      </c>
    </row>
    <row r="69" spans="1:22" s="117" customFormat="1" ht="24.75" customHeight="1" thickBot="1" x14ac:dyDescent="0.25">
      <c r="A69" s="202"/>
      <c r="D69" s="128"/>
      <c r="F69" s="212"/>
      <c r="J69" s="221"/>
      <c r="K69" s="221"/>
      <c r="L69" s="221"/>
      <c r="M69" s="221"/>
      <c r="N69" s="221"/>
      <c r="O69" s="221"/>
      <c r="P69" s="221"/>
      <c r="Q69" s="221"/>
      <c r="R69" s="221"/>
      <c r="S69" s="221"/>
      <c r="T69" s="221"/>
      <c r="U69" s="221"/>
      <c r="V69" s="203"/>
    </row>
    <row r="70" spans="1:22" ht="20.25" customHeight="1" x14ac:dyDescent="0.2">
      <c r="A70" s="117"/>
      <c r="B70" s="781" t="s">
        <v>192</v>
      </c>
      <c r="C70" s="135"/>
      <c r="D70" s="782" t="s">
        <v>179</v>
      </c>
      <c r="E70" s="135"/>
      <c r="F70" s="782" t="s">
        <v>188</v>
      </c>
      <c r="G70" s="135"/>
      <c r="H70" s="800"/>
      <c r="I70" s="135"/>
      <c r="J70" s="804">
        <f>+J3</f>
        <v>45596</v>
      </c>
      <c r="K70" s="804">
        <f t="shared" ref="K70:U70" si="45">+K3</f>
        <v>45626</v>
      </c>
      <c r="L70" s="804">
        <f t="shared" si="45"/>
        <v>45657</v>
      </c>
      <c r="M70" s="804">
        <f t="shared" si="45"/>
        <v>45688</v>
      </c>
      <c r="N70" s="804">
        <f t="shared" si="45"/>
        <v>45716</v>
      </c>
      <c r="O70" s="804">
        <f t="shared" si="45"/>
        <v>45747</v>
      </c>
      <c r="P70" s="804">
        <f t="shared" si="45"/>
        <v>45777</v>
      </c>
      <c r="Q70" s="804">
        <f t="shared" si="45"/>
        <v>45808</v>
      </c>
      <c r="R70" s="804">
        <f t="shared" si="45"/>
        <v>45838</v>
      </c>
      <c r="S70" s="804">
        <f t="shared" si="45"/>
        <v>45869</v>
      </c>
      <c r="T70" s="804">
        <f t="shared" si="45"/>
        <v>45900</v>
      </c>
      <c r="U70" s="209">
        <f t="shared" si="45"/>
        <v>45930</v>
      </c>
      <c r="V70" s="204"/>
    </row>
    <row r="71" spans="1:22" x14ac:dyDescent="0.2">
      <c r="A71" s="127"/>
      <c r="B71" s="793" t="str">
        <f t="shared" ref="B71:B79" si="46">+B5</f>
        <v/>
      </c>
      <c r="C71" s="130"/>
      <c r="D71" s="786">
        <f t="shared" ref="D71:D79" si="47">+D5</f>
        <v>0</v>
      </c>
      <c r="E71" s="130"/>
      <c r="F71" s="805"/>
      <c r="G71" s="130"/>
      <c r="H71" s="805"/>
      <c r="I71" s="130"/>
      <c r="J71" s="806">
        <f t="shared" ref="J71:U71" si="48">IFERROR(+J57-J44,"")</f>
        <v>0</v>
      </c>
      <c r="K71" s="806">
        <f t="shared" si="48"/>
        <v>0</v>
      </c>
      <c r="L71" s="806">
        <f t="shared" si="48"/>
        <v>0</v>
      </c>
      <c r="M71" s="806">
        <f t="shared" si="48"/>
        <v>0</v>
      </c>
      <c r="N71" s="806">
        <f t="shared" si="48"/>
        <v>0</v>
      </c>
      <c r="O71" s="806">
        <f t="shared" si="48"/>
        <v>0</v>
      </c>
      <c r="P71" s="806">
        <f t="shared" si="48"/>
        <v>0</v>
      </c>
      <c r="Q71" s="806">
        <f t="shared" si="48"/>
        <v>0</v>
      </c>
      <c r="R71" s="806">
        <f t="shared" si="48"/>
        <v>0</v>
      </c>
      <c r="S71" s="806">
        <f t="shared" si="48"/>
        <v>0</v>
      </c>
      <c r="T71" s="806">
        <f t="shared" si="48"/>
        <v>0</v>
      </c>
      <c r="U71" s="205">
        <f t="shared" si="48"/>
        <v>0</v>
      </c>
      <c r="V71" s="141">
        <f>SUM(J71:U71)</f>
        <v>0</v>
      </c>
    </row>
    <row r="72" spans="1:22" ht="12" customHeight="1" x14ac:dyDescent="0.2">
      <c r="A72" s="127"/>
      <c r="B72" s="793" t="str">
        <f t="shared" si="46"/>
        <v/>
      </c>
      <c r="C72" s="130"/>
      <c r="D72" s="786">
        <f t="shared" si="47"/>
        <v>0</v>
      </c>
      <c r="E72" s="130"/>
      <c r="F72" s="805"/>
      <c r="G72" s="130"/>
      <c r="H72" s="805"/>
      <c r="I72" s="130"/>
      <c r="J72" s="806">
        <f t="shared" ref="J72:U72" si="49">IFERROR(+J58-J45,"")</f>
        <v>0</v>
      </c>
      <c r="K72" s="806">
        <f t="shared" si="49"/>
        <v>0</v>
      </c>
      <c r="L72" s="806">
        <f t="shared" si="49"/>
        <v>0</v>
      </c>
      <c r="M72" s="806">
        <f t="shared" si="49"/>
        <v>0</v>
      </c>
      <c r="N72" s="806">
        <f t="shared" si="49"/>
        <v>0</v>
      </c>
      <c r="O72" s="806">
        <f t="shared" si="49"/>
        <v>0</v>
      </c>
      <c r="P72" s="806">
        <f t="shared" si="49"/>
        <v>0</v>
      </c>
      <c r="Q72" s="806">
        <f t="shared" si="49"/>
        <v>0</v>
      </c>
      <c r="R72" s="806">
        <f t="shared" si="49"/>
        <v>0</v>
      </c>
      <c r="S72" s="806">
        <f t="shared" si="49"/>
        <v>0</v>
      </c>
      <c r="T72" s="806">
        <f t="shared" si="49"/>
        <v>0</v>
      </c>
      <c r="U72" s="205">
        <f t="shared" si="49"/>
        <v>0</v>
      </c>
      <c r="V72" s="141">
        <f t="shared" ref="V72:V82" si="50">SUM(J72:U72)</f>
        <v>0</v>
      </c>
    </row>
    <row r="73" spans="1:22" ht="12" customHeight="1" x14ac:dyDescent="0.2">
      <c r="A73" s="127"/>
      <c r="B73" s="793" t="str">
        <f t="shared" si="46"/>
        <v/>
      </c>
      <c r="C73" s="130"/>
      <c r="D73" s="786">
        <f t="shared" si="47"/>
        <v>0</v>
      </c>
      <c r="E73" s="130"/>
      <c r="F73" s="805"/>
      <c r="G73" s="130"/>
      <c r="H73" s="805"/>
      <c r="I73" s="130"/>
      <c r="J73" s="806">
        <f t="shared" ref="J73:U73" si="51">IFERROR(+J59-J46,"")</f>
        <v>0</v>
      </c>
      <c r="K73" s="806">
        <f t="shared" si="51"/>
        <v>0</v>
      </c>
      <c r="L73" s="806">
        <f t="shared" si="51"/>
        <v>0</v>
      </c>
      <c r="M73" s="806">
        <f t="shared" si="51"/>
        <v>0</v>
      </c>
      <c r="N73" s="806">
        <f t="shared" si="51"/>
        <v>0</v>
      </c>
      <c r="O73" s="806">
        <f t="shared" si="51"/>
        <v>0</v>
      </c>
      <c r="P73" s="806">
        <f t="shared" si="51"/>
        <v>0</v>
      </c>
      <c r="Q73" s="806">
        <f t="shared" si="51"/>
        <v>0</v>
      </c>
      <c r="R73" s="806">
        <f t="shared" si="51"/>
        <v>0</v>
      </c>
      <c r="S73" s="806">
        <f t="shared" si="51"/>
        <v>0</v>
      </c>
      <c r="T73" s="806">
        <f t="shared" si="51"/>
        <v>0</v>
      </c>
      <c r="U73" s="205">
        <f t="shared" si="51"/>
        <v>0</v>
      </c>
      <c r="V73" s="141">
        <f t="shared" si="50"/>
        <v>0</v>
      </c>
    </row>
    <row r="74" spans="1:22" ht="12" customHeight="1" x14ac:dyDescent="0.2">
      <c r="A74" s="127"/>
      <c r="B74" s="793" t="str">
        <f t="shared" si="46"/>
        <v/>
      </c>
      <c r="C74" s="130"/>
      <c r="D74" s="786">
        <f t="shared" si="47"/>
        <v>0</v>
      </c>
      <c r="E74" s="130"/>
      <c r="F74" s="805"/>
      <c r="G74" s="130"/>
      <c r="H74" s="805"/>
      <c r="I74" s="130"/>
      <c r="J74" s="806">
        <f t="shared" ref="J74:U74" si="52">IFERROR(+J60-J47,"")</f>
        <v>0</v>
      </c>
      <c r="K74" s="806">
        <f t="shared" si="52"/>
        <v>0</v>
      </c>
      <c r="L74" s="806">
        <f t="shared" si="52"/>
        <v>0</v>
      </c>
      <c r="M74" s="806">
        <f t="shared" si="52"/>
        <v>0</v>
      </c>
      <c r="N74" s="806">
        <f t="shared" si="52"/>
        <v>0</v>
      </c>
      <c r="O74" s="806">
        <f t="shared" si="52"/>
        <v>0</v>
      </c>
      <c r="P74" s="806">
        <f t="shared" si="52"/>
        <v>0</v>
      </c>
      <c r="Q74" s="806">
        <f t="shared" si="52"/>
        <v>0</v>
      </c>
      <c r="R74" s="806">
        <f t="shared" si="52"/>
        <v>0</v>
      </c>
      <c r="S74" s="806">
        <f t="shared" si="52"/>
        <v>0</v>
      </c>
      <c r="T74" s="806">
        <f t="shared" si="52"/>
        <v>0</v>
      </c>
      <c r="U74" s="205">
        <f t="shared" si="52"/>
        <v>0</v>
      </c>
      <c r="V74" s="141">
        <f t="shared" si="50"/>
        <v>0</v>
      </c>
    </row>
    <row r="75" spans="1:22" ht="12" customHeight="1" x14ac:dyDescent="0.2">
      <c r="A75" s="127"/>
      <c r="B75" s="793" t="str">
        <f t="shared" si="46"/>
        <v/>
      </c>
      <c r="C75" s="130"/>
      <c r="D75" s="786">
        <f t="shared" si="47"/>
        <v>0</v>
      </c>
      <c r="E75" s="130"/>
      <c r="F75" s="805"/>
      <c r="G75" s="130"/>
      <c r="H75" s="805"/>
      <c r="I75" s="130"/>
      <c r="J75" s="806">
        <f t="shared" ref="J75:U75" si="53">IFERROR(+J61-J48,"")</f>
        <v>0</v>
      </c>
      <c r="K75" s="806">
        <f t="shared" si="53"/>
        <v>0</v>
      </c>
      <c r="L75" s="806">
        <f t="shared" si="53"/>
        <v>0</v>
      </c>
      <c r="M75" s="806">
        <f t="shared" si="53"/>
        <v>0</v>
      </c>
      <c r="N75" s="806">
        <f t="shared" si="53"/>
        <v>0</v>
      </c>
      <c r="O75" s="806">
        <f t="shared" si="53"/>
        <v>0</v>
      </c>
      <c r="P75" s="806">
        <f t="shared" si="53"/>
        <v>0</v>
      </c>
      <c r="Q75" s="806">
        <f t="shared" si="53"/>
        <v>0</v>
      </c>
      <c r="R75" s="806">
        <f t="shared" si="53"/>
        <v>0</v>
      </c>
      <c r="S75" s="806">
        <f t="shared" si="53"/>
        <v>0</v>
      </c>
      <c r="T75" s="806">
        <f t="shared" si="53"/>
        <v>0</v>
      </c>
      <c r="U75" s="205">
        <f t="shared" si="53"/>
        <v>0</v>
      </c>
      <c r="V75" s="141">
        <f t="shared" si="50"/>
        <v>0</v>
      </c>
    </row>
    <row r="76" spans="1:22" ht="12" customHeight="1" x14ac:dyDescent="0.2">
      <c r="A76" s="127"/>
      <c r="B76" s="793" t="str">
        <f t="shared" si="46"/>
        <v/>
      </c>
      <c r="C76" s="130"/>
      <c r="D76" s="786">
        <f t="shared" si="47"/>
        <v>0</v>
      </c>
      <c r="E76" s="130"/>
      <c r="F76" s="805"/>
      <c r="G76" s="130"/>
      <c r="H76" s="805"/>
      <c r="I76" s="130"/>
      <c r="J76" s="806">
        <f t="shared" ref="J76:U76" si="54">IFERROR(+J62-J49,"")</f>
        <v>0</v>
      </c>
      <c r="K76" s="806">
        <f t="shared" si="54"/>
        <v>0</v>
      </c>
      <c r="L76" s="806">
        <f t="shared" si="54"/>
        <v>0</v>
      </c>
      <c r="M76" s="806">
        <f t="shared" si="54"/>
        <v>0</v>
      </c>
      <c r="N76" s="806">
        <f t="shared" si="54"/>
        <v>0</v>
      </c>
      <c r="O76" s="806">
        <f t="shared" si="54"/>
        <v>0</v>
      </c>
      <c r="P76" s="806">
        <f t="shared" si="54"/>
        <v>0</v>
      </c>
      <c r="Q76" s="806">
        <f t="shared" si="54"/>
        <v>0</v>
      </c>
      <c r="R76" s="806">
        <f t="shared" si="54"/>
        <v>0</v>
      </c>
      <c r="S76" s="806">
        <f t="shared" si="54"/>
        <v>0</v>
      </c>
      <c r="T76" s="806">
        <f t="shared" si="54"/>
        <v>0</v>
      </c>
      <c r="U76" s="205">
        <f t="shared" si="54"/>
        <v>0</v>
      </c>
      <c r="V76" s="141">
        <f t="shared" si="50"/>
        <v>0</v>
      </c>
    </row>
    <row r="77" spans="1:22" ht="12" customHeight="1" x14ac:dyDescent="0.2">
      <c r="A77" s="127"/>
      <c r="B77" s="793" t="str">
        <f t="shared" si="46"/>
        <v/>
      </c>
      <c r="C77" s="130"/>
      <c r="D77" s="786">
        <f t="shared" si="47"/>
        <v>0</v>
      </c>
      <c r="E77" s="130"/>
      <c r="F77" s="805"/>
      <c r="G77" s="130"/>
      <c r="H77" s="805"/>
      <c r="I77" s="130"/>
      <c r="J77" s="806">
        <f t="shared" ref="J77:U77" si="55">IFERROR(+J63-J50,"")</f>
        <v>0</v>
      </c>
      <c r="K77" s="806">
        <f t="shared" si="55"/>
        <v>0</v>
      </c>
      <c r="L77" s="806">
        <f t="shared" si="55"/>
        <v>0</v>
      </c>
      <c r="M77" s="806">
        <f t="shared" si="55"/>
        <v>0</v>
      </c>
      <c r="N77" s="806">
        <f t="shared" si="55"/>
        <v>0</v>
      </c>
      <c r="O77" s="806">
        <f t="shared" si="55"/>
        <v>0</v>
      </c>
      <c r="P77" s="806">
        <f t="shared" si="55"/>
        <v>0</v>
      </c>
      <c r="Q77" s="806">
        <f t="shared" si="55"/>
        <v>0</v>
      </c>
      <c r="R77" s="806">
        <f t="shared" si="55"/>
        <v>0</v>
      </c>
      <c r="S77" s="806">
        <f t="shared" si="55"/>
        <v>0</v>
      </c>
      <c r="T77" s="806">
        <f t="shared" si="55"/>
        <v>0</v>
      </c>
      <c r="U77" s="205">
        <f t="shared" si="55"/>
        <v>0</v>
      </c>
      <c r="V77" s="141">
        <f t="shared" si="50"/>
        <v>0</v>
      </c>
    </row>
    <row r="78" spans="1:22" ht="12" customHeight="1" x14ac:dyDescent="0.2">
      <c r="A78" s="127"/>
      <c r="B78" s="793" t="str">
        <f t="shared" si="46"/>
        <v/>
      </c>
      <c r="C78" s="130"/>
      <c r="D78" s="786">
        <f t="shared" si="47"/>
        <v>0</v>
      </c>
      <c r="E78" s="130"/>
      <c r="F78" s="805"/>
      <c r="G78" s="130"/>
      <c r="H78" s="805"/>
      <c r="I78" s="130"/>
      <c r="J78" s="806">
        <f t="shared" ref="J78:U78" si="56">IFERROR(+J64-J51,"")</f>
        <v>0</v>
      </c>
      <c r="K78" s="806">
        <f t="shared" si="56"/>
        <v>0</v>
      </c>
      <c r="L78" s="806">
        <f t="shared" si="56"/>
        <v>0</v>
      </c>
      <c r="M78" s="806">
        <f t="shared" si="56"/>
        <v>0</v>
      </c>
      <c r="N78" s="806">
        <f t="shared" si="56"/>
        <v>0</v>
      </c>
      <c r="O78" s="806">
        <f t="shared" si="56"/>
        <v>0</v>
      </c>
      <c r="P78" s="806">
        <f t="shared" si="56"/>
        <v>0</v>
      </c>
      <c r="Q78" s="806">
        <f t="shared" si="56"/>
        <v>0</v>
      </c>
      <c r="R78" s="806">
        <f t="shared" si="56"/>
        <v>0</v>
      </c>
      <c r="S78" s="806">
        <f t="shared" si="56"/>
        <v>0</v>
      </c>
      <c r="T78" s="806">
        <f t="shared" si="56"/>
        <v>0</v>
      </c>
      <c r="U78" s="205">
        <f t="shared" si="56"/>
        <v>0</v>
      </c>
      <c r="V78" s="141">
        <f t="shared" si="50"/>
        <v>0</v>
      </c>
    </row>
    <row r="79" spans="1:22" ht="12" customHeight="1" x14ac:dyDescent="0.2">
      <c r="A79" s="127"/>
      <c r="B79" s="793" t="str">
        <f t="shared" si="46"/>
        <v/>
      </c>
      <c r="C79" s="130"/>
      <c r="D79" s="786">
        <f t="shared" si="47"/>
        <v>0</v>
      </c>
      <c r="E79" s="130"/>
      <c r="F79" s="805"/>
      <c r="G79" s="130"/>
      <c r="H79" s="805"/>
      <c r="I79" s="130"/>
      <c r="J79" s="806">
        <f t="shared" ref="J79:U79" si="57">IFERROR(+J65-J52,"")</f>
        <v>0</v>
      </c>
      <c r="K79" s="806">
        <f t="shared" si="57"/>
        <v>0</v>
      </c>
      <c r="L79" s="806">
        <f t="shared" si="57"/>
        <v>0</v>
      </c>
      <c r="M79" s="806">
        <f t="shared" si="57"/>
        <v>0</v>
      </c>
      <c r="N79" s="806">
        <f t="shared" si="57"/>
        <v>0</v>
      </c>
      <c r="O79" s="806">
        <f t="shared" si="57"/>
        <v>0</v>
      </c>
      <c r="P79" s="806">
        <f t="shared" si="57"/>
        <v>0</v>
      </c>
      <c r="Q79" s="806">
        <f t="shared" si="57"/>
        <v>0</v>
      </c>
      <c r="R79" s="806">
        <f t="shared" si="57"/>
        <v>0</v>
      </c>
      <c r="S79" s="806">
        <f t="shared" si="57"/>
        <v>0</v>
      </c>
      <c r="T79" s="806">
        <f t="shared" si="57"/>
        <v>0</v>
      </c>
      <c r="U79" s="205">
        <f t="shared" si="57"/>
        <v>0</v>
      </c>
      <c r="V79" s="141">
        <f t="shared" si="50"/>
        <v>0</v>
      </c>
    </row>
    <row r="80" spans="1:22" ht="12" customHeight="1" x14ac:dyDescent="0.2">
      <c r="A80" s="127"/>
      <c r="B80" s="793">
        <f t="shared" ref="B80:B82" si="58">+B14</f>
        <v>0</v>
      </c>
      <c r="C80" s="130"/>
      <c r="D80" s="786"/>
      <c r="E80" s="130"/>
      <c r="F80" s="805"/>
      <c r="G80" s="130"/>
      <c r="H80" s="805"/>
      <c r="I80" s="130"/>
      <c r="J80" s="806">
        <f t="shared" ref="J80:U80" si="59">IFERROR(+J66-J53,"")</f>
        <v>0</v>
      </c>
      <c r="K80" s="806">
        <f t="shared" si="59"/>
        <v>0</v>
      </c>
      <c r="L80" s="806">
        <f t="shared" si="59"/>
        <v>0</v>
      </c>
      <c r="M80" s="806">
        <f t="shared" si="59"/>
        <v>0</v>
      </c>
      <c r="N80" s="806">
        <f t="shared" si="59"/>
        <v>0</v>
      </c>
      <c r="O80" s="806">
        <f t="shared" si="59"/>
        <v>0</v>
      </c>
      <c r="P80" s="806">
        <f t="shared" si="59"/>
        <v>0</v>
      </c>
      <c r="Q80" s="806">
        <f t="shared" si="59"/>
        <v>0</v>
      </c>
      <c r="R80" s="806">
        <f t="shared" si="59"/>
        <v>0</v>
      </c>
      <c r="S80" s="806">
        <f t="shared" si="59"/>
        <v>0</v>
      </c>
      <c r="T80" s="806">
        <f t="shared" si="59"/>
        <v>0</v>
      </c>
      <c r="U80" s="205">
        <f t="shared" si="59"/>
        <v>0</v>
      </c>
      <c r="V80" s="141">
        <f t="shared" si="50"/>
        <v>0</v>
      </c>
    </row>
    <row r="81" spans="1:22" ht="12" customHeight="1" x14ac:dyDescent="0.2">
      <c r="A81" s="127"/>
      <c r="B81" s="793" t="str">
        <f t="shared" si="58"/>
        <v>Becas</v>
      </c>
      <c r="C81" s="130"/>
      <c r="D81" s="786"/>
      <c r="E81" s="130"/>
      <c r="F81" s="805"/>
      <c r="G81" s="130"/>
      <c r="H81" s="805"/>
      <c r="I81" s="130"/>
      <c r="J81" s="806">
        <f t="shared" ref="J81:U81" si="60">IFERROR(+J67-J54,"")</f>
        <v>0</v>
      </c>
      <c r="K81" s="806">
        <f t="shared" si="60"/>
        <v>0</v>
      </c>
      <c r="L81" s="806">
        <f t="shared" si="60"/>
        <v>0</v>
      </c>
      <c r="M81" s="806">
        <f t="shared" si="60"/>
        <v>0</v>
      </c>
      <c r="N81" s="806">
        <f t="shared" si="60"/>
        <v>0</v>
      </c>
      <c r="O81" s="806">
        <f t="shared" si="60"/>
        <v>0</v>
      </c>
      <c r="P81" s="806">
        <f t="shared" si="60"/>
        <v>0</v>
      </c>
      <c r="Q81" s="806">
        <f t="shared" si="60"/>
        <v>0</v>
      </c>
      <c r="R81" s="806">
        <f t="shared" si="60"/>
        <v>0</v>
      </c>
      <c r="S81" s="806">
        <f t="shared" si="60"/>
        <v>0</v>
      </c>
      <c r="T81" s="806">
        <f t="shared" si="60"/>
        <v>0</v>
      </c>
      <c r="U81" s="205">
        <f t="shared" si="60"/>
        <v>0</v>
      </c>
      <c r="V81" s="141">
        <f t="shared" si="50"/>
        <v>0</v>
      </c>
    </row>
    <row r="82" spans="1:22" ht="12" customHeight="1" thickBot="1" x14ac:dyDescent="0.25">
      <c r="A82" s="127"/>
      <c r="B82" s="793" t="str">
        <f t="shared" si="58"/>
        <v>Dietas Irco</v>
      </c>
      <c r="C82" s="130"/>
      <c r="D82" s="786">
        <f>+D16</f>
        <v>0</v>
      </c>
      <c r="E82" s="130"/>
      <c r="F82" s="805"/>
      <c r="G82" s="130"/>
      <c r="H82" s="805"/>
      <c r="I82" s="130"/>
      <c r="J82" s="806">
        <f t="shared" ref="J82:U82" si="61">IFERROR(+J68-J55,"")</f>
        <v>0</v>
      </c>
      <c r="K82" s="806">
        <f t="shared" si="61"/>
        <v>0</v>
      </c>
      <c r="L82" s="806">
        <f t="shared" si="61"/>
        <v>0</v>
      </c>
      <c r="M82" s="806">
        <f t="shared" si="61"/>
        <v>0</v>
      </c>
      <c r="N82" s="806">
        <f t="shared" si="61"/>
        <v>0</v>
      </c>
      <c r="O82" s="806">
        <f t="shared" si="61"/>
        <v>0</v>
      </c>
      <c r="P82" s="806">
        <f t="shared" si="61"/>
        <v>0</v>
      </c>
      <c r="Q82" s="806">
        <f t="shared" si="61"/>
        <v>0</v>
      </c>
      <c r="R82" s="806">
        <f t="shared" si="61"/>
        <v>0</v>
      </c>
      <c r="S82" s="806">
        <f t="shared" si="61"/>
        <v>0</v>
      </c>
      <c r="T82" s="806">
        <f t="shared" si="61"/>
        <v>0</v>
      </c>
      <c r="U82" s="205">
        <f t="shared" si="61"/>
        <v>0</v>
      </c>
      <c r="V82" s="201">
        <f t="shared" si="50"/>
        <v>0</v>
      </c>
    </row>
    <row r="83" spans="1:22" s="126" customFormat="1" ht="15.75" customHeight="1" thickBot="1" x14ac:dyDescent="0.25">
      <c r="A83" s="117"/>
      <c r="B83" s="130"/>
      <c r="C83" s="130"/>
      <c r="D83" s="213"/>
      <c r="E83" s="130"/>
      <c r="F83" s="206"/>
      <c r="G83" s="130"/>
      <c r="H83" s="206"/>
      <c r="I83" s="130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3"/>
    </row>
    <row r="84" spans="1:22" x14ac:dyDescent="0.2">
      <c r="A84" s="207"/>
      <c r="B84" s="131" t="s">
        <v>193</v>
      </c>
      <c r="D84" s="214"/>
      <c r="F84" s="215"/>
      <c r="H84" s="131"/>
      <c r="J84" s="222">
        <f t="shared" ref="J84:V84" si="62">SUM(J44:J55)</f>
        <v>0</v>
      </c>
      <c r="K84" s="223">
        <f t="shared" si="62"/>
        <v>0</v>
      </c>
      <c r="L84" s="223">
        <f t="shared" si="62"/>
        <v>0</v>
      </c>
      <c r="M84" s="223">
        <f t="shared" si="62"/>
        <v>0</v>
      </c>
      <c r="N84" s="223">
        <f t="shared" si="62"/>
        <v>0</v>
      </c>
      <c r="O84" s="223">
        <f t="shared" si="62"/>
        <v>0</v>
      </c>
      <c r="P84" s="223">
        <f t="shared" si="62"/>
        <v>0</v>
      </c>
      <c r="Q84" s="223">
        <f t="shared" si="62"/>
        <v>0</v>
      </c>
      <c r="R84" s="223">
        <f t="shared" si="62"/>
        <v>0</v>
      </c>
      <c r="S84" s="223">
        <f t="shared" si="62"/>
        <v>0</v>
      </c>
      <c r="T84" s="223">
        <f t="shared" si="62"/>
        <v>0</v>
      </c>
      <c r="U84" s="224">
        <f t="shared" si="62"/>
        <v>0</v>
      </c>
      <c r="V84" s="225">
        <f t="shared" si="62"/>
        <v>0</v>
      </c>
    </row>
    <row r="85" spans="1:22" x14ac:dyDescent="0.2">
      <c r="A85" s="207"/>
      <c r="B85" s="132" t="s">
        <v>194</v>
      </c>
      <c r="D85" s="216"/>
      <c r="F85" s="217"/>
      <c r="H85" s="132"/>
      <c r="J85" s="226">
        <f t="shared" ref="J85:V85" si="63">SUM(J57:J68)</f>
        <v>0</v>
      </c>
      <c r="K85" s="807">
        <f t="shared" si="63"/>
        <v>0</v>
      </c>
      <c r="L85" s="807">
        <f t="shared" si="63"/>
        <v>0</v>
      </c>
      <c r="M85" s="807">
        <f t="shared" si="63"/>
        <v>0</v>
      </c>
      <c r="N85" s="807">
        <f t="shared" si="63"/>
        <v>0</v>
      </c>
      <c r="O85" s="807">
        <f t="shared" si="63"/>
        <v>0</v>
      </c>
      <c r="P85" s="807">
        <f t="shared" si="63"/>
        <v>0</v>
      </c>
      <c r="Q85" s="807">
        <f t="shared" si="63"/>
        <v>0</v>
      </c>
      <c r="R85" s="807">
        <f t="shared" si="63"/>
        <v>0</v>
      </c>
      <c r="S85" s="807">
        <f t="shared" si="63"/>
        <v>0</v>
      </c>
      <c r="T85" s="807">
        <f t="shared" si="63"/>
        <v>0</v>
      </c>
      <c r="U85" s="227">
        <f t="shared" si="63"/>
        <v>0</v>
      </c>
      <c r="V85" s="228">
        <f t="shared" si="63"/>
        <v>0</v>
      </c>
    </row>
    <row r="86" spans="1:22" ht="23.25" customHeight="1" thickBot="1" x14ac:dyDescent="0.25">
      <c r="A86" s="207"/>
      <c r="B86" s="133" t="s">
        <v>192</v>
      </c>
      <c r="D86" s="218"/>
      <c r="F86" s="219"/>
      <c r="H86" s="133"/>
      <c r="J86" s="229">
        <f>+J85-J84</f>
        <v>0</v>
      </c>
      <c r="K86" s="230">
        <f t="shared" ref="K86:V86" si="64">+K85-K84</f>
        <v>0</v>
      </c>
      <c r="L86" s="230">
        <f t="shared" si="64"/>
        <v>0</v>
      </c>
      <c r="M86" s="230">
        <f t="shared" si="64"/>
        <v>0</v>
      </c>
      <c r="N86" s="230">
        <f t="shared" si="64"/>
        <v>0</v>
      </c>
      <c r="O86" s="230">
        <f t="shared" si="64"/>
        <v>0</v>
      </c>
      <c r="P86" s="230">
        <f t="shared" si="64"/>
        <v>0</v>
      </c>
      <c r="Q86" s="230">
        <f t="shared" si="64"/>
        <v>0</v>
      </c>
      <c r="R86" s="230">
        <f t="shared" si="64"/>
        <v>0</v>
      </c>
      <c r="S86" s="230">
        <f t="shared" si="64"/>
        <v>0</v>
      </c>
      <c r="T86" s="230">
        <f t="shared" si="64"/>
        <v>0</v>
      </c>
      <c r="U86" s="231">
        <f t="shared" si="64"/>
        <v>0</v>
      </c>
      <c r="V86" s="232">
        <f t="shared" si="64"/>
        <v>0</v>
      </c>
    </row>
    <row r="87" spans="1:22" s="117" customFormat="1" ht="15.75" customHeight="1" x14ac:dyDescent="0.2">
      <c r="B87" s="130"/>
      <c r="C87" s="130"/>
      <c r="D87" s="138"/>
      <c r="E87" s="130"/>
      <c r="F87" s="206"/>
      <c r="G87" s="130"/>
      <c r="H87" s="206"/>
      <c r="I87" s="130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5"/>
    </row>
    <row r="88" spans="1:22" s="117" customFormat="1" ht="15.75" customHeight="1" x14ac:dyDescent="0.2">
      <c r="B88" s="130"/>
      <c r="C88" s="130"/>
      <c r="D88" s="138"/>
      <c r="E88" s="130"/>
      <c r="F88" s="206"/>
      <c r="G88" s="130"/>
      <c r="H88" s="206"/>
      <c r="I88" s="130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5"/>
    </row>
    <row r="89" spans="1:22" s="117" customFormat="1" ht="15.75" customHeight="1" x14ac:dyDescent="0.2">
      <c r="B89" s="130"/>
      <c r="C89" s="130"/>
      <c r="D89" s="138"/>
      <c r="E89" s="130"/>
      <c r="F89" s="206"/>
      <c r="G89" s="130"/>
      <c r="H89" s="206"/>
      <c r="I89" s="130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5"/>
    </row>
    <row r="90" spans="1:22" s="117" customFormat="1" ht="15.75" customHeight="1" x14ac:dyDescent="0.2">
      <c r="B90" s="130"/>
      <c r="C90" s="130"/>
      <c r="D90" s="138"/>
      <c r="E90" s="130"/>
      <c r="F90" s="206"/>
      <c r="G90" s="130"/>
      <c r="H90" s="206"/>
      <c r="I90" s="130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5"/>
    </row>
    <row r="91" spans="1:22" s="117" customFormat="1" ht="15.75" customHeight="1" x14ac:dyDescent="0.2">
      <c r="B91" s="130"/>
      <c r="C91" s="130"/>
      <c r="D91" s="138"/>
      <c r="E91" s="130"/>
      <c r="F91" s="206"/>
      <c r="G91" s="130"/>
      <c r="H91" s="206"/>
      <c r="I91" s="130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5"/>
    </row>
    <row r="92" spans="1:22" s="117" customFormat="1" ht="15.75" customHeight="1" x14ac:dyDescent="0.2">
      <c r="B92" s="130"/>
      <c r="C92" s="130"/>
      <c r="D92" s="138"/>
      <c r="E92" s="130"/>
      <c r="F92" s="206"/>
      <c r="G92" s="130"/>
      <c r="H92" s="206"/>
      <c r="I92" s="130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5"/>
    </row>
    <row r="93" spans="1:22" s="117" customFormat="1" ht="15.75" customHeight="1" x14ac:dyDescent="0.2">
      <c r="B93" s="130"/>
      <c r="C93" s="130"/>
      <c r="D93" s="138"/>
      <c r="E93" s="130"/>
      <c r="F93" s="206"/>
      <c r="G93" s="130"/>
      <c r="H93" s="206"/>
      <c r="I93" s="130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5"/>
    </row>
    <row r="94" spans="1:22" s="117" customFormat="1" ht="15.75" customHeight="1" x14ac:dyDescent="0.2">
      <c r="B94" s="130"/>
      <c r="C94" s="130"/>
      <c r="D94" s="138"/>
      <c r="E94" s="130"/>
      <c r="F94" s="206"/>
      <c r="G94" s="130"/>
      <c r="H94" s="206"/>
      <c r="I94" s="130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5"/>
    </row>
    <row r="95" spans="1:22" s="117" customFormat="1" ht="15.75" customHeight="1" x14ac:dyDescent="0.2">
      <c r="B95" s="130"/>
      <c r="C95" s="130"/>
      <c r="D95" s="138"/>
      <c r="E95" s="130"/>
      <c r="F95" s="206"/>
      <c r="G95" s="130"/>
      <c r="H95" s="206"/>
      <c r="I95" s="130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5"/>
    </row>
    <row r="96" spans="1:22" s="117" customFormat="1" ht="15.75" customHeight="1" x14ac:dyDescent="0.2">
      <c r="B96" s="130"/>
      <c r="C96" s="130"/>
      <c r="D96" s="138"/>
      <c r="E96" s="130"/>
      <c r="F96" s="206"/>
      <c r="G96" s="130"/>
      <c r="H96" s="206"/>
      <c r="I96" s="130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5"/>
    </row>
    <row r="97" spans="2:22" s="117" customFormat="1" ht="15.75" customHeight="1" x14ac:dyDescent="0.2">
      <c r="B97" s="130"/>
      <c r="C97" s="130"/>
      <c r="D97" s="138"/>
      <c r="E97" s="130"/>
      <c r="F97" s="206"/>
      <c r="G97" s="130"/>
      <c r="H97" s="206"/>
      <c r="I97" s="130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5"/>
    </row>
    <row r="98" spans="2:22" s="117" customFormat="1" ht="15.75" customHeight="1" x14ac:dyDescent="0.2">
      <c r="B98" s="130"/>
      <c r="C98" s="130"/>
      <c r="D98" s="138"/>
      <c r="E98" s="130"/>
      <c r="F98" s="206"/>
      <c r="G98" s="130"/>
      <c r="H98" s="206"/>
      <c r="I98" s="130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5"/>
    </row>
  </sheetData>
  <mergeCells count="7">
    <mergeCell ref="A5:A16"/>
    <mergeCell ref="A18:A29"/>
    <mergeCell ref="I25:I30"/>
    <mergeCell ref="I59:I64"/>
    <mergeCell ref="A31:A42"/>
    <mergeCell ref="A44:A55"/>
    <mergeCell ref="A57:A68"/>
  </mergeCells>
  <conditionalFormatting sqref="A69:XFD1048576 A1:XFD23 A31:XFD57 B65:XFD68 B58:H64 A24:H30 J24:XFD30 J58:XFD64">
    <cfRule type="cellIs" dxfId="64" priority="3" operator="equal">
      <formula>0</formula>
    </cfRule>
  </conditionalFormatting>
  <dataValidations count="3">
    <dataValidation type="list" allowBlank="1" showInputMessage="1" showErrorMessage="1" sqref="B5:B29" xr:uid="{538B5047-54F7-4F90-AFF9-05110947662F}">
      <formula1>Tipo_Dieta</formula1>
    </dataValidation>
    <dataValidation type="list" allowBlank="1" showInputMessage="1" showErrorMessage="1" sqref="D5:D16 D18:D29 D71:D98" xr:uid="{03D1891E-F364-40CA-BFC4-5DD67B5C4378}">
      <formula1>Tipo_Comensal</formula1>
    </dataValidation>
    <dataValidation type="list" allowBlank="1" showInputMessage="1" showErrorMessage="1" sqref="J3:U3" xr:uid="{50C0B091-ABBD-4762-8D29-DDF2596F0E52}">
      <formula1>Meses</formula1>
    </dataValidation>
  </dataValidations>
  <pageMargins left="0.25" right="0.25" top="0.51" bottom="0.3" header="0.21" footer="0.24"/>
  <pageSetup paperSize="9" scale="52" orientation="landscape" r:id="rId1"/>
  <headerFooter alignWithMargins="0">
    <oddHeader>&amp;L&amp;"Arial,Negrita"&amp;18Grupo Serunión: Presupuestos (Consulta)</oddHeader>
  </headerFooter>
  <ignoredErrors>
    <ignoredError sqref="D82 J67:U68 D5:F13 J57:U57 D71:D79 E16 D14:F15 D16 F16 J31:U31 J59:U64 J58 L58:U58 J47:J48 J45:J46 J44 J49:U55 K44:U44 K45:U46 K47:U48 J70:U70 J84:V86 J36:U42 J35:L35 N35:U35 J33:U34 J32:O32 Q32:U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pasar_datos_dias">
                <anchor moveWithCells="1" sizeWithCells="1">
                  <from>
                    <xdr:col>8</xdr:col>
                    <xdr:colOff>66675</xdr:colOff>
                    <xdr:row>6</xdr:row>
                    <xdr:rowOff>28575</xdr:rowOff>
                  </from>
                  <to>
                    <xdr:col>8</xdr:col>
                    <xdr:colOff>904875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5" name="Button 13">
              <controlPr defaultSize="0" print="0" autoFill="0" autoPict="0" macro="[0]!pasar_datos_servicio">
                <anchor moveWithCells="1" sizeWithCells="1">
                  <from>
                    <xdr:col>8</xdr:col>
                    <xdr:colOff>76200</xdr:colOff>
                    <xdr:row>17</xdr:row>
                    <xdr:rowOff>0</xdr:rowOff>
                  </from>
                  <to>
                    <xdr:col>8</xdr:col>
                    <xdr:colOff>914400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7F7B-346F-440E-8F06-AF4F98949733}">
  <sheetPr codeName="Hoja28">
    <tabColor theme="3" tint="0.39997558519241921"/>
  </sheetPr>
  <dimension ref="A1:AL164"/>
  <sheetViews>
    <sheetView showGridLines="0" view="pageBreakPreview" zoomScaleNormal="85" zoomScaleSheetLayoutView="100" workbookViewId="0">
      <selection activeCell="B5" sqref="B5"/>
    </sheetView>
  </sheetViews>
  <sheetFormatPr baseColWidth="10" defaultColWidth="11.42578125" defaultRowHeight="12" x14ac:dyDescent="0.2"/>
  <cols>
    <col min="1" max="1" width="4.5703125" style="311" customWidth="1"/>
    <col min="2" max="2" width="24.42578125" style="311" customWidth="1"/>
    <col min="3" max="3" width="1.42578125" style="313" customWidth="1"/>
    <col min="4" max="4" width="11.42578125" style="306" customWidth="1"/>
    <col min="5" max="5" width="1.42578125" style="313" customWidth="1"/>
    <col min="6" max="6" width="13.42578125" style="311" customWidth="1"/>
    <col min="7" max="7" width="1.42578125" style="313" customWidth="1"/>
    <col min="8" max="8" width="14.5703125" style="311" customWidth="1"/>
    <col min="9" max="9" width="1.42578125" style="313" customWidth="1"/>
    <col min="10" max="10" width="14.42578125" style="311" customWidth="1"/>
    <col min="11" max="11" width="19.42578125" style="313" customWidth="1"/>
    <col min="12" max="23" width="13.5703125" style="306" customWidth="1"/>
    <col min="24" max="24" width="16.42578125" style="332" customWidth="1"/>
    <col min="25" max="25" width="3" style="311" customWidth="1"/>
    <col min="26" max="27" width="16.5703125" style="311" customWidth="1"/>
    <col min="28" max="264" width="11.42578125" style="311"/>
    <col min="265" max="266" width="0" style="311" hidden="1" customWidth="1"/>
    <col min="267" max="267" width="32.42578125" style="311" customWidth="1"/>
    <col min="268" max="280" width="14.5703125" style="311" customWidth="1"/>
    <col min="281" max="520" width="11.42578125" style="311"/>
    <col min="521" max="522" width="0" style="311" hidden="1" customWidth="1"/>
    <col min="523" max="523" width="32.42578125" style="311" customWidth="1"/>
    <col min="524" max="536" width="14.5703125" style="311" customWidth="1"/>
    <col min="537" max="776" width="11.42578125" style="311"/>
    <col min="777" max="778" width="0" style="311" hidden="1" customWidth="1"/>
    <col min="779" max="779" width="32.42578125" style="311" customWidth="1"/>
    <col min="780" max="792" width="14.5703125" style="311" customWidth="1"/>
    <col min="793" max="1032" width="11.42578125" style="311"/>
    <col min="1033" max="1034" width="0" style="311" hidden="1" customWidth="1"/>
    <col min="1035" max="1035" width="32.42578125" style="311" customWidth="1"/>
    <col min="1036" max="1048" width="14.5703125" style="311" customWidth="1"/>
    <col min="1049" max="1288" width="11.42578125" style="311"/>
    <col min="1289" max="1290" width="0" style="311" hidden="1" customWidth="1"/>
    <col min="1291" max="1291" width="32.42578125" style="311" customWidth="1"/>
    <col min="1292" max="1304" width="14.5703125" style="311" customWidth="1"/>
    <col min="1305" max="1544" width="11.42578125" style="311"/>
    <col min="1545" max="1546" width="0" style="311" hidden="1" customWidth="1"/>
    <col min="1547" max="1547" width="32.42578125" style="311" customWidth="1"/>
    <col min="1548" max="1560" width="14.5703125" style="311" customWidth="1"/>
    <col min="1561" max="1800" width="11.42578125" style="311"/>
    <col min="1801" max="1802" width="0" style="311" hidden="1" customWidth="1"/>
    <col min="1803" max="1803" width="32.42578125" style="311" customWidth="1"/>
    <col min="1804" max="1816" width="14.5703125" style="311" customWidth="1"/>
    <col min="1817" max="2056" width="11.42578125" style="311"/>
    <col min="2057" max="2058" width="0" style="311" hidden="1" customWidth="1"/>
    <col min="2059" max="2059" width="32.42578125" style="311" customWidth="1"/>
    <col min="2060" max="2072" width="14.5703125" style="311" customWidth="1"/>
    <col min="2073" max="2312" width="11.42578125" style="311"/>
    <col min="2313" max="2314" width="0" style="311" hidden="1" customWidth="1"/>
    <col min="2315" max="2315" width="32.42578125" style="311" customWidth="1"/>
    <col min="2316" max="2328" width="14.5703125" style="311" customWidth="1"/>
    <col min="2329" max="2568" width="11.42578125" style="311"/>
    <col min="2569" max="2570" width="0" style="311" hidden="1" customWidth="1"/>
    <col min="2571" max="2571" width="32.42578125" style="311" customWidth="1"/>
    <col min="2572" max="2584" width="14.5703125" style="311" customWidth="1"/>
    <col min="2585" max="2824" width="11.42578125" style="311"/>
    <col min="2825" max="2826" width="0" style="311" hidden="1" customWidth="1"/>
    <col min="2827" max="2827" width="32.42578125" style="311" customWidth="1"/>
    <col min="2828" max="2840" width="14.5703125" style="311" customWidth="1"/>
    <col min="2841" max="3080" width="11.42578125" style="311"/>
    <col min="3081" max="3082" width="0" style="311" hidden="1" customWidth="1"/>
    <col min="3083" max="3083" width="32.42578125" style="311" customWidth="1"/>
    <col min="3084" max="3096" width="14.5703125" style="311" customWidth="1"/>
    <col min="3097" max="3336" width="11.42578125" style="311"/>
    <col min="3337" max="3338" width="0" style="311" hidden="1" customWidth="1"/>
    <col min="3339" max="3339" width="32.42578125" style="311" customWidth="1"/>
    <col min="3340" max="3352" width="14.5703125" style="311" customWidth="1"/>
    <col min="3353" max="3592" width="11.42578125" style="311"/>
    <col min="3593" max="3594" width="0" style="311" hidden="1" customWidth="1"/>
    <col min="3595" max="3595" width="32.42578125" style="311" customWidth="1"/>
    <col min="3596" max="3608" width="14.5703125" style="311" customWidth="1"/>
    <col min="3609" max="3848" width="11.42578125" style="311"/>
    <col min="3849" max="3850" width="0" style="311" hidden="1" customWidth="1"/>
    <col min="3851" max="3851" width="32.42578125" style="311" customWidth="1"/>
    <col min="3852" max="3864" width="14.5703125" style="311" customWidth="1"/>
    <col min="3865" max="4104" width="11.42578125" style="311"/>
    <col min="4105" max="4106" width="0" style="311" hidden="1" customWidth="1"/>
    <col min="4107" max="4107" width="32.42578125" style="311" customWidth="1"/>
    <col min="4108" max="4120" width="14.5703125" style="311" customWidth="1"/>
    <col min="4121" max="4360" width="11.42578125" style="311"/>
    <col min="4361" max="4362" width="0" style="311" hidden="1" customWidth="1"/>
    <col min="4363" max="4363" width="32.42578125" style="311" customWidth="1"/>
    <col min="4364" max="4376" width="14.5703125" style="311" customWidth="1"/>
    <col min="4377" max="4616" width="11.42578125" style="311"/>
    <col min="4617" max="4618" width="0" style="311" hidden="1" customWidth="1"/>
    <col min="4619" max="4619" width="32.42578125" style="311" customWidth="1"/>
    <col min="4620" max="4632" width="14.5703125" style="311" customWidth="1"/>
    <col min="4633" max="4872" width="11.42578125" style="311"/>
    <col min="4873" max="4874" width="0" style="311" hidden="1" customWidth="1"/>
    <col min="4875" max="4875" width="32.42578125" style="311" customWidth="1"/>
    <col min="4876" max="4888" width="14.5703125" style="311" customWidth="1"/>
    <col min="4889" max="5128" width="11.42578125" style="311"/>
    <col min="5129" max="5130" width="0" style="311" hidden="1" customWidth="1"/>
    <col min="5131" max="5131" width="32.42578125" style="311" customWidth="1"/>
    <col min="5132" max="5144" width="14.5703125" style="311" customWidth="1"/>
    <col min="5145" max="5384" width="11.42578125" style="311"/>
    <col min="5385" max="5386" width="0" style="311" hidden="1" customWidth="1"/>
    <col min="5387" max="5387" width="32.42578125" style="311" customWidth="1"/>
    <col min="5388" max="5400" width="14.5703125" style="311" customWidth="1"/>
    <col min="5401" max="5640" width="11.42578125" style="311"/>
    <col min="5641" max="5642" width="0" style="311" hidden="1" customWidth="1"/>
    <col min="5643" max="5643" width="32.42578125" style="311" customWidth="1"/>
    <col min="5644" max="5656" width="14.5703125" style="311" customWidth="1"/>
    <col min="5657" max="5896" width="11.42578125" style="311"/>
    <col min="5897" max="5898" width="0" style="311" hidden="1" customWidth="1"/>
    <col min="5899" max="5899" width="32.42578125" style="311" customWidth="1"/>
    <col min="5900" max="5912" width="14.5703125" style="311" customWidth="1"/>
    <col min="5913" max="6152" width="11.42578125" style="311"/>
    <col min="6153" max="6154" width="0" style="311" hidden="1" customWidth="1"/>
    <col min="6155" max="6155" width="32.42578125" style="311" customWidth="1"/>
    <col min="6156" max="6168" width="14.5703125" style="311" customWidth="1"/>
    <col min="6169" max="6408" width="11.42578125" style="311"/>
    <col min="6409" max="6410" width="0" style="311" hidden="1" customWidth="1"/>
    <col min="6411" max="6411" width="32.42578125" style="311" customWidth="1"/>
    <col min="6412" max="6424" width="14.5703125" style="311" customWidth="1"/>
    <col min="6425" max="6664" width="11.42578125" style="311"/>
    <col min="6665" max="6666" width="0" style="311" hidden="1" customWidth="1"/>
    <col min="6667" max="6667" width="32.42578125" style="311" customWidth="1"/>
    <col min="6668" max="6680" width="14.5703125" style="311" customWidth="1"/>
    <col min="6681" max="6920" width="11.42578125" style="311"/>
    <col min="6921" max="6922" width="0" style="311" hidden="1" customWidth="1"/>
    <col min="6923" max="6923" width="32.42578125" style="311" customWidth="1"/>
    <col min="6924" max="6936" width="14.5703125" style="311" customWidth="1"/>
    <col min="6937" max="7176" width="11.42578125" style="311"/>
    <col min="7177" max="7178" width="0" style="311" hidden="1" customWidth="1"/>
    <col min="7179" max="7179" width="32.42578125" style="311" customWidth="1"/>
    <col min="7180" max="7192" width="14.5703125" style="311" customWidth="1"/>
    <col min="7193" max="7432" width="11.42578125" style="311"/>
    <col min="7433" max="7434" width="0" style="311" hidden="1" customWidth="1"/>
    <col min="7435" max="7435" width="32.42578125" style="311" customWidth="1"/>
    <col min="7436" max="7448" width="14.5703125" style="311" customWidth="1"/>
    <col min="7449" max="7688" width="11.42578125" style="311"/>
    <col min="7689" max="7690" width="0" style="311" hidden="1" customWidth="1"/>
    <col min="7691" max="7691" width="32.42578125" style="311" customWidth="1"/>
    <col min="7692" max="7704" width="14.5703125" style="311" customWidth="1"/>
    <col min="7705" max="7944" width="11.42578125" style="311"/>
    <col min="7945" max="7946" width="0" style="311" hidden="1" customWidth="1"/>
    <col min="7947" max="7947" width="32.42578125" style="311" customWidth="1"/>
    <col min="7948" max="7960" width="14.5703125" style="311" customWidth="1"/>
    <col min="7961" max="8200" width="11.42578125" style="311"/>
    <col min="8201" max="8202" width="0" style="311" hidden="1" customWidth="1"/>
    <col min="8203" max="8203" width="32.42578125" style="311" customWidth="1"/>
    <col min="8204" max="8216" width="14.5703125" style="311" customWidth="1"/>
    <col min="8217" max="8456" width="11.42578125" style="311"/>
    <col min="8457" max="8458" width="0" style="311" hidden="1" customWidth="1"/>
    <col min="8459" max="8459" width="32.42578125" style="311" customWidth="1"/>
    <col min="8460" max="8472" width="14.5703125" style="311" customWidth="1"/>
    <col min="8473" max="8712" width="11.42578125" style="311"/>
    <col min="8713" max="8714" width="0" style="311" hidden="1" customWidth="1"/>
    <col min="8715" max="8715" width="32.42578125" style="311" customWidth="1"/>
    <col min="8716" max="8728" width="14.5703125" style="311" customWidth="1"/>
    <col min="8729" max="8968" width="11.42578125" style="311"/>
    <col min="8969" max="8970" width="0" style="311" hidden="1" customWidth="1"/>
    <col min="8971" max="8971" width="32.42578125" style="311" customWidth="1"/>
    <col min="8972" max="8984" width="14.5703125" style="311" customWidth="1"/>
    <col min="8985" max="9224" width="11.42578125" style="311"/>
    <col min="9225" max="9226" width="0" style="311" hidden="1" customWidth="1"/>
    <col min="9227" max="9227" width="32.42578125" style="311" customWidth="1"/>
    <col min="9228" max="9240" width="14.5703125" style="311" customWidth="1"/>
    <col min="9241" max="9480" width="11.42578125" style="311"/>
    <col min="9481" max="9482" width="0" style="311" hidden="1" customWidth="1"/>
    <col min="9483" max="9483" width="32.42578125" style="311" customWidth="1"/>
    <col min="9484" max="9496" width="14.5703125" style="311" customWidth="1"/>
    <col min="9497" max="9736" width="11.42578125" style="311"/>
    <col min="9737" max="9738" width="0" style="311" hidden="1" customWidth="1"/>
    <col min="9739" max="9739" width="32.42578125" style="311" customWidth="1"/>
    <col min="9740" max="9752" width="14.5703125" style="311" customWidth="1"/>
    <col min="9753" max="9992" width="11.42578125" style="311"/>
    <col min="9993" max="9994" width="0" style="311" hidden="1" customWidth="1"/>
    <col min="9995" max="9995" width="32.42578125" style="311" customWidth="1"/>
    <col min="9996" max="10008" width="14.5703125" style="311" customWidth="1"/>
    <col min="10009" max="10248" width="11.42578125" style="311"/>
    <col min="10249" max="10250" width="0" style="311" hidden="1" customWidth="1"/>
    <col min="10251" max="10251" width="32.42578125" style="311" customWidth="1"/>
    <col min="10252" max="10264" width="14.5703125" style="311" customWidth="1"/>
    <col min="10265" max="10504" width="11.42578125" style="311"/>
    <col min="10505" max="10506" width="0" style="311" hidden="1" customWidth="1"/>
    <col min="10507" max="10507" width="32.42578125" style="311" customWidth="1"/>
    <col min="10508" max="10520" width="14.5703125" style="311" customWidth="1"/>
    <col min="10521" max="10760" width="11.42578125" style="311"/>
    <col min="10761" max="10762" width="0" style="311" hidden="1" customWidth="1"/>
    <col min="10763" max="10763" width="32.42578125" style="311" customWidth="1"/>
    <col min="10764" max="10776" width="14.5703125" style="311" customWidth="1"/>
    <col min="10777" max="11016" width="11.42578125" style="311"/>
    <col min="11017" max="11018" width="0" style="311" hidden="1" customWidth="1"/>
    <col min="11019" max="11019" width="32.42578125" style="311" customWidth="1"/>
    <col min="11020" max="11032" width="14.5703125" style="311" customWidth="1"/>
    <col min="11033" max="11272" width="11.42578125" style="311"/>
    <col min="11273" max="11274" width="0" style="311" hidden="1" customWidth="1"/>
    <col min="11275" max="11275" width="32.42578125" style="311" customWidth="1"/>
    <col min="11276" max="11288" width="14.5703125" style="311" customWidth="1"/>
    <col min="11289" max="11528" width="11.42578125" style="311"/>
    <col min="11529" max="11530" width="0" style="311" hidden="1" customWidth="1"/>
    <col min="11531" max="11531" width="32.42578125" style="311" customWidth="1"/>
    <col min="11532" max="11544" width="14.5703125" style="311" customWidth="1"/>
    <col min="11545" max="11784" width="11.42578125" style="311"/>
    <col min="11785" max="11786" width="0" style="311" hidden="1" customWidth="1"/>
    <col min="11787" max="11787" width="32.42578125" style="311" customWidth="1"/>
    <col min="11788" max="11800" width="14.5703125" style="311" customWidth="1"/>
    <col min="11801" max="12040" width="11.42578125" style="311"/>
    <col min="12041" max="12042" width="0" style="311" hidden="1" customWidth="1"/>
    <col min="12043" max="12043" width="32.42578125" style="311" customWidth="1"/>
    <col min="12044" max="12056" width="14.5703125" style="311" customWidth="1"/>
    <col min="12057" max="12296" width="11.42578125" style="311"/>
    <col min="12297" max="12298" width="0" style="311" hidden="1" customWidth="1"/>
    <col min="12299" max="12299" width="32.42578125" style="311" customWidth="1"/>
    <col min="12300" max="12312" width="14.5703125" style="311" customWidth="1"/>
    <col min="12313" max="12552" width="11.42578125" style="311"/>
    <col min="12553" max="12554" width="0" style="311" hidden="1" customWidth="1"/>
    <col min="12555" max="12555" width="32.42578125" style="311" customWidth="1"/>
    <col min="12556" max="12568" width="14.5703125" style="311" customWidth="1"/>
    <col min="12569" max="12808" width="11.42578125" style="311"/>
    <col min="12809" max="12810" width="0" style="311" hidden="1" customWidth="1"/>
    <col min="12811" max="12811" width="32.42578125" style="311" customWidth="1"/>
    <col min="12812" max="12824" width="14.5703125" style="311" customWidth="1"/>
    <col min="12825" max="13064" width="11.42578125" style="311"/>
    <col min="13065" max="13066" width="0" style="311" hidden="1" customWidth="1"/>
    <col min="13067" max="13067" width="32.42578125" style="311" customWidth="1"/>
    <col min="13068" max="13080" width="14.5703125" style="311" customWidth="1"/>
    <col min="13081" max="13320" width="11.42578125" style="311"/>
    <col min="13321" max="13322" width="0" style="311" hidden="1" customWidth="1"/>
    <col min="13323" max="13323" width="32.42578125" style="311" customWidth="1"/>
    <col min="13324" max="13336" width="14.5703125" style="311" customWidth="1"/>
    <col min="13337" max="13576" width="11.42578125" style="311"/>
    <col min="13577" max="13578" width="0" style="311" hidden="1" customWidth="1"/>
    <col min="13579" max="13579" width="32.42578125" style="311" customWidth="1"/>
    <col min="13580" max="13592" width="14.5703125" style="311" customWidth="1"/>
    <col min="13593" max="13832" width="11.42578125" style="311"/>
    <col min="13833" max="13834" width="0" style="311" hidden="1" customWidth="1"/>
    <col min="13835" max="13835" width="32.42578125" style="311" customWidth="1"/>
    <col min="13836" max="13848" width="14.5703125" style="311" customWidth="1"/>
    <col min="13849" max="14088" width="11.42578125" style="311"/>
    <col min="14089" max="14090" width="0" style="311" hidden="1" customWidth="1"/>
    <col min="14091" max="14091" width="32.42578125" style="311" customWidth="1"/>
    <col min="14092" max="14104" width="14.5703125" style="311" customWidth="1"/>
    <col min="14105" max="14344" width="11.42578125" style="311"/>
    <col min="14345" max="14346" width="0" style="311" hidden="1" customWidth="1"/>
    <col min="14347" max="14347" width="32.42578125" style="311" customWidth="1"/>
    <col min="14348" max="14360" width="14.5703125" style="311" customWidth="1"/>
    <col min="14361" max="14600" width="11.42578125" style="311"/>
    <col min="14601" max="14602" width="0" style="311" hidden="1" customWidth="1"/>
    <col min="14603" max="14603" width="32.42578125" style="311" customWidth="1"/>
    <col min="14604" max="14616" width="14.5703125" style="311" customWidth="1"/>
    <col min="14617" max="14856" width="11.42578125" style="311"/>
    <col min="14857" max="14858" width="0" style="311" hidden="1" customWidth="1"/>
    <col min="14859" max="14859" width="32.42578125" style="311" customWidth="1"/>
    <col min="14860" max="14872" width="14.5703125" style="311" customWidth="1"/>
    <col min="14873" max="15112" width="11.42578125" style="311"/>
    <col min="15113" max="15114" width="0" style="311" hidden="1" customWidth="1"/>
    <col min="15115" max="15115" width="32.42578125" style="311" customWidth="1"/>
    <col min="15116" max="15128" width="14.5703125" style="311" customWidth="1"/>
    <col min="15129" max="15368" width="11.42578125" style="311"/>
    <col min="15369" max="15370" width="0" style="311" hidden="1" customWidth="1"/>
    <col min="15371" max="15371" width="32.42578125" style="311" customWidth="1"/>
    <col min="15372" max="15384" width="14.5703125" style="311" customWidth="1"/>
    <col min="15385" max="15624" width="11.42578125" style="311"/>
    <col min="15625" max="15626" width="0" style="311" hidden="1" customWidth="1"/>
    <col min="15627" max="15627" width="32.42578125" style="311" customWidth="1"/>
    <col min="15628" max="15640" width="14.5703125" style="311" customWidth="1"/>
    <col min="15641" max="15880" width="11.42578125" style="311"/>
    <col min="15881" max="15882" width="0" style="311" hidden="1" customWidth="1"/>
    <col min="15883" max="15883" width="32.42578125" style="311" customWidth="1"/>
    <col min="15884" max="15896" width="14.5703125" style="311" customWidth="1"/>
    <col min="15897" max="16136" width="11.42578125" style="311"/>
    <col min="16137" max="16138" width="0" style="311" hidden="1" customWidth="1"/>
    <col min="16139" max="16139" width="32.42578125" style="311" customWidth="1"/>
    <col min="16140" max="16152" width="14.5703125" style="311" customWidth="1"/>
    <col min="16153" max="16384" width="11.42578125" style="311"/>
  </cols>
  <sheetData>
    <row r="1" spans="1:37" x14ac:dyDescent="0.2">
      <c r="A1" s="306"/>
      <c r="B1" s="332"/>
      <c r="C1" s="306"/>
      <c r="D1" s="332"/>
      <c r="E1" s="306"/>
      <c r="F1" s="332"/>
      <c r="G1" s="306"/>
      <c r="H1" s="332"/>
      <c r="I1" s="306"/>
      <c r="J1" s="332"/>
      <c r="K1" s="306"/>
      <c r="L1" s="332"/>
      <c r="N1" s="332"/>
      <c r="P1" s="332"/>
      <c r="R1" s="332"/>
      <c r="T1" s="332"/>
      <c r="V1" s="332"/>
    </row>
    <row r="2" spans="1:37" ht="12.75" thickBot="1" x14ac:dyDescent="0.25">
      <c r="B2" s="307"/>
      <c r="C2" s="308"/>
      <c r="D2" s="310"/>
      <c r="E2" s="308"/>
      <c r="F2" s="310" t="s">
        <v>195</v>
      </c>
      <c r="G2" s="310"/>
      <c r="H2" s="310" t="s">
        <v>196</v>
      </c>
      <c r="I2" s="308"/>
      <c r="J2" s="308"/>
      <c r="K2" s="308"/>
      <c r="L2" s="743">
        <f>IF(Datos_Generales!$E$15&gt;0,1,0)</f>
        <v>0</v>
      </c>
      <c r="M2" s="743">
        <f>IF(Datos_Generales!$E$15&gt;1,1,0)</f>
        <v>0</v>
      </c>
      <c r="N2" s="743">
        <f>IF(Datos_Generales!$E$15&gt;2,1,0)</f>
        <v>0</v>
      </c>
      <c r="O2" s="743">
        <f>IF(Datos_Generales!$E$15&gt;3,1,0)</f>
        <v>0</v>
      </c>
      <c r="P2" s="743">
        <f>IF(Datos_Generales!$E$15&gt;4,1,0)</f>
        <v>0</v>
      </c>
      <c r="Q2" s="743">
        <f>IF(Datos_Generales!$E$15&gt;5,1,0)</f>
        <v>0</v>
      </c>
      <c r="R2" s="743">
        <f>IF(Datos_Generales!$E$15&gt;6,1,0)</f>
        <v>0</v>
      </c>
      <c r="S2" s="743">
        <f>IF(Datos_Generales!$E$15&gt;7,1,0)</f>
        <v>0</v>
      </c>
      <c r="T2" s="743">
        <f>IF(Datos_Generales!$E$15&gt;8,1,0)</f>
        <v>0</v>
      </c>
      <c r="U2" s="743">
        <f>IF(Datos_Generales!$E$15&gt;9,1,0)</f>
        <v>0</v>
      </c>
      <c r="V2" s="743">
        <f>IF(Datos_Generales!$E$15&gt;10,1,0)</f>
        <v>0</v>
      </c>
      <c r="W2" s="743">
        <f>IF(Datos_Generales!$E$15&gt;11,1,0)</f>
        <v>0</v>
      </c>
      <c r="X2" s="475">
        <f>SUM(L2:W2)</f>
        <v>0</v>
      </c>
      <c r="Z2" s="743">
        <f>IF(Datos_Generales!$E$15&gt;0,1,0)</f>
        <v>0</v>
      </c>
      <c r="AA2" s="743">
        <f>IF(Datos_Generales!$E$15&gt;1,1,0)</f>
        <v>0</v>
      </c>
      <c r="AB2" s="743">
        <f>IF(Datos_Generales!$E$15&gt;2,1,0)</f>
        <v>0</v>
      </c>
      <c r="AC2" s="743">
        <f>IF(Datos_Generales!$E$15&gt;3,1,0)</f>
        <v>0</v>
      </c>
      <c r="AD2" s="743">
        <f>IF(Datos_Generales!$E$15&gt;4,1,0)</f>
        <v>0</v>
      </c>
      <c r="AE2" s="743">
        <f>IF(Datos_Generales!$E$15&gt;5,1,0)</f>
        <v>0</v>
      </c>
      <c r="AF2" s="743">
        <f>IF(Datos_Generales!$E$15&gt;6,1,0)</f>
        <v>0</v>
      </c>
      <c r="AG2" s="743">
        <f>IF(Datos_Generales!$E$15&gt;7,1,0)</f>
        <v>0</v>
      </c>
      <c r="AH2" s="743">
        <f>IF(Datos_Generales!$E$15&gt;8,1,0)</f>
        <v>0</v>
      </c>
      <c r="AI2" s="743">
        <f>IF(Datos_Generales!$E$15&gt;9,1,0)</f>
        <v>0</v>
      </c>
      <c r="AJ2" s="743">
        <f>IF(Datos_Generales!$E$15&gt;10,1,0)</f>
        <v>0</v>
      </c>
      <c r="AK2" s="743">
        <f>IF(Datos_Generales!$E$15&gt;11,1,0)</f>
        <v>0</v>
      </c>
    </row>
    <row r="3" spans="1:37" x14ac:dyDescent="0.2">
      <c r="B3" s="708" t="s">
        <v>176</v>
      </c>
      <c r="C3" s="310"/>
      <c r="D3" s="708"/>
      <c r="E3" s="310"/>
      <c r="F3" s="808">
        <f>+Datos_Generales!R8+Datos_Generales!R9+Datos_Generales!R10+Datos_Generales!R11+Datos_Generales!R12+Datos_Generales!R13+Datos_Generales!R14+Datos_Generales!R15+Datos_Generales!R16+Datos_Generales!R17</f>
        <v>0</v>
      </c>
      <c r="G3" s="310"/>
      <c r="H3" s="809">
        <f ca="1">+Datos_Generales!S20</f>
        <v>0</v>
      </c>
      <c r="I3" s="310"/>
      <c r="J3" s="708"/>
      <c r="K3" s="310"/>
      <c r="L3" s="810">
        <f>+Datos_Generales!E36</f>
        <v>45596</v>
      </c>
      <c r="M3" s="810">
        <f>+Datos_Generales!F36</f>
        <v>45626</v>
      </c>
      <c r="N3" s="810">
        <f>+Datos_Generales!G36</f>
        <v>45657</v>
      </c>
      <c r="O3" s="810">
        <f>+Datos_Generales!H36</f>
        <v>45688</v>
      </c>
      <c r="P3" s="810">
        <f>+Datos_Generales!I36</f>
        <v>45716</v>
      </c>
      <c r="Q3" s="810">
        <f>+Datos_Generales!J36</f>
        <v>45747</v>
      </c>
      <c r="R3" s="810">
        <f>+Datos_Generales!K36</f>
        <v>45777</v>
      </c>
      <c r="S3" s="810">
        <f>+Datos_Generales!L36</f>
        <v>45808</v>
      </c>
      <c r="T3" s="810">
        <f>+Datos_Generales!M36</f>
        <v>45838</v>
      </c>
      <c r="U3" s="810">
        <f>+Datos_Generales!N36</f>
        <v>45869</v>
      </c>
      <c r="V3" s="810">
        <f>+Datos_Generales!O36</f>
        <v>45900</v>
      </c>
      <c r="W3" s="476">
        <f>+Datos_Generales!P36</f>
        <v>45930</v>
      </c>
      <c r="X3" s="477" t="s">
        <v>177</v>
      </c>
    </row>
    <row r="4" spans="1:37" ht="14.25" customHeight="1" x14ac:dyDescent="0.2">
      <c r="B4" s="744" t="s">
        <v>197</v>
      </c>
      <c r="C4" s="310"/>
      <c r="D4" s="711" t="s">
        <v>198</v>
      </c>
      <c r="E4" s="310"/>
      <c r="F4" s="711" t="s">
        <v>199</v>
      </c>
      <c r="G4" s="310"/>
      <c r="H4" s="711" t="s">
        <v>188</v>
      </c>
      <c r="I4" s="310"/>
      <c r="J4" s="711" t="s">
        <v>53</v>
      </c>
      <c r="K4" s="310"/>
      <c r="L4" s="811">
        <f>IFERROR(IF($B5="","",VLOOKUP(L$3,Meses_Matriz,VLOOKUP(Datos_Generales!$E$12,Tipo_cliente_Matriz,2,FALSE),FALSE)+Datos_Generales!E39),0)</f>
        <v>0</v>
      </c>
      <c r="M4" s="811">
        <f>IFERROR(IF($B5="","",VLOOKUP(M$3,Meses_Matriz,VLOOKUP(Datos_Generales!$E$12,Tipo_cliente_Matriz,2,FALSE),FALSE)+Datos_Generales!F39),0)</f>
        <v>0</v>
      </c>
      <c r="N4" s="811">
        <f>IFERROR(IF($B5="","",VLOOKUP(N$3,Meses_Matriz,VLOOKUP(Datos_Generales!$E$12,Tipo_cliente_Matriz,2,FALSE),FALSE)+Datos_Generales!G39),0)</f>
        <v>0</v>
      </c>
      <c r="O4" s="811">
        <f>IFERROR(IF($B5="","",VLOOKUP(O$3,Meses_Matriz,VLOOKUP(Datos_Generales!$E$12,Tipo_cliente_Matriz,2,FALSE),FALSE)+Datos_Generales!H39),0)</f>
        <v>0</v>
      </c>
      <c r="P4" s="811">
        <f>IFERROR(IF($B5="","",VLOOKUP(P$3,Meses_Matriz,VLOOKUP(Datos_Generales!$E$12,Tipo_cliente_Matriz,2,FALSE),FALSE)+Datos_Generales!I39),0)</f>
        <v>0</v>
      </c>
      <c r="Q4" s="811">
        <f>IFERROR(IF($B5="","",VLOOKUP(Q$3,Meses_Matriz,VLOOKUP(Datos_Generales!$E$12,Tipo_cliente_Matriz,2,FALSE),FALSE)+Datos_Generales!J39),0)</f>
        <v>0</v>
      </c>
      <c r="R4" s="811">
        <f>IFERROR(IF($B5="","",VLOOKUP(R$3,Meses_Matriz,VLOOKUP(Datos_Generales!$E$12,Tipo_cliente_Matriz,2,FALSE),FALSE)+Datos_Generales!K39),0)</f>
        <v>0</v>
      </c>
      <c r="S4" s="811">
        <f>IFERROR(IF($B5="","",VLOOKUP(S$3,Meses_Matriz,VLOOKUP(Datos_Generales!$E$12,Tipo_cliente_Matriz,2,FALSE),FALSE)+Datos_Generales!L39),0)</f>
        <v>0</v>
      </c>
      <c r="T4" s="811">
        <f>IFERROR(IF($B5="","",VLOOKUP(T$3,Meses_Matriz,VLOOKUP(Datos_Generales!$E$12,Tipo_cliente_Matriz,2,FALSE),FALSE)+Datos_Generales!M39),0)</f>
        <v>0</v>
      </c>
      <c r="U4" s="811">
        <f>IFERROR(IF($B5="","",VLOOKUP(U$3,Meses_Matriz,VLOOKUP(Datos_Generales!$E$12,Tipo_cliente_Matriz,2,FALSE),FALSE)+Datos_Generales!N39),0)</f>
        <v>0</v>
      </c>
      <c r="V4" s="811">
        <f>IFERROR(IF($B5="","",VLOOKUP(V$3,Meses_Matriz,VLOOKUP(Datos_Generales!$E$12,Tipo_cliente_Matriz,2,FALSE),FALSE)+Datos_Generales!O39),0)</f>
        <v>0</v>
      </c>
      <c r="W4" s="811">
        <f>IFERROR(IF($B5="","",VLOOKUP(W$3,Meses_Matriz,VLOOKUP(Datos_Generales!$E$12,Tipo_cliente_Matriz,2,FALSE),FALSE)+Datos_Generales!P39),0)</f>
        <v>0</v>
      </c>
      <c r="X4" s="478">
        <f>SUM(L4:W4)</f>
        <v>0</v>
      </c>
    </row>
    <row r="5" spans="1:37" ht="12.75" customHeight="1" x14ac:dyDescent="0.2">
      <c r="A5" s="950" t="s">
        <v>200</v>
      </c>
      <c r="B5" s="747" t="s">
        <v>201</v>
      </c>
      <c r="D5" s="812">
        <f t="shared" ref="D5:D22" si="0">IFERROR(VLOOKUP(B5,Complementos_Matriz,2,FALSE),"")</f>
        <v>0.66</v>
      </c>
      <c r="F5" s="813"/>
      <c r="H5" s="814"/>
      <c r="J5" s="815">
        <f t="shared" ref="J5:J31" si="1">IFERROR((D5+F5)*H5,"")</f>
        <v>0</v>
      </c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479"/>
      <c r="X5" s="480">
        <f t="shared" ref="X5:X31" si="2">SUM(L5:W5)</f>
        <v>0</v>
      </c>
    </row>
    <row r="6" spans="1:37" ht="12.75" customHeight="1" x14ac:dyDescent="0.2">
      <c r="A6" s="950"/>
      <c r="B6" s="747" t="s">
        <v>202</v>
      </c>
      <c r="D6" s="812">
        <f t="shared" si="0"/>
        <v>0.16</v>
      </c>
      <c r="F6" s="813"/>
      <c r="H6" s="814"/>
      <c r="J6" s="815">
        <f t="shared" si="1"/>
        <v>0</v>
      </c>
      <c r="L6" s="816"/>
      <c r="M6" s="816"/>
      <c r="N6" s="816"/>
      <c r="O6" s="816"/>
      <c r="P6" s="816"/>
      <c r="Q6" s="816"/>
      <c r="R6" s="816"/>
      <c r="S6" s="816"/>
      <c r="T6" s="816"/>
      <c r="U6" s="816"/>
      <c r="V6" s="816"/>
      <c r="W6" s="479"/>
      <c r="X6" s="480">
        <f t="shared" si="2"/>
        <v>0</v>
      </c>
    </row>
    <row r="7" spans="1:37" ht="12.75" customHeight="1" x14ac:dyDescent="0.2">
      <c r="A7" s="950"/>
      <c r="B7" s="747" t="s">
        <v>203</v>
      </c>
      <c r="D7" s="812">
        <f t="shared" si="0"/>
        <v>0.7</v>
      </c>
      <c r="F7" s="813"/>
      <c r="H7" s="814"/>
      <c r="J7" s="815">
        <f t="shared" si="1"/>
        <v>0</v>
      </c>
      <c r="L7" s="816"/>
      <c r="M7" s="816"/>
      <c r="N7" s="816"/>
      <c r="O7" s="816"/>
      <c r="P7" s="816"/>
      <c r="Q7" s="816"/>
      <c r="R7" s="816"/>
      <c r="S7" s="816"/>
      <c r="T7" s="816"/>
      <c r="U7" s="816"/>
      <c r="V7" s="816"/>
      <c r="W7" s="479"/>
      <c r="X7" s="480">
        <f t="shared" si="2"/>
        <v>0</v>
      </c>
    </row>
    <row r="8" spans="1:37" ht="12.75" customHeight="1" x14ac:dyDescent="0.2">
      <c r="A8" s="950"/>
      <c r="B8" s="747" t="s">
        <v>204</v>
      </c>
      <c r="D8" s="812">
        <f t="shared" si="0"/>
        <v>0.4</v>
      </c>
      <c r="F8" s="813"/>
      <c r="H8" s="814"/>
      <c r="J8" s="815">
        <f t="shared" si="1"/>
        <v>0</v>
      </c>
      <c r="L8" s="816"/>
      <c r="M8" s="816"/>
      <c r="N8" s="816"/>
      <c r="O8" s="816"/>
      <c r="P8" s="816"/>
      <c r="Q8" s="816"/>
      <c r="R8" s="816"/>
      <c r="S8" s="816"/>
      <c r="T8" s="816"/>
      <c r="U8" s="816"/>
      <c r="V8" s="816"/>
      <c r="W8" s="479"/>
      <c r="X8" s="480">
        <f t="shared" si="2"/>
        <v>0</v>
      </c>
    </row>
    <row r="9" spans="1:37" ht="12.75" customHeight="1" x14ac:dyDescent="0.2">
      <c r="A9" s="950"/>
      <c r="B9" s="747" t="s">
        <v>205</v>
      </c>
      <c r="D9" s="812">
        <f t="shared" si="0"/>
        <v>6</v>
      </c>
      <c r="F9" s="813"/>
      <c r="H9" s="814"/>
      <c r="J9" s="815">
        <f t="shared" si="1"/>
        <v>0</v>
      </c>
      <c r="L9" s="816"/>
      <c r="M9" s="816"/>
      <c r="N9" s="816"/>
      <c r="O9" s="816"/>
      <c r="P9" s="816"/>
      <c r="Q9" s="816"/>
      <c r="R9" s="816"/>
      <c r="S9" s="816"/>
      <c r="T9" s="816"/>
      <c r="U9" s="816"/>
      <c r="V9" s="816"/>
      <c r="W9" s="479"/>
      <c r="X9" s="480">
        <f t="shared" si="2"/>
        <v>0</v>
      </c>
    </row>
    <row r="10" spans="1:37" ht="12.75" customHeight="1" x14ac:dyDescent="0.2">
      <c r="A10" s="950"/>
      <c r="B10" s="747" t="s">
        <v>206</v>
      </c>
      <c r="D10" s="812">
        <f t="shared" si="0"/>
        <v>1.72</v>
      </c>
      <c r="F10" s="813"/>
      <c r="H10" s="814"/>
      <c r="J10" s="815">
        <f t="shared" si="1"/>
        <v>0</v>
      </c>
      <c r="L10" s="816"/>
      <c r="M10" s="816"/>
      <c r="N10" s="816"/>
      <c r="O10" s="816"/>
      <c r="P10" s="816"/>
      <c r="Q10" s="816"/>
      <c r="R10" s="816"/>
      <c r="S10" s="816"/>
      <c r="T10" s="816"/>
      <c r="U10" s="816"/>
      <c r="V10" s="816"/>
      <c r="W10" s="479"/>
      <c r="X10" s="480">
        <f t="shared" si="2"/>
        <v>0</v>
      </c>
    </row>
    <row r="11" spans="1:37" ht="12.75" customHeight="1" x14ac:dyDescent="0.2">
      <c r="A11" s="950"/>
      <c r="B11" s="747" t="s">
        <v>207</v>
      </c>
      <c r="D11" s="812">
        <f t="shared" si="0"/>
        <v>6.25E-2</v>
      </c>
      <c r="F11" s="813"/>
      <c r="H11" s="814"/>
      <c r="J11" s="815">
        <f t="shared" si="1"/>
        <v>0</v>
      </c>
      <c r="L11" s="816"/>
      <c r="M11" s="816"/>
      <c r="N11" s="816"/>
      <c r="O11" s="816"/>
      <c r="P11" s="816"/>
      <c r="Q11" s="816"/>
      <c r="R11" s="816"/>
      <c r="S11" s="816"/>
      <c r="T11" s="816"/>
      <c r="U11" s="816"/>
      <c r="V11" s="816"/>
      <c r="W11" s="479"/>
      <c r="X11" s="480">
        <f t="shared" si="2"/>
        <v>0</v>
      </c>
    </row>
    <row r="12" spans="1:37" ht="12.75" customHeight="1" x14ac:dyDescent="0.2">
      <c r="A12" s="950"/>
      <c r="B12" s="747" t="s">
        <v>205</v>
      </c>
      <c r="D12" s="812">
        <f t="shared" si="0"/>
        <v>6</v>
      </c>
      <c r="F12" s="813"/>
      <c r="H12" s="814"/>
      <c r="J12" s="815">
        <f t="shared" si="1"/>
        <v>0</v>
      </c>
      <c r="K12" s="951" t="s">
        <v>208</v>
      </c>
      <c r="L12" s="816"/>
      <c r="M12" s="816"/>
      <c r="N12" s="816"/>
      <c r="O12" s="816"/>
      <c r="P12" s="816"/>
      <c r="Q12" s="816"/>
      <c r="R12" s="816"/>
      <c r="S12" s="816"/>
      <c r="T12" s="816"/>
      <c r="U12" s="816"/>
      <c r="V12" s="816"/>
      <c r="W12" s="479"/>
      <c r="X12" s="480">
        <f t="shared" si="2"/>
        <v>0</v>
      </c>
    </row>
    <row r="13" spans="1:37" ht="12.75" customHeight="1" x14ac:dyDescent="0.2">
      <c r="A13" s="950"/>
      <c r="B13" s="747" t="s">
        <v>203</v>
      </c>
      <c r="D13" s="812">
        <f t="shared" si="0"/>
        <v>0.7</v>
      </c>
      <c r="F13" s="813"/>
      <c r="H13" s="814"/>
      <c r="J13" s="815">
        <f t="shared" si="1"/>
        <v>0</v>
      </c>
      <c r="K13" s="951"/>
      <c r="L13" s="816"/>
      <c r="M13" s="816"/>
      <c r="N13" s="816"/>
      <c r="O13" s="816"/>
      <c r="P13" s="816"/>
      <c r="Q13" s="816"/>
      <c r="R13" s="816"/>
      <c r="S13" s="816"/>
      <c r="T13" s="816"/>
      <c r="U13" s="816"/>
      <c r="V13" s="816"/>
      <c r="W13" s="479"/>
      <c r="X13" s="480">
        <f t="shared" si="2"/>
        <v>0</v>
      </c>
    </row>
    <row r="14" spans="1:37" ht="12.75" customHeight="1" x14ac:dyDescent="0.2">
      <c r="A14" s="950"/>
      <c r="B14" s="747" t="s">
        <v>209</v>
      </c>
      <c r="D14" s="812">
        <f t="shared" si="0"/>
        <v>0.87</v>
      </c>
      <c r="F14" s="813"/>
      <c r="H14" s="814"/>
      <c r="J14" s="815">
        <f t="shared" si="1"/>
        <v>0</v>
      </c>
      <c r="K14" s="951"/>
      <c r="L14" s="816"/>
      <c r="M14" s="816"/>
      <c r="N14" s="816"/>
      <c r="O14" s="816"/>
      <c r="P14" s="816"/>
      <c r="Q14" s="816"/>
      <c r="R14" s="816"/>
      <c r="S14" s="816"/>
      <c r="T14" s="816"/>
      <c r="U14" s="816"/>
      <c r="V14" s="816"/>
      <c r="W14" s="479"/>
      <c r="X14" s="480">
        <f t="shared" si="2"/>
        <v>0</v>
      </c>
    </row>
    <row r="15" spans="1:37" ht="12.75" customHeight="1" x14ac:dyDescent="0.2">
      <c r="A15" s="950"/>
      <c r="B15" s="747" t="s">
        <v>210</v>
      </c>
      <c r="D15" s="812">
        <f t="shared" si="0"/>
        <v>0.2</v>
      </c>
      <c r="F15" s="813"/>
      <c r="H15" s="814"/>
      <c r="J15" s="815">
        <f t="shared" si="1"/>
        <v>0</v>
      </c>
      <c r="K15" s="951"/>
      <c r="L15" s="816"/>
      <c r="M15" s="816"/>
      <c r="N15" s="816"/>
      <c r="O15" s="816"/>
      <c r="P15" s="816"/>
      <c r="Q15" s="816"/>
      <c r="R15" s="816"/>
      <c r="S15" s="816"/>
      <c r="T15" s="816"/>
      <c r="U15" s="816"/>
      <c r="V15" s="816"/>
      <c r="W15" s="479"/>
      <c r="X15" s="480">
        <f t="shared" si="2"/>
        <v>0</v>
      </c>
    </row>
    <row r="16" spans="1:37" ht="12.75" customHeight="1" x14ac:dyDescent="0.2">
      <c r="A16" s="950"/>
      <c r="B16" s="747" t="s">
        <v>204</v>
      </c>
      <c r="D16" s="812">
        <f t="shared" si="0"/>
        <v>0.4</v>
      </c>
      <c r="F16" s="813"/>
      <c r="H16" s="814"/>
      <c r="J16" s="815">
        <f t="shared" si="1"/>
        <v>0</v>
      </c>
      <c r="K16" s="951"/>
      <c r="L16" s="816"/>
      <c r="M16" s="816"/>
      <c r="N16" s="816"/>
      <c r="O16" s="816"/>
      <c r="P16" s="816"/>
      <c r="Q16" s="816"/>
      <c r="R16" s="816"/>
      <c r="S16" s="816"/>
      <c r="T16" s="816"/>
      <c r="U16" s="816"/>
      <c r="V16" s="816"/>
      <c r="W16" s="479"/>
      <c r="X16" s="480">
        <f t="shared" si="2"/>
        <v>0</v>
      </c>
    </row>
    <row r="17" spans="1:24" ht="12.75" customHeight="1" x14ac:dyDescent="0.2">
      <c r="A17" s="950"/>
      <c r="B17" s="747" t="s">
        <v>211</v>
      </c>
      <c r="D17" s="812">
        <f t="shared" si="0"/>
        <v>0.23</v>
      </c>
      <c r="F17" s="813"/>
      <c r="H17" s="814"/>
      <c r="J17" s="815">
        <f t="shared" si="1"/>
        <v>0</v>
      </c>
      <c r="K17" s="951"/>
      <c r="L17" s="816"/>
      <c r="M17" s="816"/>
      <c r="N17" s="816"/>
      <c r="O17" s="816"/>
      <c r="P17" s="816"/>
      <c r="Q17" s="816"/>
      <c r="R17" s="816"/>
      <c r="S17" s="816"/>
      <c r="T17" s="816"/>
      <c r="U17" s="816"/>
      <c r="V17" s="816"/>
      <c r="W17" s="479"/>
      <c r="X17" s="480">
        <f t="shared" si="2"/>
        <v>0</v>
      </c>
    </row>
    <row r="18" spans="1:24" ht="12.75" customHeight="1" x14ac:dyDescent="0.2">
      <c r="A18" s="950"/>
      <c r="B18" s="747" t="s">
        <v>212</v>
      </c>
      <c r="D18" s="812">
        <f t="shared" si="0"/>
        <v>0.11</v>
      </c>
      <c r="F18" s="813"/>
      <c r="G18" s="481"/>
      <c r="H18" s="814"/>
      <c r="J18" s="817">
        <f t="shared" si="1"/>
        <v>0</v>
      </c>
      <c r="K18" s="951"/>
      <c r="L18" s="816"/>
      <c r="M18" s="816"/>
      <c r="N18" s="816"/>
      <c r="O18" s="816"/>
      <c r="P18" s="816"/>
      <c r="Q18" s="816"/>
      <c r="R18" s="816"/>
      <c r="S18" s="816"/>
      <c r="T18" s="816"/>
      <c r="U18" s="816"/>
      <c r="V18" s="816"/>
      <c r="W18" s="479"/>
      <c r="X18" s="480">
        <f t="shared" si="2"/>
        <v>0</v>
      </c>
    </row>
    <row r="19" spans="1:24" ht="12.75" customHeight="1" x14ac:dyDescent="0.2">
      <c r="A19" s="950"/>
      <c r="B19" s="747" t="s">
        <v>213</v>
      </c>
      <c r="D19" s="812">
        <f t="shared" si="0"/>
        <v>0.3</v>
      </c>
      <c r="F19" s="813"/>
      <c r="G19" s="481"/>
      <c r="H19" s="814"/>
      <c r="J19" s="817">
        <f t="shared" si="1"/>
        <v>0</v>
      </c>
      <c r="K19" s="951"/>
      <c r="L19" s="816"/>
      <c r="M19" s="816"/>
      <c r="N19" s="816"/>
      <c r="O19" s="816"/>
      <c r="P19" s="816"/>
      <c r="Q19" s="816"/>
      <c r="R19" s="816"/>
      <c r="S19" s="816"/>
      <c r="T19" s="816"/>
      <c r="U19" s="816"/>
      <c r="V19" s="816"/>
      <c r="W19" s="479"/>
      <c r="X19" s="480">
        <f t="shared" si="2"/>
        <v>0</v>
      </c>
    </row>
    <row r="20" spans="1:24" ht="12.75" customHeight="1" x14ac:dyDescent="0.2">
      <c r="A20" s="950"/>
      <c r="B20" s="747" t="s">
        <v>214</v>
      </c>
      <c r="D20" s="812">
        <f t="shared" si="0"/>
        <v>8</v>
      </c>
      <c r="F20" s="813"/>
      <c r="G20" s="481"/>
      <c r="H20" s="814"/>
      <c r="J20" s="817">
        <f t="shared" si="1"/>
        <v>0</v>
      </c>
      <c r="K20" s="951"/>
      <c r="L20" s="816"/>
      <c r="M20" s="816"/>
      <c r="N20" s="816"/>
      <c r="O20" s="816"/>
      <c r="P20" s="816"/>
      <c r="Q20" s="816"/>
      <c r="R20" s="816"/>
      <c r="S20" s="816"/>
      <c r="T20" s="816"/>
      <c r="U20" s="816"/>
      <c r="V20" s="816"/>
      <c r="W20" s="479"/>
      <c r="X20" s="480">
        <f t="shared" si="2"/>
        <v>0</v>
      </c>
    </row>
    <row r="21" spans="1:24" ht="12.75" customHeight="1" x14ac:dyDescent="0.2">
      <c r="A21" s="950"/>
      <c r="B21" s="747" t="s">
        <v>215</v>
      </c>
      <c r="D21" s="812">
        <f t="shared" si="0"/>
        <v>1.5</v>
      </c>
      <c r="F21" s="813"/>
      <c r="G21" s="481"/>
      <c r="H21" s="814"/>
      <c r="J21" s="817">
        <f t="shared" si="1"/>
        <v>0</v>
      </c>
      <c r="K21" s="951"/>
      <c r="L21" s="816"/>
      <c r="M21" s="816"/>
      <c r="N21" s="816"/>
      <c r="O21" s="816"/>
      <c r="P21" s="816"/>
      <c r="Q21" s="816"/>
      <c r="R21" s="816"/>
      <c r="S21" s="816"/>
      <c r="T21" s="816"/>
      <c r="U21" s="816"/>
      <c r="V21" s="816"/>
      <c r="W21" s="479"/>
      <c r="X21" s="480">
        <f t="shared" si="2"/>
        <v>0</v>
      </c>
    </row>
    <row r="22" spans="1:24" ht="12.75" customHeight="1" x14ac:dyDescent="0.2">
      <c r="A22" s="950"/>
      <c r="B22" s="747"/>
      <c r="D22" s="812" t="str">
        <f t="shared" si="0"/>
        <v/>
      </c>
      <c r="F22" s="813"/>
      <c r="G22" s="481"/>
      <c r="H22" s="814"/>
      <c r="J22" s="817" t="str">
        <f t="shared" si="1"/>
        <v/>
      </c>
      <c r="K22" s="951"/>
      <c r="L22" s="816"/>
      <c r="M22" s="816"/>
      <c r="N22" s="816"/>
      <c r="O22" s="816"/>
      <c r="P22" s="816"/>
      <c r="Q22" s="816"/>
      <c r="R22" s="816"/>
      <c r="S22" s="816"/>
      <c r="T22" s="816"/>
      <c r="U22" s="816"/>
      <c r="V22" s="816"/>
      <c r="W22" s="479"/>
      <c r="X22" s="480">
        <f t="shared" si="2"/>
        <v>0</v>
      </c>
    </row>
    <row r="23" spans="1:24" ht="12.75" customHeight="1" x14ac:dyDescent="0.2">
      <c r="A23" s="950"/>
      <c r="B23" s="818"/>
      <c r="D23" s="819"/>
      <c r="F23" s="820"/>
      <c r="G23" s="481"/>
      <c r="H23" s="821"/>
      <c r="J23" s="817">
        <f t="shared" si="1"/>
        <v>0</v>
      </c>
      <c r="K23" s="951"/>
      <c r="L23" s="816"/>
      <c r="M23" s="816"/>
      <c r="N23" s="816"/>
      <c r="O23" s="816"/>
      <c r="P23" s="816"/>
      <c r="Q23" s="816"/>
      <c r="R23" s="816"/>
      <c r="S23" s="816"/>
      <c r="T23" s="816"/>
      <c r="U23" s="816"/>
      <c r="V23" s="816"/>
      <c r="W23" s="479"/>
      <c r="X23" s="480">
        <f t="shared" si="2"/>
        <v>0</v>
      </c>
    </row>
    <row r="24" spans="1:24" ht="12.75" customHeight="1" x14ac:dyDescent="0.2">
      <c r="A24" s="950"/>
      <c r="B24" s="818"/>
      <c r="D24" s="819"/>
      <c r="F24" s="820"/>
      <c r="G24" s="481"/>
      <c r="H24" s="821"/>
      <c r="J24" s="817">
        <f t="shared" si="1"/>
        <v>0</v>
      </c>
      <c r="K24" s="951"/>
      <c r="L24" s="816"/>
      <c r="M24" s="816"/>
      <c r="N24" s="816"/>
      <c r="O24" s="816"/>
      <c r="P24" s="816"/>
      <c r="Q24" s="816"/>
      <c r="R24" s="816"/>
      <c r="S24" s="816"/>
      <c r="T24" s="816"/>
      <c r="U24" s="816"/>
      <c r="V24" s="816"/>
      <c r="W24" s="479"/>
      <c r="X24" s="480">
        <f t="shared" si="2"/>
        <v>0</v>
      </c>
    </row>
    <row r="25" spans="1:24" ht="12.75" customHeight="1" x14ac:dyDescent="0.2">
      <c r="A25" s="950"/>
      <c r="B25" s="818"/>
      <c r="D25" s="819"/>
      <c r="F25" s="820"/>
      <c r="G25" s="481"/>
      <c r="H25" s="821"/>
      <c r="J25" s="817">
        <f t="shared" si="1"/>
        <v>0</v>
      </c>
      <c r="K25" s="951"/>
      <c r="L25" s="816"/>
      <c r="M25" s="816"/>
      <c r="N25" s="816"/>
      <c r="O25" s="816"/>
      <c r="P25" s="816"/>
      <c r="Q25" s="816"/>
      <c r="R25" s="816"/>
      <c r="S25" s="816"/>
      <c r="T25" s="816"/>
      <c r="U25" s="816"/>
      <c r="V25" s="816"/>
      <c r="W25" s="479"/>
      <c r="X25" s="480">
        <f t="shared" si="2"/>
        <v>0</v>
      </c>
    </row>
    <row r="26" spans="1:24" ht="12.75" customHeight="1" x14ac:dyDescent="0.2">
      <c r="A26" s="950"/>
      <c r="B26" s="818"/>
      <c r="D26" s="819"/>
      <c r="F26" s="820"/>
      <c r="G26" s="481"/>
      <c r="H26" s="821"/>
      <c r="J26" s="817">
        <f t="shared" si="1"/>
        <v>0</v>
      </c>
      <c r="K26" s="951"/>
      <c r="L26" s="816"/>
      <c r="M26" s="816"/>
      <c r="N26" s="816"/>
      <c r="O26" s="816"/>
      <c r="P26" s="816"/>
      <c r="Q26" s="816"/>
      <c r="R26" s="816"/>
      <c r="S26" s="816"/>
      <c r="T26" s="816"/>
      <c r="U26" s="816"/>
      <c r="V26" s="816"/>
      <c r="W26" s="479"/>
      <c r="X26" s="480">
        <f t="shared" si="2"/>
        <v>0</v>
      </c>
    </row>
    <row r="27" spans="1:24" ht="12.75" customHeight="1" x14ac:dyDescent="0.2">
      <c r="A27" s="950"/>
      <c r="B27" s="818"/>
      <c r="D27" s="819"/>
      <c r="F27" s="820"/>
      <c r="G27" s="481"/>
      <c r="H27" s="821"/>
      <c r="J27" s="817">
        <f t="shared" si="1"/>
        <v>0</v>
      </c>
      <c r="K27" s="310" t="s">
        <v>186</v>
      </c>
      <c r="L27" s="816"/>
      <c r="M27" s="816"/>
      <c r="N27" s="816"/>
      <c r="O27" s="816"/>
      <c r="P27" s="816"/>
      <c r="Q27" s="816"/>
      <c r="R27" s="816"/>
      <c r="S27" s="816"/>
      <c r="T27" s="816"/>
      <c r="U27" s="816"/>
      <c r="V27" s="816"/>
      <c r="W27" s="479"/>
      <c r="X27" s="480">
        <f t="shared" si="2"/>
        <v>0</v>
      </c>
    </row>
    <row r="28" spans="1:24" ht="12.75" customHeight="1" x14ac:dyDescent="0.2">
      <c r="A28" s="950"/>
      <c r="B28" s="818"/>
      <c r="D28" s="819"/>
      <c r="F28" s="820"/>
      <c r="G28" s="481"/>
      <c r="H28" s="821"/>
      <c r="J28" s="817">
        <f t="shared" si="1"/>
        <v>0</v>
      </c>
      <c r="K28" s="936">
        <f ca="1">+Presupuesto_Final2!$G$37</f>
        <v>0</v>
      </c>
      <c r="L28" s="816"/>
      <c r="M28" s="816"/>
      <c r="N28" s="816"/>
      <c r="O28" s="816"/>
      <c r="P28" s="816"/>
      <c r="Q28" s="816"/>
      <c r="R28" s="816"/>
      <c r="S28" s="816"/>
      <c r="T28" s="816"/>
      <c r="U28" s="816"/>
      <c r="V28" s="816"/>
      <c r="W28" s="479"/>
      <c r="X28" s="480">
        <f t="shared" si="2"/>
        <v>0</v>
      </c>
    </row>
    <row r="29" spans="1:24" ht="12.75" customHeight="1" x14ac:dyDescent="0.2">
      <c r="A29" s="950"/>
      <c r="B29" s="818"/>
      <c r="D29" s="819"/>
      <c r="F29" s="820"/>
      <c r="G29" s="481"/>
      <c r="H29" s="821"/>
      <c r="J29" s="817">
        <f t="shared" si="1"/>
        <v>0</v>
      </c>
      <c r="K29" s="937"/>
      <c r="L29" s="816"/>
      <c r="M29" s="816"/>
      <c r="N29" s="816"/>
      <c r="O29" s="816"/>
      <c r="P29" s="816"/>
      <c r="Q29" s="816"/>
      <c r="R29" s="816"/>
      <c r="S29" s="816"/>
      <c r="T29" s="816"/>
      <c r="U29" s="816"/>
      <c r="V29" s="816"/>
      <c r="W29" s="479"/>
      <c r="X29" s="480">
        <f t="shared" si="2"/>
        <v>0</v>
      </c>
    </row>
    <row r="30" spans="1:24" ht="12.75" customHeight="1" x14ac:dyDescent="0.2">
      <c r="A30" s="950"/>
      <c r="B30" s="818"/>
      <c r="D30" s="819"/>
      <c r="F30" s="820"/>
      <c r="G30" s="481"/>
      <c r="H30" s="821"/>
      <c r="J30" s="817">
        <f t="shared" si="1"/>
        <v>0</v>
      </c>
      <c r="K30" s="937"/>
      <c r="L30" s="816"/>
      <c r="M30" s="816"/>
      <c r="N30" s="816"/>
      <c r="O30" s="816"/>
      <c r="P30" s="816"/>
      <c r="Q30" s="816"/>
      <c r="R30" s="816"/>
      <c r="S30" s="816"/>
      <c r="T30" s="816"/>
      <c r="U30" s="816"/>
      <c r="V30" s="816"/>
      <c r="W30" s="479"/>
      <c r="X30" s="480">
        <f t="shared" si="2"/>
        <v>0</v>
      </c>
    </row>
    <row r="31" spans="1:24" ht="12.75" customHeight="1" x14ac:dyDescent="0.2">
      <c r="A31" s="950"/>
      <c r="B31" s="818"/>
      <c r="D31" s="819"/>
      <c r="F31" s="820"/>
      <c r="G31" s="481"/>
      <c r="H31" s="821"/>
      <c r="J31" s="817">
        <f t="shared" si="1"/>
        <v>0</v>
      </c>
      <c r="K31" s="937"/>
      <c r="L31" s="816"/>
      <c r="M31" s="816"/>
      <c r="N31" s="816"/>
      <c r="O31" s="816"/>
      <c r="P31" s="816"/>
      <c r="Q31" s="816"/>
      <c r="R31" s="816"/>
      <c r="S31" s="816"/>
      <c r="T31" s="816"/>
      <c r="U31" s="816"/>
      <c r="V31" s="816"/>
      <c r="W31" s="479"/>
      <c r="X31" s="480">
        <f t="shared" si="2"/>
        <v>0</v>
      </c>
    </row>
    <row r="32" spans="1:24" ht="23.25" customHeight="1" thickBot="1" x14ac:dyDescent="0.25">
      <c r="A32" s="482"/>
      <c r="B32" s="483"/>
      <c r="C32" s="483"/>
      <c r="D32" s="484"/>
      <c r="E32" s="483"/>
      <c r="F32" s="485"/>
      <c r="G32" s="483"/>
      <c r="H32" s="486" t="s">
        <v>216</v>
      </c>
      <c r="I32" s="483"/>
      <c r="J32" s="822">
        <f>SUM(J5:J31)</f>
        <v>0</v>
      </c>
      <c r="K32" s="937"/>
      <c r="L32" s="711">
        <f>SUMPRODUCT($D$5:$D$31,L5:L31)+SUMPRODUCT($F$5:$F$31,L5:L31)</f>
        <v>0</v>
      </c>
      <c r="M32" s="711">
        <f t="shared" ref="M32:W32" si="3">SUMPRODUCT($D$5:$D$31,M5:M31)+SUMPRODUCT($F$5:$F$31,M5:M31)</f>
        <v>0</v>
      </c>
      <c r="N32" s="711">
        <f t="shared" si="3"/>
        <v>0</v>
      </c>
      <c r="O32" s="711">
        <f t="shared" si="3"/>
        <v>0</v>
      </c>
      <c r="P32" s="711">
        <f t="shared" si="3"/>
        <v>0</v>
      </c>
      <c r="Q32" s="711">
        <f t="shared" si="3"/>
        <v>0</v>
      </c>
      <c r="R32" s="711">
        <f t="shared" si="3"/>
        <v>0</v>
      </c>
      <c r="S32" s="711">
        <f t="shared" si="3"/>
        <v>0</v>
      </c>
      <c r="T32" s="711">
        <f t="shared" si="3"/>
        <v>0</v>
      </c>
      <c r="U32" s="711">
        <f t="shared" si="3"/>
        <v>0</v>
      </c>
      <c r="V32" s="711">
        <f t="shared" si="3"/>
        <v>0</v>
      </c>
      <c r="W32" s="711">
        <f t="shared" si="3"/>
        <v>0</v>
      </c>
      <c r="X32" s="488">
        <f>SUM(L32:W32)</f>
        <v>0</v>
      </c>
    </row>
    <row r="33" spans="1:24" x14ac:dyDescent="0.2">
      <c r="A33" s="482"/>
      <c r="B33" s="483"/>
      <c r="C33" s="483"/>
      <c r="D33" s="484"/>
      <c r="E33" s="483"/>
      <c r="F33" s="485"/>
      <c r="G33" s="483"/>
      <c r="H33" s="486"/>
      <c r="I33" s="483"/>
      <c r="J33" s="489"/>
      <c r="K33" s="938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490"/>
    </row>
    <row r="34" spans="1:24" x14ac:dyDescent="0.2">
      <c r="A34" s="482"/>
      <c r="B34" s="483"/>
      <c r="C34" s="483"/>
      <c r="D34" s="484"/>
      <c r="E34" s="483"/>
      <c r="F34" s="485"/>
      <c r="G34" s="483"/>
      <c r="H34" s="486"/>
      <c r="I34" s="483"/>
      <c r="J34" s="489"/>
      <c r="K34" s="483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490"/>
    </row>
    <row r="35" spans="1:24" ht="12.75" thickBot="1" x14ac:dyDescent="0.25">
      <c r="A35" s="482"/>
      <c r="D35" s="491"/>
      <c r="F35" s="492"/>
      <c r="H35" s="492"/>
      <c r="J35" s="492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490"/>
    </row>
    <row r="36" spans="1:24" x14ac:dyDescent="0.2">
      <c r="B36" s="708"/>
      <c r="C36" s="310"/>
      <c r="D36" s="708"/>
      <c r="E36" s="310"/>
      <c r="F36" s="708"/>
      <c r="G36" s="310"/>
      <c r="H36" s="708"/>
      <c r="I36" s="310"/>
      <c r="J36" s="708"/>
      <c r="K36" s="310"/>
      <c r="L36" s="810">
        <f>+Datos_Generales!E36</f>
        <v>45596</v>
      </c>
      <c r="M36" s="810">
        <f>+Datos_Generales!F36</f>
        <v>45626</v>
      </c>
      <c r="N36" s="810">
        <f>+Datos_Generales!G36</f>
        <v>45657</v>
      </c>
      <c r="O36" s="810">
        <f>+Datos_Generales!H36</f>
        <v>45688</v>
      </c>
      <c r="P36" s="810">
        <f>+Datos_Generales!I36</f>
        <v>45716</v>
      </c>
      <c r="Q36" s="810">
        <f>+Datos_Generales!J36</f>
        <v>45747</v>
      </c>
      <c r="R36" s="810">
        <f>+Datos_Generales!K36</f>
        <v>45777</v>
      </c>
      <c r="S36" s="810">
        <f>+Datos_Generales!L36</f>
        <v>45808</v>
      </c>
      <c r="T36" s="810">
        <f>+Datos_Generales!M36</f>
        <v>45838</v>
      </c>
      <c r="U36" s="810">
        <f>+Datos_Generales!N36</f>
        <v>45869</v>
      </c>
      <c r="V36" s="810">
        <f>+Datos_Generales!O36</f>
        <v>45900</v>
      </c>
      <c r="W36" s="476">
        <f>+Datos_Generales!P36</f>
        <v>45930</v>
      </c>
      <c r="X36" s="493">
        <f>+Datos_Generales!Q36</f>
        <v>0</v>
      </c>
    </row>
    <row r="37" spans="1:24" ht="18.75" customHeight="1" x14ac:dyDescent="0.2">
      <c r="B37" s="744" t="s">
        <v>217</v>
      </c>
      <c r="C37" s="310"/>
      <c r="D37" s="711" t="s">
        <v>198</v>
      </c>
      <c r="E37" s="310"/>
      <c r="F37" s="711" t="s">
        <v>218</v>
      </c>
      <c r="G37" s="310"/>
      <c r="H37" s="711" t="s">
        <v>219</v>
      </c>
      <c r="I37" s="310"/>
      <c r="J37" s="711" t="s">
        <v>53</v>
      </c>
      <c r="K37" s="310"/>
      <c r="L37" s="811">
        <f>+L4</f>
        <v>0</v>
      </c>
      <c r="M37" s="811">
        <f t="shared" ref="M37:W37" si="4">+M4</f>
        <v>0</v>
      </c>
      <c r="N37" s="811">
        <f t="shared" si="4"/>
        <v>0</v>
      </c>
      <c r="O37" s="811">
        <f t="shared" si="4"/>
        <v>0</v>
      </c>
      <c r="P37" s="811">
        <f t="shared" si="4"/>
        <v>0</v>
      </c>
      <c r="Q37" s="811">
        <f t="shared" si="4"/>
        <v>0</v>
      </c>
      <c r="R37" s="811">
        <f t="shared" si="4"/>
        <v>0</v>
      </c>
      <c r="S37" s="811">
        <f t="shared" si="4"/>
        <v>0</v>
      </c>
      <c r="T37" s="811">
        <f t="shared" si="4"/>
        <v>0</v>
      </c>
      <c r="U37" s="811">
        <f t="shared" si="4"/>
        <v>0</v>
      </c>
      <c r="V37" s="811">
        <f t="shared" si="4"/>
        <v>0</v>
      </c>
      <c r="W37" s="811">
        <f t="shared" si="4"/>
        <v>0</v>
      </c>
      <c r="X37" s="478">
        <f>SUM(L37:W37)</f>
        <v>0</v>
      </c>
    </row>
    <row r="38" spans="1:24" ht="13.5" customHeight="1" x14ac:dyDescent="0.2">
      <c r="A38" s="950" t="s">
        <v>220</v>
      </c>
      <c r="B38" s="823" t="s">
        <v>221</v>
      </c>
      <c r="D38" s="824">
        <f>IFERROR(VLOOKUP(B38,Variables_Matriz,2,FALSE),"")</f>
        <v>628</v>
      </c>
      <c r="F38" s="746"/>
      <c r="H38" s="814"/>
      <c r="J38" s="815">
        <f>IFERROR(IF(F38="SI",H38*D38,0),0)</f>
        <v>0</v>
      </c>
      <c r="L38" s="816"/>
      <c r="M38" s="816"/>
      <c r="N38" s="816"/>
      <c r="O38" s="816"/>
      <c r="P38" s="816"/>
      <c r="Q38" s="816"/>
      <c r="R38" s="816"/>
      <c r="S38" s="816"/>
      <c r="T38" s="816"/>
      <c r="U38" s="816"/>
      <c r="V38" s="816"/>
      <c r="W38" s="816"/>
      <c r="X38" s="480">
        <f t="shared" ref="X38:X64" si="5">SUM(L38:W38)</f>
        <v>0</v>
      </c>
    </row>
    <row r="39" spans="1:24" ht="13.5" customHeight="1" x14ac:dyDescent="0.2">
      <c r="A39" s="950"/>
      <c r="B39" s="823" t="s">
        <v>222</v>
      </c>
      <c r="D39" s="824">
        <f>IFERROR(VLOOKUP(B39,Variables_Matriz,2,FALSE),"")</f>
        <v>170</v>
      </c>
      <c r="F39" s="746"/>
      <c r="H39" s="814"/>
      <c r="J39" s="815">
        <f>IFERROR(IF(F39="SI",H39*D39,0),0)</f>
        <v>0</v>
      </c>
      <c r="L39" s="816"/>
      <c r="M39" s="816"/>
      <c r="N39" s="816"/>
      <c r="O39" s="816"/>
      <c r="P39" s="816"/>
      <c r="Q39" s="816"/>
      <c r="R39" s="816"/>
      <c r="S39" s="816"/>
      <c r="T39" s="816"/>
      <c r="U39" s="816"/>
      <c r="V39" s="816"/>
      <c r="W39" s="816"/>
      <c r="X39" s="480">
        <f t="shared" si="5"/>
        <v>0</v>
      </c>
    </row>
    <row r="40" spans="1:24" ht="13.5" customHeight="1" x14ac:dyDescent="0.2">
      <c r="A40" s="950"/>
      <c r="B40" s="825" t="str">
        <f>CONCATENATE("Suministros ",Datos_Generales!E11," ",Datos_Generales!E13)</f>
        <v xml:space="preserve">Suministros  </v>
      </c>
      <c r="D40" s="826">
        <f>IFERROR(VLOOKUP(B40,Variables_Matriz,2,FALSE),0.02)</f>
        <v>0.02</v>
      </c>
      <c r="F40" s="827" t="s">
        <v>223</v>
      </c>
      <c r="H40" s="828">
        <f>+Datos_Generales!S21</f>
        <v>0</v>
      </c>
      <c r="J40" s="829">
        <f t="shared" ref="J40:J64" si="6">IFERROR(IF(F40="SI",H40*D40,0),0)</f>
        <v>0</v>
      </c>
      <c r="L40" s="816"/>
      <c r="M40" s="816"/>
      <c r="N40" s="816"/>
      <c r="O40" s="816"/>
      <c r="P40" s="816"/>
      <c r="Q40" s="816"/>
      <c r="R40" s="816"/>
      <c r="S40" s="816"/>
      <c r="T40" s="816"/>
      <c r="U40" s="816"/>
      <c r="V40" s="816"/>
      <c r="W40" s="816"/>
      <c r="X40" s="480">
        <f t="shared" si="5"/>
        <v>0</v>
      </c>
    </row>
    <row r="41" spans="1:24" ht="13.5" customHeight="1" x14ac:dyDescent="0.2">
      <c r="A41" s="950"/>
      <c r="B41" s="823" t="s">
        <v>224</v>
      </c>
      <c r="D41" s="830">
        <v>300</v>
      </c>
      <c r="E41" s="317"/>
      <c r="F41" s="758" t="s">
        <v>98</v>
      </c>
      <c r="H41" s="814"/>
      <c r="J41" s="815">
        <f>IFERROR(IF(F41="SI",H41*D41,0),0)</f>
        <v>0</v>
      </c>
      <c r="L41" s="816"/>
      <c r="M41" s="816"/>
      <c r="N41" s="816"/>
      <c r="O41" s="816"/>
      <c r="P41" s="816"/>
      <c r="Q41" s="816"/>
      <c r="R41" s="816"/>
      <c r="S41" s="816"/>
      <c r="T41" s="816"/>
      <c r="U41" s="816"/>
      <c r="V41" s="816"/>
      <c r="W41" s="816"/>
      <c r="X41" s="480">
        <f t="shared" si="5"/>
        <v>0</v>
      </c>
    </row>
    <row r="42" spans="1:24" ht="13.5" customHeight="1" x14ac:dyDescent="0.2">
      <c r="A42" s="950"/>
      <c r="B42" s="825" t="str">
        <f>CONCATENATE("Limpieza ",Datos_Generales!E11," ",Datos_Generales!E13)</f>
        <v xml:space="preserve">Limpieza  </v>
      </c>
      <c r="D42" s="826" t="str">
        <f t="shared" ref="D42:D48" si="7">IFERROR(VLOOKUP(B42,Variables_Matriz,2,FALSE),"")</f>
        <v/>
      </c>
      <c r="F42" s="827" t="s">
        <v>223</v>
      </c>
      <c r="H42" s="828">
        <f>+IF(F42="REDUCIDO",Datos_Generales!S21/2,Datos_Generales!S21)</f>
        <v>0</v>
      </c>
      <c r="J42" s="829">
        <f>IFERROR(IF(F42="NO",0,H42*D42),0)</f>
        <v>0</v>
      </c>
      <c r="L42" s="816"/>
      <c r="M42" s="816"/>
      <c r="N42" s="816"/>
      <c r="O42" s="816"/>
      <c r="P42" s="816"/>
      <c r="Q42" s="816"/>
      <c r="R42" s="816"/>
      <c r="S42" s="816"/>
      <c r="T42" s="816"/>
      <c r="U42" s="816"/>
      <c r="V42" s="816"/>
      <c r="W42" s="816"/>
      <c r="X42" s="480">
        <f t="shared" si="5"/>
        <v>0</v>
      </c>
    </row>
    <row r="43" spans="1:24" ht="13.5" customHeight="1" x14ac:dyDescent="0.2">
      <c r="A43" s="950"/>
      <c r="B43" s="823" t="s">
        <v>225</v>
      </c>
      <c r="D43" s="824">
        <f t="shared" si="7"/>
        <v>2.5000000000000001E-2</v>
      </c>
      <c r="F43" s="746" t="s">
        <v>226</v>
      </c>
      <c r="H43" s="831">
        <f>+IF(F43="REDUCIDO",Datos_Generales!S21/2,Datos_Generales!S21)</f>
        <v>0</v>
      </c>
      <c r="J43" s="815">
        <f>IFERROR(IF(F43="NO",0,H43*D43),0)</f>
        <v>0</v>
      </c>
      <c r="L43" s="816"/>
      <c r="M43" s="816"/>
      <c r="N43" s="816"/>
      <c r="O43" s="816"/>
      <c r="P43" s="816"/>
      <c r="Q43" s="816"/>
      <c r="R43" s="816"/>
      <c r="S43" s="816"/>
      <c r="T43" s="816"/>
      <c r="U43" s="816"/>
      <c r="V43" s="816"/>
      <c r="W43" s="816"/>
      <c r="X43" s="480">
        <f t="shared" si="5"/>
        <v>0</v>
      </c>
    </row>
    <row r="44" spans="1:24" ht="13.5" customHeight="1" x14ac:dyDescent="0.2">
      <c r="A44" s="950"/>
      <c r="B44" s="823" t="s">
        <v>227</v>
      </c>
      <c r="D44" s="824">
        <f t="shared" si="7"/>
        <v>100</v>
      </c>
      <c r="F44" s="746"/>
      <c r="H44" s="814">
        <v>0</v>
      </c>
      <c r="J44" s="815">
        <f>IFERROR(IF(F45="SI",H44*D44,0),0)</f>
        <v>0</v>
      </c>
      <c r="L44" s="816"/>
      <c r="M44" s="816"/>
      <c r="N44" s="816"/>
      <c r="O44" s="816"/>
      <c r="P44" s="816"/>
      <c r="Q44" s="816"/>
      <c r="R44" s="816"/>
      <c r="S44" s="816"/>
      <c r="T44" s="816"/>
      <c r="U44" s="816"/>
      <c r="V44" s="816"/>
      <c r="W44" s="816"/>
      <c r="X44" s="480">
        <f t="shared" si="5"/>
        <v>0</v>
      </c>
    </row>
    <row r="45" spans="1:24" ht="13.5" customHeight="1" x14ac:dyDescent="0.2">
      <c r="A45" s="950"/>
      <c r="B45" s="823" t="s">
        <v>228</v>
      </c>
      <c r="D45" s="832">
        <f t="shared" si="7"/>
        <v>1.7999999999999999E-2</v>
      </c>
      <c r="F45" s="746" t="s">
        <v>223</v>
      </c>
      <c r="H45" s="814">
        <f>+Presupuesto_Final2!D2</f>
        <v>0</v>
      </c>
      <c r="J45" s="815">
        <f>IFERROR(IF(F45="SI",H45*D45,0),0)</f>
        <v>0</v>
      </c>
      <c r="K45" s="310" t="s">
        <v>186</v>
      </c>
      <c r="L45" s="816"/>
      <c r="M45" s="816"/>
      <c r="N45" s="816"/>
      <c r="O45" s="816"/>
      <c r="P45" s="816"/>
      <c r="Q45" s="816"/>
      <c r="R45" s="816"/>
      <c r="S45" s="816"/>
      <c r="T45" s="816"/>
      <c r="U45" s="816"/>
      <c r="V45" s="816"/>
      <c r="W45" s="816"/>
      <c r="X45" s="480">
        <f t="shared" si="5"/>
        <v>0</v>
      </c>
    </row>
    <row r="46" spans="1:24" ht="13.5" customHeight="1" x14ac:dyDescent="0.2">
      <c r="A46" s="950"/>
      <c r="B46" s="833" t="str">
        <f>+Datos_Generales!I14</f>
        <v>GESTION APPCC</v>
      </c>
      <c r="C46" s="483"/>
      <c r="D46" s="834">
        <f>+Datos_Generales!L14</f>
        <v>0</v>
      </c>
      <c r="E46" s="483"/>
      <c r="F46" s="835">
        <f>+Datos_Generales!K14</f>
        <v>0</v>
      </c>
      <c r="H46" s="836">
        <f>IF(F46="si",1,0)</f>
        <v>0</v>
      </c>
      <c r="J46" s="815">
        <f>IFERROR(IF(F46="SI",H46*D46,0),0)</f>
        <v>0</v>
      </c>
      <c r="K46" s="936">
        <f ca="1">+Presupuesto_Final2!$G$37</f>
        <v>0</v>
      </c>
      <c r="L46" s="816"/>
      <c r="M46" s="816"/>
      <c r="N46" s="816"/>
      <c r="O46" s="816"/>
      <c r="P46" s="816"/>
      <c r="Q46" s="816"/>
      <c r="R46" s="816"/>
      <c r="S46" s="816"/>
      <c r="T46" s="816"/>
      <c r="U46" s="816"/>
      <c r="V46" s="816"/>
      <c r="W46" s="816"/>
      <c r="X46" s="480">
        <f t="shared" si="5"/>
        <v>0</v>
      </c>
    </row>
    <row r="47" spans="1:24" ht="13.5" customHeight="1" x14ac:dyDescent="0.2">
      <c r="A47" s="950"/>
      <c r="B47" s="833" t="str">
        <f>+Datos_Generales!I15</f>
        <v>PLAGAS</v>
      </c>
      <c r="C47" s="483"/>
      <c r="D47" s="834">
        <f>+Datos_Generales!L15</f>
        <v>0</v>
      </c>
      <c r="E47" s="483"/>
      <c r="F47" s="835">
        <f>+Datos_Generales!K15</f>
        <v>0</v>
      </c>
      <c r="H47" s="836">
        <f>IF(F47="si",1,0)</f>
        <v>0</v>
      </c>
      <c r="J47" s="815">
        <f t="shared" si="6"/>
        <v>0</v>
      </c>
      <c r="K47" s="937"/>
      <c r="L47" s="816"/>
      <c r="M47" s="816"/>
      <c r="N47" s="816"/>
      <c r="O47" s="816"/>
      <c r="P47" s="816"/>
      <c r="Q47" s="816"/>
      <c r="R47" s="816"/>
      <c r="S47" s="816"/>
      <c r="T47" s="816"/>
      <c r="U47" s="816"/>
      <c r="V47" s="816"/>
      <c r="W47" s="816"/>
      <c r="X47" s="480">
        <f t="shared" si="5"/>
        <v>0</v>
      </c>
    </row>
    <row r="48" spans="1:24" ht="13.5" customHeight="1" x14ac:dyDescent="0.2">
      <c r="A48" s="950"/>
      <c r="B48" s="825" t="str">
        <f>CONCATENATE("Mto Equipos ",Datos_Generales!E11," ",Datos_Generales!E13)</f>
        <v xml:space="preserve">Mto Equipos  </v>
      </c>
      <c r="D48" s="826" t="str">
        <f t="shared" si="7"/>
        <v/>
      </c>
      <c r="F48" s="827" t="s">
        <v>98</v>
      </c>
      <c r="H48" s="828">
        <f>+Datos_Generales!S21</f>
        <v>0</v>
      </c>
      <c r="J48" s="829">
        <f t="shared" si="6"/>
        <v>0</v>
      </c>
      <c r="K48" s="937"/>
      <c r="L48" s="816"/>
      <c r="M48" s="816"/>
      <c r="N48" s="816"/>
      <c r="O48" s="816"/>
      <c r="P48" s="816"/>
      <c r="Q48" s="816"/>
      <c r="R48" s="816"/>
      <c r="S48" s="816"/>
      <c r="T48" s="816"/>
      <c r="U48" s="816"/>
      <c r="V48" s="816"/>
      <c r="W48" s="816"/>
      <c r="X48" s="480">
        <f t="shared" si="5"/>
        <v>0</v>
      </c>
    </row>
    <row r="49" spans="1:24" ht="13.5" customHeight="1" x14ac:dyDescent="0.2">
      <c r="A49" s="950"/>
      <c r="B49" s="747"/>
      <c r="D49" s="837"/>
      <c r="F49" s="746"/>
      <c r="H49" s="814"/>
      <c r="J49" s="815">
        <f t="shared" si="6"/>
        <v>0</v>
      </c>
      <c r="K49" s="937"/>
      <c r="L49" s="816"/>
      <c r="M49" s="816"/>
      <c r="N49" s="816"/>
      <c r="O49" s="816"/>
      <c r="P49" s="816"/>
      <c r="Q49" s="816"/>
      <c r="R49" s="816"/>
      <c r="S49" s="816"/>
      <c r="T49" s="816"/>
      <c r="U49" s="816"/>
      <c r="V49" s="816"/>
      <c r="W49" s="479"/>
      <c r="X49" s="480">
        <f t="shared" si="5"/>
        <v>0</v>
      </c>
    </row>
    <row r="50" spans="1:24" ht="13.5" customHeight="1" x14ac:dyDescent="0.2">
      <c r="A50" s="950"/>
      <c r="B50" s="747"/>
      <c r="D50" s="837"/>
      <c r="F50" s="746"/>
      <c r="H50" s="814"/>
      <c r="J50" s="815">
        <f t="shared" si="6"/>
        <v>0</v>
      </c>
      <c r="K50" s="937"/>
      <c r="L50" s="816"/>
      <c r="M50" s="816"/>
      <c r="N50" s="816"/>
      <c r="O50" s="816"/>
      <c r="P50" s="816"/>
      <c r="Q50" s="816"/>
      <c r="R50" s="816"/>
      <c r="S50" s="816"/>
      <c r="T50" s="816"/>
      <c r="U50" s="816"/>
      <c r="V50" s="816"/>
      <c r="W50" s="479"/>
      <c r="X50" s="480">
        <f t="shared" si="5"/>
        <v>0</v>
      </c>
    </row>
    <row r="51" spans="1:24" ht="13.5" customHeight="1" x14ac:dyDescent="0.2">
      <c r="A51" s="950"/>
      <c r="B51" s="747"/>
      <c r="D51" s="837"/>
      <c r="F51" s="746"/>
      <c r="H51" s="814"/>
      <c r="J51" s="815">
        <f t="shared" si="6"/>
        <v>0</v>
      </c>
      <c r="K51" s="938"/>
      <c r="L51" s="816"/>
      <c r="M51" s="816"/>
      <c r="N51" s="816"/>
      <c r="O51" s="816"/>
      <c r="P51" s="816"/>
      <c r="Q51" s="816"/>
      <c r="R51" s="816"/>
      <c r="S51" s="816"/>
      <c r="T51" s="816"/>
      <c r="U51" s="816"/>
      <c r="V51" s="816"/>
      <c r="W51" s="479"/>
      <c r="X51" s="480">
        <f t="shared" si="5"/>
        <v>0</v>
      </c>
    </row>
    <row r="52" spans="1:24" ht="13.5" customHeight="1" x14ac:dyDescent="0.2">
      <c r="A52" s="950"/>
      <c r="B52" s="747"/>
      <c r="D52" s="837"/>
      <c r="F52" s="746"/>
      <c r="H52" s="814"/>
      <c r="J52" s="815">
        <f t="shared" si="6"/>
        <v>0</v>
      </c>
      <c r="L52" s="816"/>
      <c r="M52" s="816"/>
      <c r="N52" s="816"/>
      <c r="O52" s="816"/>
      <c r="P52" s="816"/>
      <c r="Q52" s="816"/>
      <c r="R52" s="816"/>
      <c r="S52" s="816"/>
      <c r="T52" s="816"/>
      <c r="U52" s="816"/>
      <c r="V52" s="816"/>
      <c r="W52" s="479"/>
      <c r="X52" s="480">
        <f t="shared" si="5"/>
        <v>0</v>
      </c>
    </row>
    <row r="53" spans="1:24" ht="13.5" customHeight="1" x14ac:dyDescent="0.2">
      <c r="A53" s="950"/>
      <c r="B53" s="747"/>
      <c r="D53" s="837"/>
      <c r="F53" s="746"/>
      <c r="H53" s="814"/>
      <c r="J53" s="815">
        <f t="shared" si="6"/>
        <v>0</v>
      </c>
      <c r="K53" s="321"/>
      <c r="L53" s="816"/>
      <c r="M53" s="816"/>
      <c r="N53" s="816"/>
      <c r="O53" s="816"/>
      <c r="P53" s="816"/>
      <c r="Q53" s="816"/>
      <c r="R53" s="816"/>
      <c r="S53" s="816"/>
      <c r="T53" s="816"/>
      <c r="U53" s="816"/>
      <c r="V53" s="816"/>
      <c r="W53" s="479"/>
      <c r="X53" s="480">
        <f t="shared" si="5"/>
        <v>0</v>
      </c>
    </row>
    <row r="54" spans="1:24" ht="13.5" customHeight="1" x14ac:dyDescent="0.2">
      <c r="A54" s="950"/>
      <c r="B54" s="747"/>
      <c r="D54" s="837"/>
      <c r="F54" s="746"/>
      <c r="H54" s="814"/>
      <c r="J54" s="815">
        <f t="shared" si="6"/>
        <v>0</v>
      </c>
      <c r="L54" s="816"/>
      <c r="M54" s="816"/>
      <c r="N54" s="816"/>
      <c r="O54" s="816"/>
      <c r="P54" s="816"/>
      <c r="Q54" s="816"/>
      <c r="R54" s="816"/>
      <c r="S54" s="816"/>
      <c r="T54" s="816"/>
      <c r="U54" s="816"/>
      <c r="V54" s="816"/>
      <c r="W54" s="479"/>
      <c r="X54" s="480">
        <f t="shared" si="5"/>
        <v>0</v>
      </c>
    </row>
    <row r="55" spans="1:24" ht="13.5" customHeight="1" x14ac:dyDescent="0.2">
      <c r="A55" s="950"/>
      <c r="B55" s="747"/>
      <c r="D55" s="837"/>
      <c r="F55" s="746"/>
      <c r="H55" s="814"/>
      <c r="J55" s="815">
        <f t="shared" si="6"/>
        <v>0</v>
      </c>
      <c r="L55" s="816"/>
      <c r="M55" s="816"/>
      <c r="N55" s="816"/>
      <c r="O55" s="816"/>
      <c r="P55" s="816"/>
      <c r="Q55" s="816"/>
      <c r="R55" s="816"/>
      <c r="S55" s="816"/>
      <c r="T55" s="816"/>
      <c r="U55" s="816"/>
      <c r="V55" s="816"/>
      <c r="W55" s="479"/>
      <c r="X55" s="480">
        <f t="shared" si="5"/>
        <v>0</v>
      </c>
    </row>
    <row r="56" spans="1:24" ht="13.5" customHeight="1" x14ac:dyDescent="0.2">
      <c r="A56" s="950"/>
      <c r="B56" s="747"/>
      <c r="D56" s="837"/>
      <c r="F56" s="746"/>
      <c r="H56" s="814"/>
      <c r="J56" s="815">
        <f t="shared" si="6"/>
        <v>0</v>
      </c>
      <c r="L56" s="816"/>
      <c r="M56" s="816"/>
      <c r="N56" s="816"/>
      <c r="O56" s="816"/>
      <c r="P56" s="816"/>
      <c r="Q56" s="816"/>
      <c r="R56" s="816"/>
      <c r="S56" s="816"/>
      <c r="T56" s="816"/>
      <c r="U56" s="816"/>
      <c r="V56" s="816"/>
      <c r="W56" s="479"/>
      <c r="X56" s="480">
        <f t="shared" si="5"/>
        <v>0</v>
      </c>
    </row>
    <row r="57" spans="1:24" ht="13.5" customHeight="1" x14ac:dyDescent="0.2">
      <c r="A57" s="950"/>
      <c r="B57" s="747"/>
      <c r="D57" s="837"/>
      <c r="F57" s="746"/>
      <c r="H57" s="814"/>
      <c r="J57" s="815">
        <f t="shared" si="6"/>
        <v>0</v>
      </c>
      <c r="L57" s="816"/>
      <c r="M57" s="816"/>
      <c r="N57" s="816"/>
      <c r="O57" s="816"/>
      <c r="P57" s="816"/>
      <c r="Q57" s="816"/>
      <c r="R57" s="816"/>
      <c r="S57" s="816"/>
      <c r="T57" s="816"/>
      <c r="U57" s="816"/>
      <c r="V57" s="816"/>
      <c r="W57" s="479"/>
      <c r="X57" s="480">
        <f t="shared" si="5"/>
        <v>0</v>
      </c>
    </row>
    <row r="58" spans="1:24" ht="13.5" customHeight="1" x14ac:dyDescent="0.2">
      <c r="A58" s="950"/>
      <c r="B58" s="747"/>
      <c r="D58" s="837"/>
      <c r="F58" s="746"/>
      <c r="H58" s="814"/>
      <c r="J58" s="815">
        <f t="shared" si="6"/>
        <v>0</v>
      </c>
      <c r="L58" s="816"/>
      <c r="M58" s="816"/>
      <c r="N58" s="816"/>
      <c r="O58" s="816"/>
      <c r="P58" s="816"/>
      <c r="Q58" s="816"/>
      <c r="R58" s="816"/>
      <c r="S58" s="816"/>
      <c r="T58" s="816"/>
      <c r="U58" s="816"/>
      <c r="V58" s="816"/>
      <c r="W58" s="479"/>
      <c r="X58" s="480">
        <f t="shared" si="5"/>
        <v>0</v>
      </c>
    </row>
    <row r="59" spans="1:24" ht="13.5" customHeight="1" x14ac:dyDescent="0.2">
      <c r="A59" s="950"/>
      <c r="B59" s="747"/>
      <c r="D59" s="837"/>
      <c r="F59" s="746"/>
      <c r="H59" s="814"/>
      <c r="J59" s="815">
        <f t="shared" si="6"/>
        <v>0</v>
      </c>
      <c r="L59" s="816"/>
      <c r="M59" s="816"/>
      <c r="N59" s="816"/>
      <c r="O59" s="816"/>
      <c r="P59" s="816"/>
      <c r="Q59" s="816"/>
      <c r="R59" s="816"/>
      <c r="S59" s="816"/>
      <c r="T59" s="816"/>
      <c r="U59" s="816"/>
      <c r="V59" s="816"/>
      <c r="W59" s="479"/>
      <c r="X59" s="480">
        <f t="shared" si="5"/>
        <v>0</v>
      </c>
    </row>
    <row r="60" spans="1:24" ht="13.5" customHeight="1" x14ac:dyDescent="0.2">
      <c r="A60" s="950"/>
      <c r="B60" s="747"/>
      <c r="D60" s="837"/>
      <c r="F60" s="746"/>
      <c r="H60" s="814"/>
      <c r="J60" s="815">
        <f t="shared" si="6"/>
        <v>0</v>
      </c>
      <c r="L60" s="816"/>
      <c r="M60" s="816"/>
      <c r="N60" s="816"/>
      <c r="O60" s="816"/>
      <c r="P60" s="816"/>
      <c r="Q60" s="816"/>
      <c r="R60" s="816"/>
      <c r="S60" s="816"/>
      <c r="T60" s="816"/>
      <c r="U60" s="816"/>
      <c r="V60" s="816"/>
      <c r="W60" s="479"/>
      <c r="X60" s="480">
        <f t="shared" si="5"/>
        <v>0</v>
      </c>
    </row>
    <row r="61" spans="1:24" ht="13.5" customHeight="1" x14ac:dyDescent="0.2">
      <c r="A61" s="950"/>
      <c r="B61" s="818"/>
      <c r="D61" s="838"/>
      <c r="F61" s="819"/>
      <c r="H61" s="821"/>
      <c r="J61" s="839">
        <f t="shared" si="6"/>
        <v>0</v>
      </c>
      <c r="L61" s="816"/>
      <c r="M61" s="816"/>
      <c r="N61" s="816"/>
      <c r="O61" s="816"/>
      <c r="P61" s="816"/>
      <c r="Q61" s="816"/>
      <c r="R61" s="816"/>
      <c r="S61" s="816"/>
      <c r="T61" s="816"/>
      <c r="U61" s="816"/>
      <c r="V61" s="816"/>
      <c r="W61" s="479"/>
      <c r="X61" s="480">
        <f t="shared" si="5"/>
        <v>0</v>
      </c>
    </row>
    <row r="62" spans="1:24" ht="13.5" customHeight="1" x14ac:dyDescent="0.2">
      <c r="A62" s="950"/>
      <c r="B62" s="818"/>
      <c r="D62" s="840"/>
      <c r="F62" s="819"/>
      <c r="H62" s="821"/>
      <c r="J62" s="839">
        <f t="shared" si="6"/>
        <v>0</v>
      </c>
      <c r="L62" s="816"/>
      <c r="M62" s="816"/>
      <c r="N62" s="816"/>
      <c r="O62" s="816"/>
      <c r="P62" s="816"/>
      <c r="Q62" s="816"/>
      <c r="R62" s="816"/>
      <c r="S62" s="816"/>
      <c r="T62" s="816"/>
      <c r="U62" s="816"/>
      <c r="V62" s="816"/>
      <c r="W62" s="479"/>
      <c r="X62" s="480">
        <f t="shared" si="5"/>
        <v>0</v>
      </c>
    </row>
    <row r="63" spans="1:24" ht="13.5" customHeight="1" x14ac:dyDescent="0.2">
      <c r="A63" s="950"/>
      <c r="B63" s="841" t="str">
        <f>CONCATENATE("Produccion ",Datos_Generales!E13," ",Datos_Generales!E11)</f>
        <v xml:space="preserve">Produccion  </v>
      </c>
      <c r="D63" s="824" t="str">
        <f t="shared" ref="D63" si="8">IFERROR(VLOOKUP(B63,Variables_Matriz,2,FALSE),"")</f>
        <v/>
      </c>
      <c r="F63" s="842" t="str">
        <f>IF(Datos_Generales!E13&lt;&gt;"Autónoma","SI","NO")</f>
        <v>SI</v>
      </c>
      <c r="H63" s="843">
        <f>+Datos_Generales!S21</f>
        <v>0</v>
      </c>
      <c r="J63" s="844">
        <f t="shared" si="6"/>
        <v>0</v>
      </c>
      <c r="L63" s="816"/>
      <c r="M63" s="816"/>
      <c r="N63" s="816"/>
      <c r="O63" s="816"/>
      <c r="P63" s="816"/>
      <c r="Q63" s="816"/>
      <c r="R63" s="816"/>
      <c r="S63" s="816"/>
      <c r="T63" s="816"/>
      <c r="U63" s="816"/>
      <c r="V63" s="816"/>
      <c r="W63" s="479"/>
      <c r="X63" s="480">
        <f t="shared" si="5"/>
        <v>0</v>
      </c>
    </row>
    <row r="64" spans="1:24" ht="13.5" customHeight="1" x14ac:dyDescent="0.2">
      <c r="A64" s="950"/>
      <c r="B64" s="841" t="s">
        <v>229</v>
      </c>
      <c r="D64" s="824" t="str">
        <f>IF(F64="NO",,IFERROR(VLOOKUP(CONCATENATE(Datos_Generales!$E$13," ",Datos_Generales!$E$11),Transporte_Matriz,2,FALSE),""))</f>
        <v/>
      </c>
      <c r="F64" s="842" t="s">
        <v>223</v>
      </c>
      <c r="H64" s="843">
        <f>IF(F64="SI",IF(Datos_Generales!E13="Autónoma",Datos_Generales!$K$13/5,Datos_Generales!$K$13),0)</f>
        <v>0</v>
      </c>
      <c r="J64" s="844">
        <f t="shared" si="6"/>
        <v>0</v>
      </c>
      <c r="L64" s="816"/>
      <c r="M64" s="816"/>
      <c r="N64" s="816"/>
      <c r="O64" s="816"/>
      <c r="P64" s="816"/>
      <c r="Q64" s="816"/>
      <c r="R64" s="816"/>
      <c r="S64" s="816"/>
      <c r="T64" s="816"/>
      <c r="U64" s="816"/>
      <c r="V64" s="816"/>
      <c r="W64" s="479"/>
      <c r="X64" s="480">
        <f t="shared" si="5"/>
        <v>0</v>
      </c>
    </row>
    <row r="65" spans="1:24" ht="23.25" customHeight="1" thickBot="1" x14ac:dyDescent="0.25">
      <c r="A65" s="482"/>
      <c r="B65" s="483"/>
      <c r="C65" s="483"/>
      <c r="D65" s="484"/>
      <c r="E65" s="483"/>
      <c r="F65" s="485"/>
      <c r="G65" s="483"/>
      <c r="H65" s="486" t="s">
        <v>216</v>
      </c>
      <c r="I65" s="483"/>
      <c r="J65" s="845">
        <f>SUM(L65:W65)</f>
        <v>0</v>
      </c>
      <c r="K65" s="487"/>
      <c r="L65" s="711">
        <f>SUM(L38:L64)</f>
        <v>0</v>
      </c>
      <c r="M65" s="711">
        <f t="shared" ref="M65:W65" si="9">SUM(M38:M64)</f>
        <v>0</v>
      </c>
      <c r="N65" s="711">
        <f t="shared" si="9"/>
        <v>0</v>
      </c>
      <c r="O65" s="711">
        <f t="shared" si="9"/>
        <v>0</v>
      </c>
      <c r="P65" s="711">
        <f t="shared" si="9"/>
        <v>0</v>
      </c>
      <c r="Q65" s="711">
        <f t="shared" si="9"/>
        <v>0</v>
      </c>
      <c r="R65" s="711">
        <f t="shared" si="9"/>
        <v>0</v>
      </c>
      <c r="S65" s="711">
        <f t="shared" si="9"/>
        <v>0</v>
      </c>
      <c r="T65" s="711">
        <f t="shared" si="9"/>
        <v>0</v>
      </c>
      <c r="U65" s="711">
        <f t="shared" si="9"/>
        <v>0</v>
      </c>
      <c r="V65" s="711">
        <f t="shared" si="9"/>
        <v>0</v>
      </c>
      <c r="W65" s="711">
        <f t="shared" si="9"/>
        <v>0</v>
      </c>
      <c r="X65" s="488">
        <f>SUM(L65:W65)</f>
        <v>0</v>
      </c>
    </row>
    <row r="66" spans="1:24" x14ac:dyDescent="0.2">
      <c r="A66" s="482"/>
      <c r="D66" s="314"/>
      <c r="F66" s="492"/>
      <c r="H66" s="492"/>
      <c r="J66" s="492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490"/>
    </row>
    <row r="67" spans="1:24" x14ac:dyDescent="0.2">
      <c r="A67" s="482"/>
      <c r="D67" s="314"/>
      <c r="F67" s="492"/>
      <c r="H67" s="492"/>
      <c r="J67" s="492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490"/>
    </row>
    <row r="68" spans="1:24" s="313" customFormat="1" ht="12.75" customHeight="1" thickBot="1" x14ac:dyDescent="0.25">
      <c r="A68" s="494"/>
      <c r="D68" s="321"/>
      <c r="F68" s="495"/>
      <c r="L68" s="810">
        <f>+Datos_Generales!E36</f>
        <v>45596</v>
      </c>
      <c r="M68" s="810">
        <f>+Datos_Generales!F36</f>
        <v>45626</v>
      </c>
      <c r="N68" s="810">
        <f>+Datos_Generales!G36</f>
        <v>45657</v>
      </c>
      <c r="O68" s="810">
        <f>+Datos_Generales!H36</f>
        <v>45688</v>
      </c>
      <c r="P68" s="810">
        <f>+Datos_Generales!I36</f>
        <v>45716</v>
      </c>
      <c r="Q68" s="810">
        <f>+Datos_Generales!J36</f>
        <v>45747</v>
      </c>
      <c r="R68" s="810">
        <f>+Datos_Generales!K36</f>
        <v>45777</v>
      </c>
      <c r="S68" s="810">
        <f>+Datos_Generales!L36</f>
        <v>45808</v>
      </c>
      <c r="T68" s="810">
        <f>+Datos_Generales!M36</f>
        <v>45838</v>
      </c>
      <c r="U68" s="810">
        <f>+Datos_Generales!N36</f>
        <v>45869</v>
      </c>
      <c r="V68" s="810">
        <f>+Datos_Generales!O36</f>
        <v>45900</v>
      </c>
      <c r="W68" s="810">
        <f>+Datos_Generales!P36</f>
        <v>45930</v>
      </c>
      <c r="X68" s="810">
        <f>+Datos_Generales!Q36</f>
        <v>0</v>
      </c>
    </row>
    <row r="69" spans="1:24" ht="20.25" customHeight="1" x14ac:dyDescent="0.2">
      <c r="A69" s="313"/>
      <c r="B69" s="744" t="s">
        <v>230</v>
      </c>
      <c r="C69" s="310"/>
      <c r="D69" s="711" t="s">
        <v>198</v>
      </c>
      <c r="E69" s="310"/>
      <c r="F69" s="711" t="s">
        <v>188</v>
      </c>
      <c r="G69" s="310"/>
      <c r="H69" s="711" t="s">
        <v>115</v>
      </c>
      <c r="I69" s="310"/>
      <c r="J69" s="711" t="s">
        <v>231</v>
      </c>
      <c r="K69" s="310"/>
      <c r="L69" s="846">
        <f>+L4</f>
        <v>0</v>
      </c>
      <c r="M69" s="846">
        <f t="shared" ref="M69:W69" si="10">+M4</f>
        <v>0</v>
      </c>
      <c r="N69" s="846">
        <f t="shared" si="10"/>
        <v>0</v>
      </c>
      <c r="O69" s="846">
        <f t="shared" si="10"/>
        <v>0</v>
      </c>
      <c r="P69" s="846">
        <f t="shared" si="10"/>
        <v>0</v>
      </c>
      <c r="Q69" s="846">
        <f t="shared" si="10"/>
        <v>0</v>
      </c>
      <c r="R69" s="846">
        <f t="shared" si="10"/>
        <v>0</v>
      </c>
      <c r="S69" s="846">
        <f t="shared" si="10"/>
        <v>0</v>
      </c>
      <c r="T69" s="846">
        <f t="shared" si="10"/>
        <v>0</v>
      </c>
      <c r="U69" s="846">
        <f t="shared" si="10"/>
        <v>0</v>
      </c>
      <c r="V69" s="846">
        <f t="shared" si="10"/>
        <v>0</v>
      </c>
      <c r="W69" s="846">
        <f t="shared" si="10"/>
        <v>0</v>
      </c>
      <c r="X69" s="496"/>
    </row>
    <row r="70" spans="1:24" ht="15.75" customHeight="1" x14ac:dyDescent="0.2">
      <c r="A70" s="464"/>
      <c r="B70" s="847" t="s">
        <v>232</v>
      </c>
      <c r="C70" s="328"/>
      <c r="D70" s="848">
        <f>IFERROR(VLOOKUP(B70,proyectoEducativo_Matriz,2,FALSE),"")</f>
        <v>2</v>
      </c>
      <c r="E70" s="328"/>
      <c r="F70" s="849">
        <v>0</v>
      </c>
      <c r="G70" s="328"/>
      <c r="H70" s="850"/>
      <c r="I70" s="328"/>
      <c r="J70" s="851">
        <f>IFERROR((F70+H70)*D70,"")</f>
        <v>0</v>
      </c>
      <c r="K70" s="328"/>
      <c r="L70" s="852"/>
      <c r="M70" s="852"/>
      <c r="N70" s="852"/>
      <c r="O70" s="852"/>
      <c r="P70" s="852"/>
      <c r="Q70" s="852"/>
      <c r="R70" s="852"/>
      <c r="S70" s="852"/>
      <c r="T70" s="852"/>
      <c r="U70" s="852"/>
      <c r="V70" s="852"/>
      <c r="W70" s="465"/>
      <c r="X70" s="466">
        <f>SUM(L70:W70)</f>
        <v>0</v>
      </c>
    </row>
    <row r="71" spans="1:24" ht="15.75" customHeight="1" x14ac:dyDescent="0.2">
      <c r="A71" s="464"/>
      <c r="B71" s="747"/>
      <c r="C71" s="328"/>
      <c r="D71" s="848" t="str">
        <f>IFERROR(VLOOKUP(B71,proyectoEducativo_Matriz,2,FALSE),"")</f>
        <v/>
      </c>
      <c r="E71" s="328"/>
      <c r="F71" s="849"/>
      <c r="G71" s="328"/>
      <c r="H71" s="850"/>
      <c r="I71" s="328"/>
      <c r="J71" s="851" t="str">
        <f t="shared" ref="J71:J83" si="11">IFERROR((F71+H71)*D71,"")</f>
        <v/>
      </c>
      <c r="K71" s="328"/>
      <c r="L71" s="852"/>
      <c r="M71" s="852"/>
      <c r="N71" s="852"/>
      <c r="O71" s="852"/>
      <c r="P71" s="852"/>
      <c r="Q71" s="852"/>
      <c r="R71" s="852"/>
      <c r="S71" s="852"/>
      <c r="T71" s="852"/>
      <c r="U71" s="852"/>
      <c r="V71" s="852"/>
      <c r="W71" s="465"/>
      <c r="X71" s="466">
        <f t="shared" ref="X71:X83" si="12">SUM(L71:W71)</f>
        <v>0</v>
      </c>
    </row>
    <row r="72" spans="1:24" ht="15.75" customHeight="1" x14ac:dyDescent="0.2">
      <c r="A72" s="464"/>
      <c r="B72" s="747"/>
      <c r="C72" s="328"/>
      <c r="D72" s="848" t="str">
        <f t="shared" ref="D72:D83" si="13">IFERROR(VLOOKUP(B72,proyectoEducativo_Matriz,2,FALSE),"")</f>
        <v/>
      </c>
      <c r="E72" s="328"/>
      <c r="F72" s="849"/>
      <c r="G72" s="328"/>
      <c r="H72" s="850"/>
      <c r="I72" s="328"/>
      <c r="J72" s="851" t="str">
        <f t="shared" si="11"/>
        <v/>
      </c>
      <c r="K72" s="328"/>
      <c r="L72" s="852"/>
      <c r="M72" s="852"/>
      <c r="N72" s="852"/>
      <c r="O72" s="852"/>
      <c r="P72" s="852"/>
      <c r="Q72" s="852"/>
      <c r="R72" s="852"/>
      <c r="S72" s="852"/>
      <c r="T72" s="852"/>
      <c r="U72" s="852"/>
      <c r="V72" s="852"/>
      <c r="W72" s="465"/>
      <c r="X72" s="466">
        <f t="shared" si="12"/>
        <v>0</v>
      </c>
    </row>
    <row r="73" spans="1:24" ht="15.75" customHeight="1" x14ac:dyDescent="0.2">
      <c r="A73" s="464"/>
      <c r="B73" s="747"/>
      <c r="C73" s="328"/>
      <c r="D73" s="848" t="str">
        <f t="shared" si="13"/>
        <v/>
      </c>
      <c r="E73" s="328"/>
      <c r="F73" s="849"/>
      <c r="G73" s="328"/>
      <c r="H73" s="850"/>
      <c r="I73" s="328"/>
      <c r="J73" s="851" t="str">
        <f t="shared" si="11"/>
        <v/>
      </c>
      <c r="K73" s="328"/>
      <c r="L73" s="852"/>
      <c r="M73" s="852"/>
      <c r="N73" s="852"/>
      <c r="O73" s="852"/>
      <c r="P73" s="852"/>
      <c r="Q73" s="852"/>
      <c r="R73" s="852"/>
      <c r="S73" s="852"/>
      <c r="T73" s="852"/>
      <c r="U73" s="852"/>
      <c r="V73" s="852"/>
      <c r="W73" s="465"/>
      <c r="X73" s="466">
        <f t="shared" si="12"/>
        <v>0</v>
      </c>
    </row>
    <row r="74" spans="1:24" ht="15.75" customHeight="1" x14ac:dyDescent="0.2">
      <c r="A74" s="464"/>
      <c r="B74" s="747"/>
      <c r="C74" s="328"/>
      <c r="D74" s="848" t="str">
        <f t="shared" si="13"/>
        <v/>
      </c>
      <c r="E74" s="328"/>
      <c r="F74" s="849"/>
      <c r="G74" s="328"/>
      <c r="H74" s="850"/>
      <c r="I74" s="328"/>
      <c r="J74" s="851" t="str">
        <f t="shared" si="11"/>
        <v/>
      </c>
      <c r="K74" s="328"/>
      <c r="L74" s="852"/>
      <c r="M74" s="852"/>
      <c r="N74" s="852"/>
      <c r="O74" s="852"/>
      <c r="P74" s="852"/>
      <c r="Q74" s="852"/>
      <c r="R74" s="852"/>
      <c r="S74" s="852"/>
      <c r="T74" s="852"/>
      <c r="U74" s="852"/>
      <c r="V74" s="852"/>
      <c r="W74" s="465"/>
      <c r="X74" s="466">
        <f t="shared" si="12"/>
        <v>0</v>
      </c>
    </row>
    <row r="75" spans="1:24" ht="15.75" customHeight="1" x14ac:dyDescent="0.2">
      <c r="A75" s="464"/>
      <c r="B75" s="747"/>
      <c r="C75" s="328"/>
      <c r="D75" s="848" t="str">
        <f t="shared" si="13"/>
        <v/>
      </c>
      <c r="E75" s="328"/>
      <c r="F75" s="849"/>
      <c r="G75" s="328"/>
      <c r="H75" s="850"/>
      <c r="I75" s="328"/>
      <c r="J75" s="851" t="str">
        <f t="shared" si="11"/>
        <v/>
      </c>
      <c r="K75" s="310" t="s">
        <v>186</v>
      </c>
      <c r="L75" s="852"/>
      <c r="M75" s="852"/>
      <c r="N75" s="852"/>
      <c r="O75" s="852"/>
      <c r="P75" s="852"/>
      <c r="Q75" s="852"/>
      <c r="R75" s="852"/>
      <c r="S75" s="852"/>
      <c r="T75" s="852"/>
      <c r="U75" s="852"/>
      <c r="V75" s="852"/>
      <c r="W75" s="465"/>
      <c r="X75" s="466">
        <f t="shared" si="12"/>
        <v>0</v>
      </c>
    </row>
    <row r="76" spans="1:24" ht="15.75" customHeight="1" x14ac:dyDescent="0.2">
      <c r="A76" s="464"/>
      <c r="B76" s="747"/>
      <c r="C76" s="328"/>
      <c r="D76" s="848" t="str">
        <f t="shared" si="13"/>
        <v/>
      </c>
      <c r="E76" s="328"/>
      <c r="F76" s="849"/>
      <c r="G76" s="328"/>
      <c r="H76" s="850"/>
      <c r="I76" s="328"/>
      <c r="J76" s="851" t="str">
        <f t="shared" si="11"/>
        <v/>
      </c>
      <c r="K76" s="936">
        <f ca="1">+Presupuesto_Final2!$G$37</f>
        <v>0</v>
      </c>
      <c r="L76" s="852"/>
      <c r="M76" s="852"/>
      <c r="N76" s="852"/>
      <c r="O76" s="852"/>
      <c r="P76" s="852"/>
      <c r="Q76" s="852"/>
      <c r="R76" s="852"/>
      <c r="S76" s="852"/>
      <c r="T76" s="852"/>
      <c r="U76" s="852"/>
      <c r="V76" s="852"/>
      <c r="W76" s="465"/>
      <c r="X76" s="466">
        <f t="shared" si="12"/>
        <v>0</v>
      </c>
    </row>
    <row r="77" spans="1:24" ht="15.75" customHeight="1" x14ac:dyDescent="0.2">
      <c r="A77" s="464"/>
      <c r="B77" s="747"/>
      <c r="C77" s="328"/>
      <c r="D77" s="848" t="str">
        <f t="shared" si="13"/>
        <v/>
      </c>
      <c r="E77" s="328"/>
      <c r="F77" s="849"/>
      <c r="G77" s="328"/>
      <c r="H77" s="850"/>
      <c r="I77" s="328"/>
      <c r="J77" s="851" t="str">
        <f t="shared" si="11"/>
        <v/>
      </c>
      <c r="K77" s="937"/>
      <c r="L77" s="852"/>
      <c r="M77" s="852"/>
      <c r="N77" s="852"/>
      <c r="O77" s="852"/>
      <c r="P77" s="852"/>
      <c r="Q77" s="852"/>
      <c r="R77" s="852"/>
      <c r="S77" s="852"/>
      <c r="T77" s="852"/>
      <c r="U77" s="852"/>
      <c r="V77" s="852"/>
      <c r="W77" s="465"/>
      <c r="X77" s="466">
        <f t="shared" si="12"/>
        <v>0</v>
      </c>
    </row>
    <row r="78" spans="1:24" ht="15.75" customHeight="1" x14ac:dyDescent="0.2">
      <c r="A78" s="464"/>
      <c r="B78" s="747"/>
      <c r="C78" s="328"/>
      <c r="D78" s="848" t="str">
        <f t="shared" si="13"/>
        <v/>
      </c>
      <c r="E78" s="328"/>
      <c r="F78" s="849"/>
      <c r="G78" s="328"/>
      <c r="H78" s="850"/>
      <c r="I78" s="328"/>
      <c r="J78" s="851" t="str">
        <f t="shared" si="11"/>
        <v/>
      </c>
      <c r="K78" s="937"/>
      <c r="L78" s="852"/>
      <c r="M78" s="852"/>
      <c r="N78" s="852"/>
      <c r="O78" s="852"/>
      <c r="P78" s="852"/>
      <c r="Q78" s="852"/>
      <c r="R78" s="852"/>
      <c r="S78" s="852"/>
      <c r="T78" s="852"/>
      <c r="U78" s="852"/>
      <c r="V78" s="852"/>
      <c r="W78" s="465"/>
      <c r="X78" s="466">
        <f t="shared" si="12"/>
        <v>0</v>
      </c>
    </row>
    <row r="79" spans="1:24" ht="15.75" customHeight="1" x14ac:dyDescent="0.2">
      <c r="A79" s="464"/>
      <c r="B79" s="747"/>
      <c r="C79" s="328"/>
      <c r="D79" s="848" t="str">
        <f t="shared" si="13"/>
        <v/>
      </c>
      <c r="E79" s="328"/>
      <c r="F79" s="849"/>
      <c r="G79" s="328"/>
      <c r="H79" s="850"/>
      <c r="I79" s="328"/>
      <c r="J79" s="851" t="str">
        <f t="shared" si="11"/>
        <v/>
      </c>
      <c r="K79" s="937"/>
      <c r="L79" s="852"/>
      <c r="M79" s="852"/>
      <c r="N79" s="852"/>
      <c r="O79" s="852"/>
      <c r="P79" s="852"/>
      <c r="Q79" s="852"/>
      <c r="R79" s="852"/>
      <c r="S79" s="852"/>
      <c r="T79" s="852"/>
      <c r="U79" s="852"/>
      <c r="V79" s="852"/>
      <c r="W79" s="465"/>
      <c r="X79" s="466">
        <f t="shared" si="12"/>
        <v>0</v>
      </c>
    </row>
    <row r="80" spans="1:24" ht="15.75" customHeight="1" x14ac:dyDescent="0.2">
      <c r="A80" s="464"/>
      <c r="B80" s="747"/>
      <c r="C80" s="328"/>
      <c r="D80" s="848" t="str">
        <f t="shared" si="13"/>
        <v/>
      </c>
      <c r="E80" s="328"/>
      <c r="F80" s="849"/>
      <c r="G80" s="328"/>
      <c r="H80" s="850"/>
      <c r="I80" s="328"/>
      <c r="J80" s="851" t="str">
        <f t="shared" si="11"/>
        <v/>
      </c>
      <c r="K80" s="937"/>
      <c r="L80" s="852"/>
      <c r="M80" s="852"/>
      <c r="N80" s="852"/>
      <c r="O80" s="852"/>
      <c r="P80" s="852"/>
      <c r="Q80" s="852"/>
      <c r="R80" s="852"/>
      <c r="S80" s="852"/>
      <c r="T80" s="852"/>
      <c r="U80" s="852"/>
      <c r="V80" s="852"/>
      <c r="W80" s="465"/>
      <c r="X80" s="466">
        <f t="shared" si="12"/>
        <v>0</v>
      </c>
    </row>
    <row r="81" spans="1:24" ht="15.75" customHeight="1" x14ac:dyDescent="0.2">
      <c r="A81" s="464"/>
      <c r="B81" s="747"/>
      <c r="C81" s="328"/>
      <c r="D81" s="848" t="str">
        <f t="shared" si="13"/>
        <v/>
      </c>
      <c r="E81" s="328"/>
      <c r="F81" s="849"/>
      <c r="G81" s="328"/>
      <c r="H81" s="850"/>
      <c r="I81" s="328"/>
      <c r="J81" s="851" t="str">
        <f t="shared" si="11"/>
        <v/>
      </c>
      <c r="K81" s="938"/>
      <c r="L81" s="852"/>
      <c r="M81" s="852"/>
      <c r="N81" s="852"/>
      <c r="O81" s="852"/>
      <c r="P81" s="852"/>
      <c r="Q81" s="852"/>
      <c r="R81" s="852"/>
      <c r="S81" s="852"/>
      <c r="T81" s="852"/>
      <c r="U81" s="852"/>
      <c r="V81" s="852"/>
      <c r="W81" s="465"/>
      <c r="X81" s="466">
        <f t="shared" si="12"/>
        <v>0</v>
      </c>
    </row>
    <row r="82" spans="1:24" ht="15.75" customHeight="1" x14ac:dyDescent="0.2">
      <c r="A82" s="464"/>
      <c r="B82" s="747"/>
      <c r="C82" s="328"/>
      <c r="D82" s="848" t="str">
        <f t="shared" si="13"/>
        <v/>
      </c>
      <c r="E82" s="328"/>
      <c r="F82" s="849"/>
      <c r="G82" s="328"/>
      <c r="H82" s="850"/>
      <c r="I82" s="328"/>
      <c r="J82" s="851" t="str">
        <f t="shared" si="11"/>
        <v/>
      </c>
      <c r="K82" s="328"/>
      <c r="L82" s="852"/>
      <c r="M82" s="852"/>
      <c r="N82" s="852"/>
      <c r="O82" s="852"/>
      <c r="P82" s="852"/>
      <c r="Q82" s="852"/>
      <c r="R82" s="852"/>
      <c r="S82" s="852"/>
      <c r="T82" s="852"/>
      <c r="U82" s="852"/>
      <c r="V82" s="852"/>
      <c r="W82" s="465"/>
      <c r="X82" s="466">
        <f t="shared" si="12"/>
        <v>0</v>
      </c>
    </row>
    <row r="83" spans="1:24" ht="15.75" customHeight="1" x14ac:dyDescent="0.2">
      <c r="A83" s="464"/>
      <c r="B83" s="747"/>
      <c r="C83" s="328"/>
      <c r="D83" s="848" t="str">
        <f t="shared" si="13"/>
        <v/>
      </c>
      <c r="E83" s="328"/>
      <c r="F83" s="849"/>
      <c r="G83" s="328"/>
      <c r="H83" s="850"/>
      <c r="I83" s="328"/>
      <c r="J83" s="851" t="str">
        <f t="shared" si="11"/>
        <v/>
      </c>
      <c r="K83" s="328"/>
      <c r="L83" s="852"/>
      <c r="M83" s="852"/>
      <c r="N83" s="852"/>
      <c r="O83" s="852"/>
      <c r="P83" s="852"/>
      <c r="Q83" s="852"/>
      <c r="R83" s="852"/>
      <c r="S83" s="852"/>
      <c r="T83" s="852"/>
      <c r="U83" s="852"/>
      <c r="V83" s="852"/>
      <c r="W83" s="465"/>
      <c r="X83" s="466">
        <f t="shared" si="12"/>
        <v>0</v>
      </c>
    </row>
    <row r="84" spans="1:24" ht="23.25" customHeight="1" thickBot="1" x14ac:dyDescent="0.25">
      <c r="A84" s="482"/>
      <c r="B84" s="483"/>
      <c r="C84" s="483"/>
      <c r="D84" s="484"/>
      <c r="E84" s="483"/>
      <c r="F84" s="485"/>
      <c r="G84" s="483"/>
      <c r="H84" s="486"/>
      <c r="I84" s="483"/>
      <c r="J84" s="822">
        <f>SUM(L84:W84)</f>
        <v>0</v>
      </c>
      <c r="K84" s="487"/>
      <c r="L84" s="711">
        <f>SUM(L70:L83)</f>
        <v>0</v>
      </c>
      <c r="M84" s="711">
        <f t="shared" ref="M84:W84" si="14">SUM(M70:M83)</f>
        <v>0</v>
      </c>
      <c r="N84" s="711">
        <f t="shared" si="14"/>
        <v>0</v>
      </c>
      <c r="O84" s="711">
        <f t="shared" si="14"/>
        <v>0</v>
      </c>
      <c r="P84" s="711">
        <f t="shared" si="14"/>
        <v>0</v>
      </c>
      <c r="Q84" s="711">
        <f t="shared" si="14"/>
        <v>0</v>
      </c>
      <c r="R84" s="711">
        <f t="shared" si="14"/>
        <v>0</v>
      </c>
      <c r="S84" s="711">
        <f t="shared" si="14"/>
        <v>0</v>
      </c>
      <c r="T84" s="711">
        <f t="shared" si="14"/>
        <v>0</v>
      </c>
      <c r="U84" s="711">
        <f t="shared" si="14"/>
        <v>0</v>
      </c>
      <c r="V84" s="711">
        <f t="shared" si="14"/>
        <v>0</v>
      </c>
      <c r="W84" s="711">
        <f t="shared" si="14"/>
        <v>0</v>
      </c>
      <c r="X84" s="488">
        <f>SUM(L84:W84)</f>
        <v>0</v>
      </c>
    </row>
    <row r="85" spans="1:24" ht="12" customHeight="1" x14ac:dyDescent="0.2">
      <c r="A85" s="483"/>
      <c r="C85" s="328"/>
      <c r="D85" s="314"/>
      <c r="E85" s="328"/>
      <c r="F85" s="497"/>
      <c r="G85" s="328"/>
      <c r="H85" s="497"/>
      <c r="I85" s="328"/>
      <c r="J85" s="497"/>
      <c r="K85" s="328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  <c r="X85" s="498"/>
    </row>
    <row r="86" spans="1:24" ht="12" customHeight="1" x14ac:dyDescent="0.2">
      <c r="A86" s="483"/>
      <c r="C86" s="328"/>
      <c r="D86" s="314"/>
      <c r="E86" s="328"/>
      <c r="F86" s="497"/>
      <c r="G86" s="328"/>
      <c r="H86" s="497"/>
      <c r="I86" s="328"/>
      <c r="J86" s="497"/>
      <c r="K86" s="328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  <c r="X86" s="498"/>
    </row>
    <row r="87" spans="1:24" ht="12" customHeight="1" thickBot="1" x14ac:dyDescent="0.25">
      <c r="A87" s="483"/>
      <c r="C87" s="328"/>
      <c r="D87" s="314"/>
      <c r="E87" s="328"/>
      <c r="F87" s="497"/>
      <c r="G87" s="328"/>
      <c r="H87" s="497"/>
      <c r="I87" s="328"/>
      <c r="J87" s="497"/>
      <c r="K87" s="328"/>
      <c r="L87" s="810">
        <f>+Datos_Generales!E36</f>
        <v>45596</v>
      </c>
      <c r="M87" s="810">
        <f>+Datos_Generales!F36</f>
        <v>45626</v>
      </c>
      <c r="N87" s="810">
        <f>+Datos_Generales!G36</f>
        <v>45657</v>
      </c>
      <c r="O87" s="810">
        <f>+Datos_Generales!H36</f>
        <v>45688</v>
      </c>
      <c r="P87" s="810">
        <f>+Datos_Generales!I36</f>
        <v>45716</v>
      </c>
      <c r="Q87" s="810">
        <f>+Datos_Generales!J36</f>
        <v>45747</v>
      </c>
      <c r="R87" s="810">
        <f>+Datos_Generales!K36</f>
        <v>45777</v>
      </c>
      <c r="S87" s="810">
        <f>+Datos_Generales!L36</f>
        <v>45808</v>
      </c>
      <c r="T87" s="810">
        <f>+Datos_Generales!M36</f>
        <v>45838</v>
      </c>
      <c r="U87" s="810">
        <f>+Datos_Generales!N36</f>
        <v>45869</v>
      </c>
      <c r="V87" s="810">
        <f>+Datos_Generales!O36</f>
        <v>45900</v>
      </c>
      <c r="W87" s="810">
        <f>+Datos_Generales!P36</f>
        <v>45930</v>
      </c>
      <c r="X87" s="810">
        <f>+Datos_Generales!Q36</f>
        <v>0</v>
      </c>
    </row>
    <row r="88" spans="1:24" ht="20.25" customHeight="1" x14ac:dyDescent="0.2">
      <c r="A88" s="313"/>
      <c r="B88" s="744" t="s">
        <v>233</v>
      </c>
      <c r="C88" s="310"/>
      <c r="D88" s="711" t="s">
        <v>114</v>
      </c>
      <c r="E88" s="310"/>
      <c r="F88" s="711" t="s">
        <v>234</v>
      </c>
      <c r="G88" s="310"/>
      <c r="H88" s="711" t="s">
        <v>235</v>
      </c>
      <c r="I88" s="310"/>
      <c r="J88" s="711" t="s">
        <v>236</v>
      </c>
      <c r="K88" s="310"/>
      <c r="L88" s="846">
        <f>+L4</f>
        <v>0</v>
      </c>
      <c r="M88" s="846">
        <f t="shared" ref="M88:W88" si="15">+M4</f>
        <v>0</v>
      </c>
      <c r="N88" s="846">
        <f t="shared" si="15"/>
        <v>0</v>
      </c>
      <c r="O88" s="846">
        <f t="shared" si="15"/>
        <v>0</v>
      </c>
      <c r="P88" s="846">
        <f t="shared" si="15"/>
        <v>0</v>
      </c>
      <c r="Q88" s="846">
        <f t="shared" si="15"/>
        <v>0</v>
      </c>
      <c r="R88" s="846">
        <f t="shared" si="15"/>
        <v>0</v>
      </c>
      <c r="S88" s="846">
        <f t="shared" si="15"/>
        <v>0</v>
      </c>
      <c r="T88" s="846">
        <f t="shared" si="15"/>
        <v>0</v>
      </c>
      <c r="U88" s="846">
        <f t="shared" si="15"/>
        <v>0</v>
      </c>
      <c r="V88" s="846">
        <f t="shared" si="15"/>
        <v>0</v>
      </c>
      <c r="W88" s="846">
        <f t="shared" si="15"/>
        <v>0</v>
      </c>
      <c r="X88" s="496"/>
    </row>
    <row r="89" spans="1:24" ht="14.25" customHeight="1" x14ac:dyDescent="0.2">
      <c r="A89" s="464"/>
      <c r="B89" s="747"/>
      <c r="C89" s="328"/>
      <c r="D89" s="853">
        <f>IF(B89="Tablet",290,0)</f>
        <v>0</v>
      </c>
      <c r="E89" s="328"/>
      <c r="F89" s="854">
        <f>+Datos_Generales!E15</f>
        <v>0</v>
      </c>
      <c r="G89" s="328"/>
      <c r="H89" s="855"/>
      <c r="I89" s="328"/>
      <c r="J89" s="851">
        <f t="shared" ref="J89:J100" si="16">D89*(1+H89)^(F89/12)</f>
        <v>0</v>
      </c>
      <c r="K89" s="328"/>
      <c r="L89" s="852"/>
      <c r="M89" s="852"/>
      <c r="N89" s="852"/>
      <c r="O89" s="852"/>
      <c r="P89" s="852"/>
      <c r="Q89" s="852"/>
      <c r="R89" s="852"/>
      <c r="S89" s="852"/>
      <c r="T89" s="852"/>
      <c r="U89" s="852"/>
      <c r="V89" s="852"/>
      <c r="W89" s="465"/>
      <c r="X89" s="466">
        <f>SUM(L89:W89)</f>
        <v>0</v>
      </c>
    </row>
    <row r="90" spans="1:24" ht="14.25" customHeight="1" x14ac:dyDescent="0.2">
      <c r="A90" s="464"/>
      <c r="B90" s="747"/>
      <c r="C90" s="328"/>
      <c r="D90" s="746"/>
      <c r="E90" s="328"/>
      <c r="F90" s="856"/>
      <c r="G90" s="328"/>
      <c r="H90" s="855">
        <f>+Datos_Generales!$K$10</f>
        <v>0</v>
      </c>
      <c r="I90" s="328"/>
      <c r="J90" s="851">
        <f t="shared" si="16"/>
        <v>0</v>
      </c>
      <c r="K90" s="328"/>
      <c r="L90" s="852"/>
      <c r="M90" s="852"/>
      <c r="N90" s="852"/>
      <c r="O90" s="852"/>
      <c r="P90" s="852"/>
      <c r="Q90" s="852"/>
      <c r="R90" s="852"/>
      <c r="S90" s="852"/>
      <c r="T90" s="852"/>
      <c r="U90" s="852"/>
      <c r="V90" s="852"/>
      <c r="W90" s="465"/>
      <c r="X90" s="466">
        <f t="shared" ref="X90:X100" si="17">SUM(L90:W90)</f>
        <v>0</v>
      </c>
    </row>
    <row r="91" spans="1:24" ht="14.25" customHeight="1" x14ac:dyDescent="0.2">
      <c r="A91" s="464"/>
      <c r="B91" s="747"/>
      <c r="C91" s="328"/>
      <c r="D91" s="746"/>
      <c r="E91" s="328"/>
      <c r="F91" s="856"/>
      <c r="G91" s="328"/>
      <c r="H91" s="855">
        <f>+Datos_Generales!$K$10</f>
        <v>0</v>
      </c>
      <c r="I91" s="328"/>
      <c r="J91" s="851">
        <f t="shared" si="16"/>
        <v>0</v>
      </c>
      <c r="K91" s="328"/>
      <c r="L91" s="852"/>
      <c r="M91" s="852"/>
      <c r="N91" s="852"/>
      <c r="O91" s="852"/>
      <c r="P91" s="852"/>
      <c r="Q91" s="852"/>
      <c r="R91" s="852"/>
      <c r="S91" s="852"/>
      <c r="T91" s="852"/>
      <c r="U91" s="852"/>
      <c r="V91" s="852"/>
      <c r="W91" s="465"/>
      <c r="X91" s="466">
        <f t="shared" si="17"/>
        <v>0</v>
      </c>
    </row>
    <row r="92" spans="1:24" ht="14.25" customHeight="1" x14ac:dyDescent="0.2">
      <c r="A92" s="464"/>
      <c r="B92" s="747"/>
      <c r="C92" s="328"/>
      <c r="D92" s="746"/>
      <c r="E92" s="328"/>
      <c r="F92" s="856"/>
      <c r="G92" s="328"/>
      <c r="H92" s="855">
        <f>+Datos_Generales!$K$10</f>
        <v>0</v>
      </c>
      <c r="I92" s="328"/>
      <c r="J92" s="851">
        <f t="shared" si="16"/>
        <v>0</v>
      </c>
      <c r="K92" s="328"/>
      <c r="L92" s="852"/>
      <c r="M92" s="852"/>
      <c r="N92" s="852"/>
      <c r="O92" s="852"/>
      <c r="P92" s="852"/>
      <c r="Q92" s="852"/>
      <c r="R92" s="852"/>
      <c r="S92" s="852"/>
      <c r="T92" s="852"/>
      <c r="U92" s="852"/>
      <c r="V92" s="852"/>
      <c r="W92" s="465"/>
      <c r="X92" s="466">
        <f t="shared" si="17"/>
        <v>0</v>
      </c>
    </row>
    <row r="93" spans="1:24" ht="14.25" customHeight="1" x14ac:dyDescent="0.2">
      <c r="A93" s="464"/>
      <c r="B93" s="747"/>
      <c r="C93" s="328"/>
      <c r="D93" s="746"/>
      <c r="E93" s="328"/>
      <c r="F93" s="856"/>
      <c r="G93" s="328"/>
      <c r="H93" s="855">
        <f>+Datos_Generales!$K$10</f>
        <v>0</v>
      </c>
      <c r="I93" s="328"/>
      <c r="J93" s="851">
        <f t="shared" si="16"/>
        <v>0</v>
      </c>
      <c r="K93" s="328"/>
      <c r="L93" s="852"/>
      <c r="M93" s="852"/>
      <c r="N93" s="852"/>
      <c r="O93" s="852"/>
      <c r="P93" s="852"/>
      <c r="Q93" s="852"/>
      <c r="R93" s="852"/>
      <c r="S93" s="852"/>
      <c r="T93" s="852"/>
      <c r="U93" s="852"/>
      <c r="V93" s="852"/>
      <c r="W93" s="465"/>
      <c r="X93" s="466">
        <f t="shared" si="17"/>
        <v>0</v>
      </c>
    </row>
    <row r="94" spans="1:24" ht="14.25" customHeight="1" x14ac:dyDescent="0.2">
      <c r="A94" s="464"/>
      <c r="B94" s="747"/>
      <c r="C94" s="328"/>
      <c r="D94" s="746"/>
      <c r="E94" s="328"/>
      <c r="F94" s="856"/>
      <c r="G94" s="328"/>
      <c r="H94" s="855">
        <f>+Datos_Generales!$K$10</f>
        <v>0</v>
      </c>
      <c r="I94" s="328"/>
      <c r="J94" s="851">
        <f t="shared" si="16"/>
        <v>0</v>
      </c>
      <c r="K94" s="328"/>
      <c r="L94" s="852"/>
      <c r="M94" s="852"/>
      <c r="N94" s="852"/>
      <c r="O94" s="852"/>
      <c r="P94" s="852"/>
      <c r="Q94" s="852"/>
      <c r="R94" s="852"/>
      <c r="S94" s="852"/>
      <c r="T94" s="852"/>
      <c r="U94" s="852"/>
      <c r="V94" s="852"/>
      <c r="W94" s="465"/>
      <c r="X94" s="466">
        <f t="shared" si="17"/>
        <v>0</v>
      </c>
    </row>
    <row r="95" spans="1:24" ht="14.25" customHeight="1" x14ac:dyDescent="0.2">
      <c r="A95" s="464"/>
      <c r="B95" s="747"/>
      <c r="C95" s="328"/>
      <c r="D95" s="746"/>
      <c r="E95" s="328"/>
      <c r="F95" s="856"/>
      <c r="G95" s="328"/>
      <c r="H95" s="855">
        <f>+Datos_Generales!$K$10</f>
        <v>0</v>
      </c>
      <c r="I95" s="328"/>
      <c r="J95" s="851">
        <f t="shared" si="16"/>
        <v>0</v>
      </c>
      <c r="K95" s="328"/>
      <c r="L95" s="852"/>
      <c r="M95" s="852"/>
      <c r="N95" s="852"/>
      <c r="O95" s="852"/>
      <c r="P95" s="852"/>
      <c r="Q95" s="852"/>
      <c r="R95" s="852"/>
      <c r="S95" s="852"/>
      <c r="T95" s="852"/>
      <c r="U95" s="852"/>
      <c r="V95" s="852"/>
      <c r="W95" s="465"/>
      <c r="X95" s="466">
        <f t="shared" si="17"/>
        <v>0</v>
      </c>
    </row>
    <row r="96" spans="1:24" ht="14.25" customHeight="1" x14ac:dyDescent="0.2">
      <c r="A96" s="464"/>
      <c r="B96" s="747"/>
      <c r="C96" s="328"/>
      <c r="D96" s="746"/>
      <c r="E96" s="328"/>
      <c r="F96" s="856"/>
      <c r="G96" s="328"/>
      <c r="H96" s="855">
        <f>+Datos_Generales!$K$10</f>
        <v>0</v>
      </c>
      <c r="I96" s="328"/>
      <c r="J96" s="851">
        <f t="shared" si="16"/>
        <v>0</v>
      </c>
      <c r="K96" s="328"/>
      <c r="L96" s="852"/>
      <c r="M96" s="852"/>
      <c r="N96" s="852"/>
      <c r="O96" s="852"/>
      <c r="P96" s="852"/>
      <c r="Q96" s="852"/>
      <c r="R96" s="852"/>
      <c r="S96" s="852"/>
      <c r="T96" s="852"/>
      <c r="U96" s="852"/>
      <c r="V96" s="852"/>
      <c r="W96" s="465"/>
      <c r="X96" s="466">
        <f t="shared" si="17"/>
        <v>0</v>
      </c>
    </row>
    <row r="97" spans="1:38" ht="14.25" customHeight="1" x14ac:dyDescent="0.2">
      <c r="A97" s="464"/>
      <c r="B97" s="747"/>
      <c r="C97" s="328"/>
      <c r="D97" s="746"/>
      <c r="E97" s="328"/>
      <c r="F97" s="856"/>
      <c r="G97" s="328"/>
      <c r="H97" s="855">
        <f>+Datos_Generales!$K$10</f>
        <v>0</v>
      </c>
      <c r="I97" s="328"/>
      <c r="J97" s="851">
        <f t="shared" si="16"/>
        <v>0</v>
      </c>
      <c r="K97" s="328"/>
      <c r="L97" s="852"/>
      <c r="M97" s="852"/>
      <c r="N97" s="852"/>
      <c r="O97" s="852"/>
      <c r="P97" s="852"/>
      <c r="Q97" s="852"/>
      <c r="R97" s="852"/>
      <c r="S97" s="852"/>
      <c r="T97" s="852"/>
      <c r="U97" s="852"/>
      <c r="V97" s="852"/>
      <c r="W97" s="465"/>
      <c r="X97" s="466">
        <f t="shared" si="17"/>
        <v>0</v>
      </c>
    </row>
    <row r="98" spans="1:38" ht="14.25" customHeight="1" x14ac:dyDescent="0.2">
      <c r="A98" s="464"/>
      <c r="B98" s="747"/>
      <c r="C98" s="328"/>
      <c r="D98" s="746"/>
      <c r="E98" s="328"/>
      <c r="F98" s="856"/>
      <c r="G98" s="328"/>
      <c r="H98" s="855">
        <f>+Datos_Generales!$K$10</f>
        <v>0</v>
      </c>
      <c r="I98" s="328"/>
      <c r="J98" s="851">
        <f t="shared" si="16"/>
        <v>0</v>
      </c>
      <c r="K98" s="328"/>
      <c r="L98" s="852"/>
      <c r="M98" s="852"/>
      <c r="N98" s="852"/>
      <c r="O98" s="852"/>
      <c r="P98" s="852"/>
      <c r="Q98" s="852"/>
      <c r="R98" s="852"/>
      <c r="S98" s="852"/>
      <c r="T98" s="852"/>
      <c r="U98" s="852"/>
      <c r="V98" s="852"/>
      <c r="W98" s="465"/>
      <c r="X98" s="466">
        <f t="shared" si="17"/>
        <v>0</v>
      </c>
    </row>
    <row r="99" spans="1:38" ht="14.25" customHeight="1" x14ac:dyDescent="0.2">
      <c r="A99" s="464"/>
      <c r="B99" s="747"/>
      <c r="C99" s="328"/>
      <c r="D99" s="746"/>
      <c r="E99" s="328"/>
      <c r="F99" s="856"/>
      <c r="G99" s="328"/>
      <c r="H99" s="855">
        <f>+Datos_Generales!$K$10</f>
        <v>0</v>
      </c>
      <c r="I99" s="328"/>
      <c r="J99" s="851">
        <f t="shared" si="16"/>
        <v>0</v>
      </c>
      <c r="K99" s="328"/>
      <c r="L99" s="852"/>
      <c r="M99" s="852"/>
      <c r="N99" s="852"/>
      <c r="O99" s="852"/>
      <c r="P99" s="852"/>
      <c r="Q99" s="852"/>
      <c r="R99" s="852"/>
      <c r="S99" s="852"/>
      <c r="T99" s="852"/>
      <c r="U99" s="852"/>
      <c r="V99" s="852"/>
      <c r="W99" s="465"/>
      <c r="X99" s="466">
        <f t="shared" si="17"/>
        <v>0</v>
      </c>
    </row>
    <row r="100" spans="1:38" ht="14.25" customHeight="1" thickBot="1" x14ac:dyDescent="0.25">
      <c r="A100" s="464"/>
      <c r="B100" s="747"/>
      <c r="C100" s="328"/>
      <c r="D100" s="746"/>
      <c r="E100" s="328"/>
      <c r="F100" s="856"/>
      <c r="G100" s="328"/>
      <c r="H100" s="855">
        <f>+Datos_Generales!$K$10</f>
        <v>0</v>
      </c>
      <c r="I100" s="328"/>
      <c r="J100" s="851">
        <f t="shared" si="16"/>
        <v>0</v>
      </c>
      <c r="K100" s="328"/>
      <c r="L100" s="852"/>
      <c r="M100" s="852"/>
      <c r="N100" s="852"/>
      <c r="O100" s="852"/>
      <c r="P100" s="852"/>
      <c r="Q100" s="852"/>
      <c r="R100" s="852"/>
      <c r="S100" s="852"/>
      <c r="T100" s="852"/>
      <c r="U100" s="852"/>
      <c r="V100" s="852"/>
      <c r="W100" s="465"/>
      <c r="X100" s="467">
        <f t="shared" si="17"/>
        <v>0</v>
      </c>
    </row>
    <row r="101" spans="1:38" ht="23.25" customHeight="1" thickBot="1" x14ac:dyDescent="0.25">
      <c r="A101" s="482"/>
      <c r="B101" s="483"/>
      <c r="C101" s="483"/>
      <c r="D101" s="484"/>
      <c r="E101" s="483"/>
      <c r="F101" s="485"/>
      <c r="G101" s="483"/>
      <c r="H101" s="486"/>
      <c r="I101" s="483"/>
      <c r="J101" s="822">
        <f>SUM(L101:W101)</f>
        <v>0</v>
      </c>
      <c r="K101" s="487"/>
      <c r="L101" s="711">
        <f>SUM(L89:L100)</f>
        <v>0</v>
      </c>
      <c r="M101" s="711">
        <f t="shared" ref="M101:W101" si="18">SUM(M89:M100)</f>
        <v>0</v>
      </c>
      <c r="N101" s="711">
        <f t="shared" si="18"/>
        <v>0</v>
      </c>
      <c r="O101" s="711">
        <f t="shared" si="18"/>
        <v>0</v>
      </c>
      <c r="P101" s="711">
        <f t="shared" si="18"/>
        <v>0</v>
      </c>
      <c r="Q101" s="711">
        <f t="shared" si="18"/>
        <v>0</v>
      </c>
      <c r="R101" s="711">
        <f t="shared" si="18"/>
        <v>0</v>
      </c>
      <c r="S101" s="711">
        <f t="shared" si="18"/>
        <v>0</v>
      </c>
      <c r="T101" s="711">
        <f t="shared" si="18"/>
        <v>0</v>
      </c>
      <c r="U101" s="711">
        <f t="shared" si="18"/>
        <v>0</v>
      </c>
      <c r="V101" s="711">
        <f t="shared" si="18"/>
        <v>0</v>
      </c>
      <c r="W101" s="711">
        <f t="shared" si="18"/>
        <v>0</v>
      </c>
      <c r="X101" s="488">
        <f>SUM(L101:W101)</f>
        <v>0</v>
      </c>
    </row>
    <row r="102" spans="1:38" x14ac:dyDescent="0.2">
      <c r="A102" s="306"/>
      <c r="B102" s="306"/>
      <c r="C102" s="306"/>
      <c r="E102" s="306"/>
      <c r="F102" s="306"/>
      <c r="G102" s="306"/>
      <c r="H102" s="306"/>
      <c r="I102" s="306"/>
      <c r="J102" s="306"/>
      <c r="K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  <c r="AK102" s="306"/>
      <c r="AL102" s="306"/>
    </row>
    <row r="103" spans="1:38" ht="12" customHeight="1" x14ac:dyDescent="0.2">
      <c r="A103" s="483"/>
      <c r="C103" s="328"/>
      <c r="D103" s="314"/>
      <c r="E103" s="328"/>
      <c r="F103" s="497"/>
      <c r="G103" s="328"/>
      <c r="H103" s="497"/>
      <c r="I103" s="328"/>
      <c r="J103" s="497"/>
      <c r="K103" s="328"/>
      <c r="L103" s="329"/>
      <c r="M103" s="329"/>
      <c r="N103" s="329"/>
      <c r="O103" s="329"/>
      <c r="P103" s="329"/>
      <c r="Q103" s="329"/>
      <c r="R103" s="329"/>
      <c r="S103" s="329"/>
      <c r="T103" s="329"/>
      <c r="U103" s="329"/>
      <c r="V103" s="329"/>
      <c r="W103" s="329"/>
      <c r="X103" s="498"/>
    </row>
    <row r="104" spans="1:38" ht="12" customHeight="1" thickBot="1" x14ac:dyDescent="0.25">
      <c r="A104" s="313"/>
      <c r="C104" s="328"/>
      <c r="D104" s="314"/>
      <c r="E104" s="328"/>
      <c r="F104" s="497"/>
      <c r="G104" s="328"/>
      <c r="H104" s="497"/>
      <c r="I104" s="328"/>
      <c r="J104" s="497"/>
      <c r="K104" s="328"/>
      <c r="L104" s="948"/>
      <c r="M104" s="948"/>
      <c r="N104" s="948"/>
      <c r="O104" s="948"/>
      <c r="P104" s="948"/>
      <c r="Q104" s="948"/>
      <c r="R104" s="948"/>
      <c r="S104" s="948"/>
      <c r="T104" s="948"/>
      <c r="U104" s="948"/>
      <c r="V104" s="948"/>
      <c r="W104" s="948"/>
      <c r="X104" s="948"/>
      <c r="Z104" s="949"/>
      <c r="AA104" s="949"/>
      <c r="AB104" s="949"/>
      <c r="AC104" s="949"/>
      <c r="AD104" s="949"/>
      <c r="AE104" s="949"/>
      <c r="AF104" s="949"/>
      <c r="AG104" s="949"/>
      <c r="AH104" s="949"/>
      <c r="AI104" s="949"/>
      <c r="AJ104" s="949"/>
      <c r="AK104" s="949"/>
      <c r="AL104" s="949"/>
    </row>
    <row r="105" spans="1:38" ht="12" customHeight="1" x14ac:dyDescent="0.2">
      <c r="A105" s="483"/>
      <c r="C105" s="328"/>
      <c r="D105" s="314"/>
      <c r="E105" s="328"/>
      <c r="F105" s="497"/>
      <c r="G105" s="328"/>
      <c r="H105" s="497"/>
      <c r="I105" s="328"/>
      <c r="J105" s="497"/>
      <c r="K105" s="328"/>
      <c r="L105" s="810">
        <f>+Datos_Generales!E36</f>
        <v>45596</v>
      </c>
      <c r="M105" s="810">
        <f>+Datos_Generales!F36</f>
        <v>45626</v>
      </c>
      <c r="N105" s="810">
        <f>+Datos_Generales!G36</f>
        <v>45657</v>
      </c>
      <c r="O105" s="810">
        <f>+Datos_Generales!H36</f>
        <v>45688</v>
      </c>
      <c r="P105" s="810">
        <f>+Datos_Generales!I36</f>
        <v>45716</v>
      </c>
      <c r="Q105" s="810">
        <f>+Datos_Generales!J36</f>
        <v>45747</v>
      </c>
      <c r="R105" s="810">
        <f>+Datos_Generales!K36</f>
        <v>45777</v>
      </c>
      <c r="S105" s="810">
        <f>+Datos_Generales!L36</f>
        <v>45808</v>
      </c>
      <c r="T105" s="810">
        <f>+Datos_Generales!M36</f>
        <v>45838</v>
      </c>
      <c r="U105" s="810">
        <f>+Datos_Generales!N36</f>
        <v>45869</v>
      </c>
      <c r="V105" s="810">
        <f>+Datos_Generales!O36</f>
        <v>45900</v>
      </c>
      <c r="W105" s="476">
        <f>+Datos_Generales!P36</f>
        <v>45930</v>
      </c>
      <c r="X105" s="493" t="s">
        <v>237</v>
      </c>
      <c r="Z105" s="810">
        <f>+Datos_Generales!E36</f>
        <v>45596</v>
      </c>
      <c r="AA105" s="810">
        <f>+Datos_Generales!F36</f>
        <v>45626</v>
      </c>
      <c r="AB105" s="810">
        <f>+Datos_Generales!G36</f>
        <v>45657</v>
      </c>
      <c r="AC105" s="810">
        <f>+Datos_Generales!H36</f>
        <v>45688</v>
      </c>
      <c r="AD105" s="810">
        <f>+Datos_Generales!I36</f>
        <v>45716</v>
      </c>
      <c r="AE105" s="810">
        <f>+Datos_Generales!J36</f>
        <v>45747</v>
      </c>
      <c r="AF105" s="810">
        <f>+Datos_Generales!K36</f>
        <v>45777</v>
      </c>
      <c r="AG105" s="810">
        <f>+Datos_Generales!L36</f>
        <v>45808</v>
      </c>
      <c r="AH105" s="810">
        <f>+Datos_Generales!M36</f>
        <v>45838</v>
      </c>
      <c r="AI105" s="810">
        <f>+Datos_Generales!N36</f>
        <v>45869</v>
      </c>
      <c r="AJ105" s="810">
        <f>+Datos_Generales!O36</f>
        <v>45900</v>
      </c>
      <c r="AK105" s="810">
        <f>+Datos_Generales!P36</f>
        <v>45930</v>
      </c>
      <c r="AL105" s="493" t="s">
        <v>87</v>
      </c>
    </row>
    <row r="106" spans="1:38" ht="20.25" customHeight="1" x14ac:dyDescent="0.2">
      <c r="A106" s="313"/>
      <c r="B106" s="744" t="s">
        <v>238</v>
      </c>
      <c r="C106" s="310"/>
      <c r="D106" s="711" t="s">
        <v>188</v>
      </c>
      <c r="E106" s="310"/>
      <c r="F106" s="711" t="s">
        <v>198</v>
      </c>
      <c r="G106" s="310"/>
      <c r="H106" s="711" t="s">
        <v>239</v>
      </c>
      <c r="I106" s="310"/>
      <c r="J106" s="711" t="s">
        <v>240</v>
      </c>
      <c r="K106" s="328"/>
      <c r="L106" s="846">
        <f>+L4</f>
        <v>0</v>
      </c>
      <c r="M106" s="846">
        <f t="shared" ref="M106:W106" si="19">+M4</f>
        <v>0</v>
      </c>
      <c r="N106" s="846">
        <f t="shared" si="19"/>
        <v>0</v>
      </c>
      <c r="O106" s="846">
        <f t="shared" si="19"/>
        <v>0</v>
      </c>
      <c r="P106" s="846">
        <f t="shared" si="19"/>
        <v>0</v>
      </c>
      <c r="Q106" s="846">
        <f t="shared" si="19"/>
        <v>0</v>
      </c>
      <c r="R106" s="846">
        <f t="shared" si="19"/>
        <v>0</v>
      </c>
      <c r="S106" s="846">
        <f t="shared" si="19"/>
        <v>0</v>
      </c>
      <c r="T106" s="846">
        <f t="shared" si="19"/>
        <v>0</v>
      </c>
      <c r="U106" s="846">
        <f t="shared" si="19"/>
        <v>0</v>
      </c>
      <c r="V106" s="846">
        <f t="shared" si="19"/>
        <v>0</v>
      </c>
      <c r="W106" s="846">
        <f t="shared" si="19"/>
        <v>0</v>
      </c>
      <c r="X106" s="499"/>
      <c r="Z106" s="745"/>
      <c r="AA106" s="745"/>
      <c r="AB106" s="745"/>
      <c r="AC106" s="745"/>
      <c r="AD106" s="745"/>
      <c r="AE106" s="745"/>
      <c r="AF106" s="745"/>
      <c r="AG106" s="745"/>
      <c r="AH106" s="745"/>
      <c r="AI106" s="745"/>
      <c r="AJ106" s="745"/>
      <c r="AK106" s="500"/>
      <c r="AL106" s="499"/>
    </row>
    <row r="107" spans="1:38" ht="13.5" customHeight="1" x14ac:dyDescent="0.2">
      <c r="A107" s="464"/>
      <c r="B107" s="747"/>
      <c r="C107" s="328"/>
      <c r="D107" s="746"/>
      <c r="E107" s="310"/>
      <c r="F107" s="857"/>
      <c r="G107" s="310"/>
      <c r="H107" s="858">
        <f>+D107*F107</f>
        <v>0</v>
      </c>
      <c r="I107" s="310"/>
      <c r="J107" s="859"/>
      <c r="K107" s="328"/>
      <c r="L107" s="852"/>
      <c r="M107" s="852"/>
      <c r="N107" s="852"/>
      <c r="O107" s="852"/>
      <c r="P107" s="852"/>
      <c r="Q107" s="852"/>
      <c r="R107" s="852"/>
      <c r="S107" s="852"/>
      <c r="T107" s="852"/>
      <c r="U107" s="852"/>
      <c r="V107" s="852"/>
      <c r="W107" s="465"/>
      <c r="X107" s="466">
        <f>SUM(L107:W107)</f>
        <v>0</v>
      </c>
      <c r="Z107" s="860"/>
      <c r="AA107" s="860"/>
      <c r="AB107" s="860"/>
      <c r="AC107" s="860"/>
      <c r="AD107" s="860"/>
      <c r="AE107" s="860"/>
      <c r="AF107" s="860"/>
      <c r="AG107" s="860"/>
      <c r="AH107" s="860"/>
      <c r="AI107" s="860"/>
      <c r="AJ107" s="860"/>
      <c r="AK107" s="468"/>
      <c r="AL107" s="469">
        <f t="shared" ref="AL107:AL114" si="20">SUM(Z107:AK107)</f>
        <v>0</v>
      </c>
    </row>
    <row r="108" spans="1:38" ht="13.5" customHeight="1" x14ac:dyDescent="0.2">
      <c r="A108" s="464"/>
      <c r="B108" s="747"/>
      <c r="C108" s="328"/>
      <c r="D108" s="746"/>
      <c r="E108" s="310"/>
      <c r="F108" s="857"/>
      <c r="G108" s="310"/>
      <c r="H108" s="858">
        <f t="shared" ref="H108:H132" si="21">+D108*F108</f>
        <v>0</v>
      </c>
      <c r="I108" s="310"/>
      <c r="J108" s="859"/>
      <c r="K108" s="328"/>
      <c r="L108" s="852"/>
      <c r="M108" s="852"/>
      <c r="N108" s="852"/>
      <c r="O108" s="852"/>
      <c r="P108" s="852"/>
      <c r="Q108" s="852"/>
      <c r="R108" s="852"/>
      <c r="S108" s="852"/>
      <c r="T108" s="852"/>
      <c r="U108" s="852"/>
      <c r="V108" s="852"/>
      <c r="W108" s="465"/>
      <c r="X108" s="466">
        <f t="shared" ref="X108:X114" si="22">SUM(L108:W108)</f>
        <v>0</v>
      </c>
      <c r="Z108" s="860"/>
      <c r="AA108" s="860"/>
      <c r="AB108" s="860"/>
      <c r="AC108" s="860"/>
      <c r="AD108" s="860"/>
      <c r="AE108" s="860"/>
      <c r="AF108" s="860"/>
      <c r="AG108" s="860"/>
      <c r="AH108" s="860"/>
      <c r="AI108" s="860"/>
      <c r="AJ108" s="860"/>
      <c r="AK108" s="468"/>
      <c r="AL108" s="469">
        <f t="shared" si="20"/>
        <v>0</v>
      </c>
    </row>
    <row r="109" spans="1:38" ht="13.5" customHeight="1" x14ac:dyDescent="0.2">
      <c r="A109" s="464"/>
      <c r="B109" s="747"/>
      <c r="C109" s="328"/>
      <c r="D109" s="746"/>
      <c r="E109" s="310"/>
      <c r="F109" s="857"/>
      <c r="G109" s="310"/>
      <c r="H109" s="858">
        <f t="shared" si="21"/>
        <v>0</v>
      </c>
      <c r="I109" s="310"/>
      <c r="J109" s="859"/>
      <c r="K109" s="328"/>
      <c r="L109" s="852"/>
      <c r="M109" s="852"/>
      <c r="N109" s="852"/>
      <c r="O109" s="852"/>
      <c r="P109" s="852"/>
      <c r="Q109" s="852"/>
      <c r="R109" s="852"/>
      <c r="S109" s="852"/>
      <c r="T109" s="852"/>
      <c r="U109" s="852"/>
      <c r="V109" s="852"/>
      <c r="W109" s="465"/>
      <c r="X109" s="466">
        <f t="shared" si="22"/>
        <v>0</v>
      </c>
      <c r="Z109" s="860"/>
      <c r="AA109" s="860"/>
      <c r="AB109" s="860"/>
      <c r="AC109" s="860"/>
      <c r="AD109" s="860"/>
      <c r="AE109" s="860"/>
      <c r="AF109" s="860"/>
      <c r="AG109" s="860"/>
      <c r="AH109" s="860"/>
      <c r="AI109" s="860"/>
      <c r="AJ109" s="860"/>
      <c r="AK109" s="468"/>
      <c r="AL109" s="469">
        <f t="shared" si="20"/>
        <v>0</v>
      </c>
    </row>
    <row r="110" spans="1:38" ht="13.5" customHeight="1" x14ac:dyDescent="0.2">
      <c r="A110" s="464"/>
      <c r="B110" s="747"/>
      <c r="C110" s="328"/>
      <c r="D110" s="746"/>
      <c r="E110" s="310"/>
      <c r="F110" s="857"/>
      <c r="G110" s="310"/>
      <c r="H110" s="858">
        <f t="shared" si="21"/>
        <v>0</v>
      </c>
      <c r="I110" s="310"/>
      <c r="J110" s="859"/>
      <c r="K110" s="328"/>
      <c r="L110" s="852"/>
      <c r="M110" s="852"/>
      <c r="N110" s="852"/>
      <c r="O110" s="852"/>
      <c r="P110" s="852"/>
      <c r="Q110" s="852"/>
      <c r="R110" s="852"/>
      <c r="S110" s="852"/>
      <c r="T110" s="852"/>
      <c r="U110" s="852"/>
      <c r="V110" s="852"/>
      <c r="W110" s="465"/>
      <c r="X110" s="466">
        <f t="shared" si="22"/>
        <v>0</v>
      </c>
      <c r="Z110" s="860"/>
      <c r="AA110" s="860"/>
      <c r="AB110" s="860"/>
      <c r="AC110" s="860"/>
      <c r="AD110" s="860"/>
      <c r="AE110" s="860"/>
      <c r="AF110" s="860"/>
      <c r="AG110" s="860"/>
      <c r="AH110" s="860"/>
      <c r="AI110" s="860"/>
      <c r="AJ110" s="860"/>
      <c r="AK110" s="468"/>
      <c r="AL110" s="469">
        <f t="shared" si="20"/>
        <v>0</v>
      </c>
    </row>
    <row r="111" spans="1:38" ht="13.5" customHeight="1" x14ac:dyDescent="0.2">
      <c r="A111" s="464"/>
      <c r="B111" s="747"/>
      <c r="C111" s="328"/>
      <c r="D111" s="746"/>
      <c r="E111" s="310"/>
      <c r="F111" s="857"/>
      <c r="G111" s="310"/>
      <c r="H111" s="858">
        <f t="shared" si="21"/>
        <v>0</v>
      </c>
      <c r="I111" s="310"/>
      <c r="J111" s="859"/>
      <c r="K111" s="328"/>
      <c r="L111" s="852"/>
      <c r="M111" s="852"/>
      <c r="N111" s="852"/>
      <c r="O111" s="852"/>
      <c r="P111" s="852"/>
      <c r="Q111" s="852"/>
      <c r="R111" s="852"/>
      <c r="S111" s="852"/>
      <c r="T111" s="852"/>
      <c r="U111" s="852"/>
      <c r="V111" s="852"/>
      <c r="W111" s="465"/>
      <c r="X111" s="466">
        <f t="shared" si="22"/>
        <v>0</v>
      </c>
      <c r="Z111" s="860"/>
      <c r="AA111" s="860"/>
      <c r="AB111" s="860"/>
      <c r="AC111" s="860"/>
      <c r="AD111" s="860"/>
      <c r="AE111" s="860"/>
      <c r="AF111" s="860"/>
      <c r="AG111" s="860"/>
      <c r="AH111" s="860"/>
      <c r="AI111" s="860"/>
      <c r="AJ111" s="860"/>
      <c r="AK111" s="468"/>
      <c r="AL111" s="469">
        <f t="shared" si="20"/>
        <v>0</v>
      </c>
    </row>
    <row r="112" spans="1:38" ht="13.5" customHeight="1" x14ac:dyDescent="0.2">
      <c r="A112" s="464"/>
      <c r="B112" s="747"/>
      <c r="C112" s="328"/>
      <c r="D112" s="746"/>
      <c r="E112" s="310"/>
      <c r="F112" s="857"/>
      <c r="G112" s="310"/>
      <c r="H112" s="858">
        <f t="shared" si="21"/>
        <v>0</v>
      </c>
      <c r="I112" s="310"/>
      <c r="J112" s="859"/>
      <c r="K112" s="328"/>
      <c r="L112" s="852"/>
      <c r="M112" s="852"/>
      <c r="N112" s="852"/>
      <c r="O112" s="852"/>
      <c r="P112" s="852"/>
      <c r="Q112" s="852"/>
      <c r="R112" s="852"/>
      <c r="S112" s="852"/>
      <c r="T112" s="852"/>
      <c r="U112" s="852"/>
      <c r="V112" s="852"/>
      <c r="W112" s="465"/>
      <c r="X112" s="466">
        <f t="shared" si="22"/>
        <v>0</v>
      </c>
      <c r="Z112" s="860"/>
      <c r="AA112" s="860"/>
      <c r="AB112" s="860"/>
      <c r="AC112" s="860"/>
      <c r="AD112" s="860"/>
      <c r="AE112" s="860"/>
      <c r="AF112" s="860"/>
      <c r="AG112" s="860"/>
      <c r="AH112" s="860"/>
      <c r="AI112" s="860"/>
      <c r="AJ112" s="860"/>
      <c r="AK112" s="468"/>
      <c r="AL112" s="469">
        <f t="shared" si="20"/>
        <v>0</v>
      </c>
    </row>
    <row r="113" spans="1:38" ht="13.5" customHeight="1" x14ac:dyDescent="0.2">
      <c r="A113" s="464"/>
      <c r="B113" s="747"/>
      <c r="C113" s="328"/>
      <c r="D113" s="746"/>
      <c r="E113" s="310"/>
      <c r="F113" s="857"/>
      <c r="G113" s="310"/>
      <c r="H113" s="858">
        <f t="shared" si="21"/>
        <v>0</v>
      </c>
      <c r="I113" s="310"/>
      <c r="J113" s="859"/>
      <c r="K113" s="310" t="s">
        <v>186</v>
      </c>
      <c r="L113" s="852"/>
      <c r="M113" s="852"/>
      <c r="N113" s="852"/>
      <c r="O113" s="852"/>
      <c r="P113" s="852"/>
      <c r="Q113" s="852"/>
      <c r="R113" s="852"/>
      <c r="S113" s="852"/>
      <c r="T113" s="852"/>
      <c r="U113" s="852"/>
      <c r="V113" s="852"/>
      <c r="W113" s="465"/>
      <c r="X113" s="466">
        <f t="shared" si="22"/>
        <v>0</v>
      </c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468"/>
      <c r="AL113" s="469">
        <f t="shared" si="20"/>
        <v>0</v>
      </c>
    </row>
    <row r="114" spans="1:38" ht="13.5" customHeight="1" x14ac:dyDescent="0.2">
      <c r="A114" s="464"/>
      <c r="B114" s="747"/>
      <c r="C114" s="328"/>
      <c r="D114" s="746"/>
      <c r="E114" s="310"/>
      <c r="F114" s="857"/>
      <c r="G114" s="310"/>
      <c r="H114" s="858">
        <f t="shared" si="21"/>
        <v>0</v>
      </c>
      <c r="I114" s="310"/>
      <c r="J114" s="859"/>
      <c r="K114" s="936">
        <f ca="1">+Presupuesto_Final2!$G$37</f>
        <v>0</v>
      </c>
      <c r="L114" s="852"/>
      <c r="M114" s="852"/>
      <c r="N114" s="852"/>
      <c r="O114" s="852"/>
      <c r="P114" s="852"/>
      <c r="Q114" s="852"/>
      <c r="R114" s="852"/>
      <c r="S114" s="852"/>
      <c r="T114" s="852"/>
      <c r="U114" s="852"/>
      <c r="V114" s="852"/>
      <c r="W114" s="465"/>
      <c r="X114" s="466">
        <f t="shared" si="22"/>
        <v>0</v>
      </c>
      <c r="Z114" s="860"/>
      <c r="AA114" s="860"/>
      <c r="AB114" s="860"/>
      <c r="AC114" s="860"/>
      <c r="AD114" s="860"/>
      <c r="AE114" s="860"/>
      <c r="AF114" s="860"/>
      <c r="AG114" s="860"/>
      <c r="AH114" s="860"/>
      <c r="AI114" s="860"/>
      <c r="AJ114" s="860"/>
      <c r="AK114" s="468"/>
      <c r="AL114" s="469">
        <f t="shared" si="20"/>
        <v>0</v>
      </c>
    </row>
    <row r="115" spans="1:38" ht="13.5" customHeight="1" x14ac:dyDescent="0.2">
      <c r="A115" s="313"/>
      <c r="B115" s="744" t="s">
        <v>241</v>
      </c>
      <c r="C115" s="310"/>
      <c r="D115" s="711" t="s">
        <v>188</v>
      </c>
      <c r="E115" s="310"/>
      <c r="F115" s="711" t="s">
        <v>198</v>
      </c>
      <c r="G115" s="310"/>
      <c r="H115" s="711" t="s">
        <v>239</v>
      </c>
      <c r="I115" s="310"/>
      <c r="J115" s="861" t="s">
        <v>240</v>
      </c>
      <c r="K115" s="937"/>
      <c r="L115" s="862"/>
      <c r="M115" s="862"/>
      <c r="N115" s="862"/>
      <c r="O115" s="862"/>
      <c r="P115" s="862"/>
      <c r="Q115" s="862"/>
      <c r="R115" s="862"/>
      <c r="S115" s="862"/>
      <c r="T115" s="862"/>
      <c r="U115" s="862"/>
      <c r="V115" s="862"/>
      <c r="W115" s="470"/>
      <c r="X115" s="471"/>
      <c r="Y115" s="472"/>
      <c r="Z115" s="863"/>
      <c r="AA115" s="863"/>
      <c r="AB115" s="863"/>
      <c r="AC115" s="863"/>
      <c r="AD115" s="863"/>
      <c r="AE115" s="863"/>
      <c r="AF115" s="863"/>
      <c r="AG115" s="863"/>
      <c r="AH115" s="863"/>
      <c r="AI115" s="863"/>
      <c r="AJ115" s="863"/>
      <c r="AK115" s="473"/>
      <c r="AL115" s="474"/>
    </row>
    <row r="116" spans="1:38" ht="13.5" customHeight="1" x14ac:dyDescent="0.2">
      <c r="A116" s="464"/>
      <c r="B116" s="747"/>
      <c r="C116" s="328"/>
      <c r="D116" s="746"/>
      <c r="E116" s="310"/>
      <c r="F116" s="857"/>
      <c r="G116" s="310"/>
      <c r="H116" s="858">
        <f t="shared" si="21"/>
        <v>0</v>
      </c>
      <c r="I116" s="310"/>
      <c r="J116" s="859"/>
      <c r="K116" s="937"/>
      <c r="L116" s="852"/>
      <c r="M116" s="852"/>
      <c r="N116" s="852"/>
      <c r="O116" s="852"/>
      <c r="P116" s="852"/>
      <c r="Q116" s="852"/>
      <c r="R116" s="852"/>
      <c r="S116" s="852"/>
      <c r="T116" s="852"/>
      <c r="U116" s="852"/>
      <c r="V116" s="852"/>
      <c r="W116" s="465"/>
      <c r="X116" s="466">
        <f t="shared" ref="X116:X133" si="23">SUM(L116:W116)</f>
        <v>0</v>
      </c>
      <c r="Z116" s="860"/>
      <c r="AA116" s="860"/>
      <c r="AB116" s="860"/>
      <c r="AC116" s="860"/>
      <c r="AD116" s="860"/>
      <c r="AE116" s="860"/>
      <c r="AF116" s="860"/>
      <c r="AG116" s="860"/>
      <c r="AH116" s="860"/>
      <c r="AI116" s="860"/>
      <c r="AJ116" s="860"/>
      <c r="AK116" s="468"/>
      <c r="AL116" s="469">
        <f t="shared" ref="AL116:AL123" si="24">SUM(Z116:AK116)</f>
        <v>0</v>
      </c>
    </row>
    <row r="117" spans="1:38" ht="13.5" customHeight="1" x14ac:dyDescent="0.2">
      <c r="A117" s="464"/>
      <c r="B117" s="747"/>
      <c r="C117" s="328"/>
      <c r="D117" s="746"/>
      <c r="E117" s="310"/>
      <c r="F117" s="857"/>
      <c r="G117" s="310"/>
      <c r="H117" s="858">
        <f t="shared" si="21"/>
        <v>0</v>
      </c>
      <c r="I117" s="310"/>
      <c r="J117" s="859"/>
      <c r="K117" s="937"/>
      <c r="L117" s="852"/>
      <c r="M117" s="852"/>
      <c r="N117" s="852"/>
      <c r="O117" s="852"/>
      <c r="P117" s="852"/>
      <c r="Q117" s="852"/>
      <c r="R117" s="852"/>
      <c r="S117" s="852"/>
      <c r="T117" s="852"/>
      <c r="U117" s="852"/>
      <c r="V117" s="852"/>
      <c r="W117" s="465"/>
      <c r="X117" s="466">
        <f t="shared" si="23"/>
        <v>0</v>
      </c>
      <c r="Z117" s="860"/>
      <c r="AA117" s="860"/>
      <c r="AB117" s="860"/>
      <c r="AC117" s="860"/>
      <c r="AD117" s="860"/>
      <c r="AE117" s="860"/>
      <c r="AF117" s="860"/>
      <c r="AG117" s="860"/>
      <c r="AH117" s="860"/>
      <c r="AI117" s="860"/>
      <c r="AJ117" s="860"/>
      <c r="AK117" s="468"/>
      <c r="AL117" s="469">
        <f t="shared" si="24"/>
        <v>0</v>
      </c>
    </row>
    <row r="118" spans="1:38" ht="13.5" customHeight="1" x14ac:dyDescent="0.2">
      <c r="A118" s="464"/>
      <c r="B118" s="747"/>
      <c r="C118" s="328"/>
      <c r="D118" s="746"/>
      <c r="E118" s="310"/>
      <c r="F118" s="857"/>
      <c r="G118" s="310"/>
      <c r="H118" s="858">
        <f t="shared" si="21"/>
        <v>0</v>
      </c>
      <c r="I118" s="310"/>
      <c r="J118" s="859"/>
      <c r="K118" s="937"/>
      <c r="L118" s="852"/>
      <c r="M118" s="852"/>
      <c r="N118" s="852"/>
      <c r="O118" s="852"/>
      <c r="P118" s="852"/>
      <c r="Q118" s="852"/>
      <c r="R118" s="852"/>
      <c r="S118" s="852"/>
      <c r="T118" s="852"/>
      <c r="U118" s="852"/>
      <c r="V118" s="852"/>
      <c r="W118" s="465"/>
      <c r="X118" s="466">
        <f t="shared" si="23"/>
        <v>0</v>
      </c>
      <c r="Z118" s="860"/>
      <c r="AA118" s="860"/>
      <c r="AB118" s="860"/>
      <c r="AC118" s="860"/>
      <c r="AD118" s="860"/>
      <c r="AE118" s="860"/>
      <c r="AF118" s="860"/>
      <c r="AG118" s="860"/>
      <c r="AH118" s="860"/>
      <c r="AI118" s="860"/>
      <c r="AJ118" s="860"/>
      <c r="AK118" s="468"/>
      <c r="AL118" s="469">
        <f t="shared" si="24"/>
        <v>0</v>
      </c>
    </row>
    <row r="119" spans="1:38" ht="13.5" customHeight="1" x14ac:dyDescent="0.2">
      <c r="A119" s="464"/>
      <c r="B119" s="747"/>
      <c r="C119" s="328"/>
      <c r="D119" s="746"/>
      <c r="E119" s="310"/>
      <c r="F119" s="857"/>
      <c r="G119" s="310"/>
      <c r="H119" s="858">
        <f t="shared" si="21"/>
        <v>0</v>
      </c>
      <c r="I119" s="310"/>
      <c r="J119" s="859"/>
      <c r="K119" s="938"/>
      <c r="L119" s="852"/>
      <c r="M119" s="852"/>
      <c r="N119" s="852"/>
      <c r="O119" s="852"/>
      <c r="P119" s="852"/>
      <c r="Q119" s="852"/>
      <c r="R119" s="852"/>
      <c r="S119" s="852"/>
      <c r="T119" s="852"/>
      <c r="U119" s="852"/>
      <c r="V119" s="852"/>
      <c r="W119" s="465"/>
      <c r="X119" s="466">
        <f t="shared" si="23"/>
        <v>0</v>
      </c>
      <c r="Z119" s="860"/>
      <c r="AA119" s="860"/>
      <c r="AB119" s="860"/>
      <c r="AC119" s="860"/>
      <c r="AD119" s="860"/>
      <c r="AE119" s="860"/>
      <c r="AF119" s="860"/>
      <c r="AG119" s="860"/>
      <c r="AH119" s="860"/>
      <c r="AI119" s="860"/>
      <c r="AJ119" s="860"/>
      <c r="AK119" s="468"/>
      <c r="AL119" s="469">
        <f t="shared" si="24"/>
        <v>0</v>
      </c>
    </row>
    <row r="120" spans="1:38" ht="13.5" customHeight="1" x14ac:dyDescent="0.2">
      <c r="A120" s="464"/>
      <c r="B120" s="747"/>
      <c r="C120" s="328"/>
      <c r="D120" s="746"/>
      <c r="E120" s="310"/>
      <c r="F120" s="857"/>
      <c r="G120" s="310"/>
      <c r="H120" s="858">
        <f t="shared" si="21"/>
        <v>0</v>
      </c>
      <c r="I120" s="310"/>
      <c r="J120" s="859"/>
      <c r="K120" s="625"/>
      <c r="L120" s="852"/>
      <c r="M120" s="852"/>
      <c r="N120" s="852"/>
      <c r="O120" s="852"/>
      <c r="P120" s="852"/>
      <c r="Q120" s="852"/>
      <c r="R120" s="852"/>
      <c r="S120" s="852"/>
      <c r="T120" s="852"/>
      <c r="U120" s="852"/>
      <c r="V120" s="852"/>
      <c r="W120" s="465"/>
      <c r="X120" s="466">
        <f t="shared" si="23"/>
        <v>0</v>
      </c>
      <c r="Z120" s="860"/>
      <c r="AA120" s="860"/>
      <c r="AB120" s="860"/>
      <c r="AC120" s="860"/>
      <c r="AD120" s="860"/>
      <c r="AE120" s="860"/>
      <c r="AF120" s="860"/>
      <c r="AG120" s="860"/>
      <c r="AH120" s="860"/>
      <c r="AI120" s="860"/>
      <c r="AJ120" s="860"/>
      <c r="AK120" s="468"/>
      <c r="AL120" s="469">
        <f t="shared" si="24"/>
        <v>0</v>
      </c>
    </row>
    <row r="121" spans="1:38" ht="13.5" customHeight="1" x14ac:dyDescent="0.2">
      <c r="A121" s="464"/>
      <c r="B121" s="747"/>
      <c r="C121" s="328"/>
      <c r="D121" s="746"/>
      <c r="E121" s="310"/>
      <c r="F121" s="857"/>
      <c r="G121" s="310"/>
      <c r="H121" s="858">
        <f t="shared" si="21"/>
        <v>0</v>
      </c>
      <c r="I121" s="310"/>
      <c r="J121" s="859"/>
      <c r="K121" s="625"/>
      <c r="L121" s="852"/>
      <c r="M121" s="852"/>
      <c r="N121" s="852"/>
      <c r="O121" s="852"/>
      <c r="P121" s="852"/>
      <c r="Q121" s="852"/>
      <c r="R121" s="852"/>
      <c r="S121" s="852"/>
      <c r="T121" s="852"/>
      <c r="U121" s="852"/>
      <c r="V121" s="852"/>
      <c r="W121" s="465"/>
      <c r="X121" s="466">
        <f t="shared" si="23"/>
        <v>0</v>
      </c>
      <c r="Z121" s="860"/>
      <c r="AA121" s="860"/>
      <c r="AB121" s="860"/>
      <c r="AC121" s="860"/>
      <c r="AD121" s="860"/>
      <c r="AE121" s="860"/>
      <c r="AF121" s="860"/>
      <c r="AG121" s="860"/>
      <c r="AH121" s="860"/>
      <c r="AI121" s="860"/>
      <c r="AJ121" s="860"/>
      <c r="AK121" s="468"/>
      <c r="AL121" s="469">
        <f t="shared" si="24"/>
        <v>0</v>
      </c>
    </row>
    <row r="122" spans="1:38" ht="13.5" customHeight="1" x14ac:dyDescent="0.2">
      <c r="A122" s="464"/>
      <c r="B122" s="747"/>
      <c r="C122" s="328"/>
      <c r="D122" s="746"/>
      <c r="E122" s="310"/>
      <c r="F122" s="857"/>
      <c r="G122" s="310"/>
      <c r="H122" s="858">
        <f t="shared" si="21"/>
        <v>0</v>
      </c>
      <c r="I122" s="310"/>
      <c r="J122" s="859"/>
      <c r="K122" s="625"/>
      <c r="L122" s="852"/>
      <c r="M122" s="852"/>
      <c r="N122" s="852"/>
      <c r="O122" s="852"/>
      <c r="P122" s="852"/>
      <c r="Q122" s="852"/>
      <c r="R122" s="852"/>
      <c r="S122" s="852"/>
      <c r="T122" s="852"/>
      <c r="U122" s="852"/>
      <c r="V122" s="852"/>
      <c r="W122" s="465"/>
      <c r="X122" s="466">
        <f t="shared" si="23"/>
        <v>0</v>
      </c>
      <c r="Z122" s="860"/>
      <c r="AA122" s="860"/>
      <c r="AB122" s="860"/>
      <c r="AC122" s="860"/>
      <c r="AD122" s="860"/>
      <c r="AE122" s="860"/>
      <c r="AF122" s="860"/>
      <c r="AG122" s="860"/>
      <c r="AH122" s="860"/>
      <c r="AI122" s="860"/>
      <c r="AJ122" s="860"/>
      <c r="AK122" s="468"/>
      <c r="AL122" s="469">
        <f t="shared" si="24"/>
        <v>0</v>
      </c>
    </row>
    <row r="123" spans="1:38" ht="13.5" customHeight="1" x14ac:dyDescent="0.2">
      <c r="A123" s="464"/>
      <c r="B123" s="747"/>
      <c r="C123" s="328"/>
      <c r="D123" s="746"/>
      <c r="E123" s="310"/>
      <c r="F123" s="857"/>
      <c r="G123" s="310"/>
      <c r="H123" s="858">
        <f t="shared" si="21"/>
        <v>0</v>
      </c>
      <c r="I123" s="310"/>
      <c r="J123" s="859"/>
      <c r="K123" s="625"/>
      <c r="L123" s="852"/>
      <c r="M123" s="852"/>
      <c r="N123" s="852"/>
      <c r="O123" s="852"/>
      <c r="P123" s="852"/>
      <c r="Q123" s="852"/>
      <c r="R123" s="852"/>
      <c r="S123" s="852"/>
      <c r="T123" s="852"/>
      <c r="U123" s="852"/>
      <c r="V123" s="852"/>
      <c r="W123" s="465"/>
      <c r="X123" s="466">
        <f t="shared" si="23"/>
        <v>0</v>
      </c>
      <c r="Z123" s="860"/>
      <c r="AA123" s="860"/>
      <c r="AB123" s="860"/>
      <c r="AC123" s="860"/>
      <c r="AD123" s="860"/>
      <c r="AE123" s="860"/>
      <c r="AF123" s="860"/>
      <c r="AG123" s="860"/>
      <c r="AH123" s="860"/>
      <c r="AI123" s="860"/>
      <c r="AJ123" s="860"/>
      <c r="AK123" s="468"/>
      <c r="AL123" s="469">
        <f t="shared" si="24"/>
        <v>0</v>
      </c>
    </row>
    <row r="124" spans="1:38" ht="13.5" customHeight="1" x14ac:dyDescent="0.2">
      <c r="A124" s="313"/>
      <c r="B124" s="744" t="s">
        <v>242</v>
      </c>
      <c r="C124" s="310"/>
      <c r="D124" s="711" t="s">
        <v>188</v>
      </c>
      <c r="E124" s="310"/>
      <c r="F124" s="711" t="s">
        <v>198</v>
      </c>
      <c r="G124" s="310"/>
      <c r="H124" s="711" t="s">
        <v>239</v>
      </c>
      <c r="I124" s="310"/>
      <c r="J124" s="861" t="s">
        <v>240</v>
      </c>
      <c r="K124" s="625"/>
      <c r="L124" s="862"/>
      <c r="M124" s="862"/>
      <c r="N124" s="862"/>
      <c r="O124" s="862"/>
      <c r="P124" s="862"/>
      <c r="Q124" s="862"/>
      <c r="R124" s="862"/>
      <c r="S124" s="862"/>
      <c r="T124" s="862"/>
      <c r="U124" s="862"/>
      <c r="V124" s="862"/>
      <c r="W124" s="470"/>
      <c r="X124" s="471"/>
      <c r="Y124" s="472"/>
      <c r="Z124" s="863"/>
      <c r="AA124" s="863"/>
      <c r="AB124" s="863"/>
      <c r="AC124" s="863"/>
      <c r="AD124" s="863"/>
      <c r="AE124" s="863"/>
      <c r="AF124" s="863"/>
      <c r="AG124" s="863"/>
      <c r="AH124" s="863"/>
      <c r="AI124" s="863"/>
      <c r="AJ124" s="863"/>
      <c r="AK124" s="473"/>
      <c r="AL124" s="474"/>
    </row>
    <row r="125" spans="1:38" ht="13.5" customHeight="1" x14ac:dyDescent="0.2">
      <c r="A125" s="464"/>
      <c r="B125" s="747"/>
      <c r="C125" s="328"/>
      <c r="D125" s="746"/>
      <c r="E125" s="310"/>
      <c r="F125" s="857"/>
      <c r="G125" s="310"/>
      <c r="H125" s="858">
        <f t="shared" si="21"/>
        <v>0</v>
      </c>
      <c r="I125" s="310"/>
      <c r="J125" s="859"/>
      <c r="K125" s="625"/>
      <c r="L125" s="852"/>
      <c r="M125" s="852"/>
      <c r="N125" s="852"/>
      <c r="O125" s="852"/>
      <c r="P125" s="852"/>
      <c r="Q125" s="852"/>
      <c r="R125" s="852"/>
      <c r="S125" s="852"/>
      <c r="T125" s="852"/>
      <c r="U125" s="852"/>
      <c r="V125" s="852"/>
      <c r="W125" s="465"/>
      <c r="X125" s="466">
        <f t="shared" si="23"/>
        <v>0</v>
      </c>
      <c r="Z125" s="860"/>
      <c r="AA125" s="860"/>
      <c r="AB125" s="860"/>
      <c r="AC125" s="860"/>
      <c r="AD125" s="860"/>
      <c r="AE125" s="860"/>
      <c r="AF125" s="860"/>
      <c r="AG125" s="860"/>
      <c r="AH125" s="860"/>
      <c r="AI125" s="860"/>
      <c r="AJ125" s="860"/>
      <c r="AK125" s="468"/>
      <c r="AL125" s="469">
        <f t="shared" ref="AL125:AL132" si="25">SUM(Z125:AK125)</f>
        <v>0</v>
      </c>
    </row>
    <row r="126" spans="1:38" ht="13.5" customHeight="1" x14ac:dyDescent="0.2">
      <c r="A126" s="464"/>
      <c r="B126" s="747"/>
      <c r="C126" s="328"/>
      <c r="D126" s="746"/>
      <c r="E126" s="310"/>
      <c r="F126" s="857"/>
      <c r="G126" s="310"/>
      <c r="H126" s="858">
        <f t="shared" si="21"/>
        <v>0</v>
      </c>
      <c r="I126" s="310"/>
      <c r="J126" s="859"/>
      <c r="K126" s="625"/>
      <c r="L126" s="852"/>
      <c r="M126" s="852"/>
      <c r="N126" s="852"/>
      <c r="O126" s="852"/>
      <c r="P126" s="852"/>
      <c r="Q126" s="852"/>
      <c r="R126" s="852"/>
      <c r="S126" s="852"/>
      <c r="T126" s="852"/>
      <c r="U126" s="852"/>
      <c r="V126" s="852"/>
      <c r="W126" s="465"/>
      <c r="X126" s="466">
        <f t="shared" si="23"/>
        <v>0</v>
      </c>
      <c r="Z126" s="860"/>
      <c r="AA126" s="860"/>
      <c r="AB126" s="860"/>
      <c r="AC126" s="860"/>
      <c r="AD126" s="860"/>
      <c r="AE126" s="860"/>
      <c r="AF126" s="860"/>
      <c r="AG126" s="860"/>
      <c r="AH126" s="860"/>
      <c r="AI126" s="860"/>
      <c r="AJ126" s="860"/>
      <c r="AK126" s="468"/>
      <c r="AL126" s="469">
        <f t="shared" si="25"/>
        <v>0</v>
      </c>
    </row>
    <row r="127" spans="1:38" ht="13.5" customHeight="1" x14ac:dyDescent="0.2">
      <c r="A127" s="464"/>
      <c r="B127" s="747"/>
      <c r="C127" s="328"/>
      <c r="D127" s="746"/>
      <c r="E127" s="310"/>
      <c r="F127" s="857"/>
      <c r="G127" s="310"/>
      <c r="H127" s="858">
        <f t="shared" si="21"/>
        <v>0</v>
      </c>
      <c r="I127" s="310"/>
      <c r="J127" s="859"/>
      <c r="K127" s="625"/>
      <c r="L127" s="852"/>
      <c r="M127" s="852"/>
      <c r="N127" s="852"/>
      <c r="O127" s="852"/>
      <c r="P127" s="852"/>
      <c r="Q127" s="852"/>
      <c r="R127" s="852"/>
      <c r="S127" s="852"/>
      <c r="T127" s="852"/>
      <c r="U127" s="852"/>
      <c r="V127" s="852"/>
      <c r="W127" s="465"/>
      <c r="X127" s="466">
        <f t="shared" si="23"/>
        <v>0</v>
      </c>
      <c r="Z127" s="860"/>
      <c r="AA127" s="860"/>
      <c r="AB127" s="860"/>
      <c r="AC127" s="860"/>
      <c r="AD127" s="860"/>
      <c r="AE127" s="860"/>
      <c r="AF127" s="860"/>
      <c r="AG127" s="860"/>
      <c r="AH127" s="860"/>
      <c r="AI127" s="860"/>
      <c r="AJ127" s="860"/>
      <c r="AK127" s="468"/>
      <c r="AL127" s="469">
        <f t="shared" si="25"/>
        <v>0</v>
      </c>
    </row>
    <row r="128" spans="1:38" ht="13.5" customHeight="1" x14ac:dyDescent="0.2">
      <c r="A128" s="464"/>
      <c r="B128" s="747"/>
      <c r="C128" s="328"/>
      <c r="D128" s="746"/>
      <c r="E128" s="310"/>
      <c r="F128" s="857"/>
      <c r="G128" s="310"/>
      <c r="H128" s="858">
        <f t="shared" si="21"/>
        <v>0</v>
      </c>
      <c r="I128" s="310"/>
      <c r="J128" s="859"/>
      <c r="K128" s="625"/>
      <c r="L128" s="852"/>
      <c r="M128" s="852"/>
      <c r="N128" s="852"/>
      <c r="O128" s="852"/>
      <c r="P128" s="852"/>
      <c r="Q128" s="852"/>
      <c r="R128" s="852"/>
      <c r="S128" s="852"/>
      <c r="T128" s="852"/>
      <c r="U128" s="852"/>
      <c r="V128" s="852"/>
      <c r="W128" s="465"/>
      <c r="X128" s="466">
        <f t="shared" si="23"/>
        <v>0</v>
      </c>
      <c r="Z128" s="860"/>
      <c r="AA128" s="860"/>
      <c r="AB128" s="860"/>
      <c r="AC128" s="860"/>
      <c r="AD128" s="860"/>
      <c r="AE128" s="860"/>
      <c r="AF128" s="860"/>
      <c r="AG128" s="860"/>
      <c r="AH128" s="860"/>
      <c r="AI128" s="860"/>
      <c r="AJ128" s="860"/>
      <c r="AK128" s="468"/>
      <c r="AL128" s="469">
        <f t="shared" si="25"/>
        <v>0</v>
      </c>
    </row>
    <row r="129" spans="1:38" ht="13.5" customHeight="1" x14ac:dyDescent="0.2">
      <c r="A129" s="464"/>
      <c r="B129" s="747"/>
      <c r="C129" s="328"/>
      <c r="D129" s="746"/>
      <c r="E129" s="310"/>
      <c r="F129" s="857"/>
      <c r="G129" s="310"/>
      <c r="H129" s="858">
        <f t="shared" si="21"/>
        <v>0</v>
      </c>
      <c r="I129" s="310"/>
      <c r="J129" s="859"/>
      <c r="K129" s="625"/>
      <c r="L129" s="852"/>
      <c r="M129" s="852"/>
      <c r="N129" s="852"/>
      <c r="O129" s="852"/>
      <c r="P129" s="852"/>
      <c r="Q129" s="852"/>
      <c r="R129" s="852"/>
      <c r="S129" s="852"/>
      <c r="T129" s="852"/>
      <c r="U129" s="852"/>
      <c r="V129" s="852"/>
      <c r="W129" s="465"/>
      <c r="X129" s="466">
        <f t="shared" si="23"/>
        <v>0</v>
      </c>
      <c r="Z129" s="860"/>
      <c r="AA129" s="860"/>
      <c r="AB129" s="860"/>
      <c r="AC129" s="860"/>
      <c r="AD129" s="860"/>
      <c r="AE129" s="860"/>
      <c r="AF129" s="860"/>
      <c r="AG129" s="860"/>
      <c r="AH129" s="860"/>
      <c r="AI129" s="860"/>
      <c r="AJ129" s="860"/>
      <c r="AK129" s="468"/>
      <c r="AL129" s="469">
        <f t="shared" si="25"/>
        <v>0</v>
      </c>
    </row>
    <row r="130" spans="1:38" ht="13.5" customHeight="1" x14ac:dyDescent="0.2">
      <c r="A130" s="464"/>
      <c r="B130" s="747"/>
      <c r="C130" s="328"/>
      <c r="D130" s="746"/>
      <c r="E130" s="310"/>
      <c r="F130" s="857"/>
      <c r="G130" s="310"/>
      <c r="H130" s="858">
        <f t="shared" si="21"/>
        <v>0</v>
      </c>
      <c r="I130" s="310"/>
      <c r="J130" s="859"/>
      <c r="K130" s="625"/>
      <c r="L130" s="852"/>
      <c r="M130" s="852"/>
      <c r="N130" s="852"/>
      <c r="O130" s="852"/>
      <c r="P130" s="852"/>
      <c r="Q130" s="852"/>
      <c r="R130" s="852"/>
      <c r="S130" s="852"/>
      <c r="T130" s="852"/>
      <c r="U130" s="852"/>
      <c r="V130" s="852"/>
      <c r="W130" s="465"/>
      <c r="X130" s="466">
        <f t="shared" si="23"/>
        <v>0</v>
      </c>
      <c r="Z130" s="860"/>
      <c r="AA130" s="860"/>
      <c r="AB130" s="860"/>
      <c r="AC130" s="860"/>
      <c r="AD130" s="860"/>
      <c r="AE130" s="860"/>
      <c r="AF130" s="860"/>
      <c r="AG130" s="860"/>
      <c r="AH130" s="860"/>
      <c r="AI130" s="860"/>
      <c r="AJ130" s="860"/>
      <c r="AK130" s="468"/>
      <c r="AL130" s="469">
        <f t="shared" si="25"/>
        <v>0</v>
      </c>
    </row>
    <row r="131" spans="1:38" ht="13.5" customHeight="1" x14ac:dyDescent="0.2">
      <c r="A131" s="464"/>
      <c r="B131" s="747"/>
      <c r="C131" s="328"/>
      <c r="D131" s="746"/>
      <c r="E131" s="310"/>
      <c r="F131" s="857"/>
      <c r="G131" s="310"/>
      <c r="H131" s="858">
        <f t="shared" si="21"/>
        <v>0</v>
      </c>
      <c r="I131" s="310"/>
      <c r="J131" s="859"/>
      <c r="K131" s="625"/>
      <c r="L131" s="852"/>
      <c r="M131" s="852"/>
      <c r="N131" s="852"/>
      <c r="O131" s="852"/>
      <c r="P131" s="852"/>
      <c r="Q131" s="852"/>
      <c r="R131" s="852"/>
      <c r="S131" s="852"/>
      <c r="T131" s="852"/>
      <c r="U131" s="852"/>
      <c r="V131" s="852"/>
      <c r="W131" s="465"/>
      <c r="X131" s="466">
        <f t="shared" si="23"/>
        <v>0</v>
      </c>
      <c r="Z131" s="860"/>
      <c r="AA131" s="860"/>
      <c r="AB131" s="860"/>
      <c r="AC131" s="860"/>
      <c r="AD131" s="860"/>
      <c r="AE131" s="860"/>
      <c r="AF131" s="860"/>
      <c r="AG131" s="860"/>
      <c r="AH131" s="860"/>
      <c r="AI131" s="860"/>
      <c r="AJ131" s="860"/>
      <c r="AK131" s="468"/>
      <c r="AL131" s="469">
        <f t="shared" si="25"/>
        <v>0</v>
      </c>
    </row>
    <row r="132" spans="1:38" ht="13.5" customHeight="1" x14ac:dyDescent="0.2">
      <c r="A132" s="464"/>
      <c r="B132" s="747"/>
      <c r="C132" s="328"/>
      <c r="D132" s="746"/>
      <c r="E132" s="310"/>
      <c r="F132" s="857"/>
      <c r="G132" s="310"/>
      <c r="H132" s="858">
        <f t="shared" si="21"/>
        <v>0</v>
      </c>
      <c r="I132" s="310"/>
      <c r="J132" s="859"/>
      <c r="K132" s="625"/>
      <c r="L132" s="852"/>
      <c r="M132" s="852"/>
      <c r="N132" s="852"/>
      <c r="O132" s="852"/>
      <c r="P132" s="852"/>
      <c r="Q132" s="852"/>
      <c r="R132" s="852"/>
      <c r="S132" s="852"/>
      <c r="T132" s="852"/>
      <c r="U132" s="852"/>
      <c r="V132" s="852"/>
      <c r="W132" s="465"/>
      <c r="X132" s="466">
        <f t="shared" si="23"/>
        <v>0</v>
      </c>
      <c r="Z132" s="860"/>
      <c r="AA132" s="860"/>
      <c r="AB132" s="860"/>
      <c r="AC132" s="860"/>
      <c r="AD132" s="860"/>
      <c r="AE132" s="860"/>
      <c r="AF132" s="860"/>
      <c r="AG132" s="860"/>
      <c r="AH132" s="860"/>
      <c r="AI132" s="860"/>
      <c r="AJ132" s="860"/>
      <c r="AK132" s="468"/>
      <c r="AL132" s="469">
        <f t="shared" si="25"/>
        <v>0</v>
      </c>
    </row>
    <row r="133" spans="1:38" ht="23.25" customHeight="1" thickBot="1" x14ac:dyDescent="0.25">
      <c r="A133" s="482"/>
      <c r="B133" s="483"/>
      <c r="C133" s="483"/>
      <c r="D133" s="484"/>
      <c r="E133" s="483"/>
      <c r="F133" s="485"/>
      <c r="G133" s="483"/>
      <c r="H133" s="822">
        <f>SUM(L133:W133)</f>
        <v>0</v>
      </c>
      <c r="I133" s="483"/>
      <c r="J133" s="822">
        <f>SUM(Z133:AK133)</f>
        <v>0</v>
      </c>
      <c r="K133" s="625"/>
      <c r="L133" s="711">
        <f>SUM(L107:L132)</f>
        <v>0</v>
      </c>
      <c r="M133" s="711">
        <f t="shared" ref="M133:W133" si="26">SUM(M107:M132)</f>
        <v>0</v>
      </c>
      <c r="N133" s="711">
        <f t="shared" si="26"/>
        <v>0</v>
      </c>
      <c r="O133" s="711">
        <f t="shared" si="26"/>
        <v>0</v>
      </c>
      <c r="P133" s="711">
        <f t="shared" si="26"/>
        <v>0</v>
      </c>
      <c r="Q133" s="711">
        <f t="shared" si="26"/>
        <v>0</v>
      </c>
      <c r="R133" s="711">
        <f t="shared" si="26"/>
        <v>0</v>
      </c>
      <c r="S133" s="711">
        <f t="shared" si="26"/>
        <v>0</v>
      </c>
      <c r="T133" s="711">
        <f t="shared" si="26"/>
        <v>0</v>
      </c>
      <c r="U133" s="711">
        <f t="shared" si="26"/>
        <v>0</v>
      </c>
      <c r="V133" s="711">
        <f t="shared" si="26"/>
        <v>0</v>
      </c>
      <c r="W133" s="711">
        <f t="shared" si="26"/>
        <v>0</v>
      </c>
      <c r="X133" s="488">
        <f t="shared" si="23"/>
        <v>0</v>
      </c>
      <c r="Z133" s="864">
        <f>SUM(Z107:Z132)</f>
        <v>0</v>
      </c>
      <c r="AA133" s="864">
        <f t="shared" ref="AA133:AK133" si="27">SUM(AA107:AA132)</f>
        <v>0</v>
      </c>
      <c r="AB133" s="864">
        <f t="shared" si="27"/>
        <v>0</v>
      </c>
      <c r="AC133" s="864">
        <f t="shared" si="27"/>
        <v>0</v>
      </c>
      <c r="AD133" s="864">
        <f t="shared" si="27"/>
        <v>0</v>
      </c>
      <c r="AE133" s="864">
        <f t="shared" si="27"/>
        <v>0</v>
      </c>
      <c r="AF133" s="864">
        <f t="shared" si="27"/>
        <v>0</v>
      </c>
      <c r="AG133" s="864">
        <f t="shared" si="27"/>
        <v>0</v>
      </c>
      <c r="AH133" s="864">
        <f t="shared" si="27"/>
        <v>0</v>
      </c>
      <c r="AI133" s="864">
        <f t="shared" si="27"/>
        <v>0</v>
      </c>
      <c r="AJ133" s="864">
        <f t="shared" si="27"/>
        <v>0</v>
      </c>
      <c r="AK133" s="864">
        <f t="shared" si="27"/>
        <v>0</v>
      </c>
      <c r="AL133" s="501">
        <f>SUM(Z133:AK133)</f>
        <v>0</v>
      </c>
    </row>
    <row r="134" spans="1:38" ht="12" customHeight="1" x14ac:dyDescent="0.2">
      <c r="A134" s="483"/>
      <c r="C134" s="328"/>
      <c r="D134" s="314"/>
      <c r="E134" s="328"/>
      <c r="F134" s="497"/>
      <c r="G134" s="328"/>
      <c r="H134" s="497"/>
      <c r="I134" s="328"/>
      <c r="J134" s="497"/>
      <c r="K134" s="328"/>
      <c r="L134" s="329"/>
      <c r="M134" s="329"/>
      <c r="N134" s="329"/>
      <c r="O134" s="329"/>
      <c r="P134" s="329"/>
      <c r="Q134" s="329"/>
      <c r="R134" s="329"/>
      <c r="S134" s="329"/>
      <c r="T134" s="329"/>
      <c r="U134" s="329"/>
      <c r="V134" s="329"/>
      <c r="W134" s="329"/>
      <c r="X134" s="498"/>
    </row>
    <row r="135" spans="1:38" s="483" customFormat="1" ht="12" customHeight="1" x14ac:dyDescent="0.2">
      <c r="A135" s="313"/>
      <c r="B135" s="328"/>
      <c r="C135" s="328"/>
      <c r="D135" s="316"/>
      <c r="E135" s="328"/>
      <c r="F135" s="497"/>
      <c r="G135" s="328"/>
      <c r="H135" s="497"/>
      <c r="I135" s="328"/>
      <c r="J135" s="497"/>
      <c r="K135" s="328"/>
      <c r="L135" s="502"/>
      <c r="M135" s="502"/>
      <c r="N135" s="502"/>
      <c r="O135" s="502"/>
      <c r="P135" s="502"/>
      <c r="Q135" s="502"/>
      <c r="R135" s="502"/>
      <c r="S135" s="502"/>
      <c r="T135" s="502"/>
      <c r="U135" s="502"/>
      <c r="V135" s="502"/>
      <c r="W135" s="502"/>
      <c r="X135" s="503"/>
    </row>
    <row r="136" spans="1:38" s="313" customFormat="1" ht="12" customHeight="1" x14ac:dyDescent="0.2">
      <c r="B136" s="328"/>
      <c r="C136" s="328"/>
      <c r="D136" s="316"/>
      <c r="E136" s="328"/>
      <c r="F136" s="497"/>
      <c r="G136" s="328"/>
      <c r="H136" s="497"/>
      <c r="I136" s="328"/>
      <c r="J136" s="497"/>
      <c r="K136" s="328"/>
      <c r="L136" s="329"/>
      <c r="M136" s="329"/>
      <c r="N136" s="329"/>
      <c r="O136" s="329"/>
      <c r="P136" s="329"/>
      <c r="Q136" s="329"/>
      <c r="R136" s="329"/>
      <c r="S136" s="329"/>
      <c r="T136" s="329"/>
      <c r="U136" s="329"/>
      <c r="V136" s="329"/>
      <c r="W136" s="329"/>
      <c r="X136" s="330"/>
    </row>
    <row r="137" spans="1:38" s="313" customFormat="1" ht="12" customHeight="1" x14ac:dyDescent="0.2">
      <c r="B137" s="744" t="s">
        <v>238</v>
      </c>
      <c r="C137" s="328"/>
      <c r="D137" s="711" t="s">
        <v>116</v>
      </c>
      <c r="E137" s="310"/>
      <c r="F137" s="711" t="s">
        <v>243</v>
      </c>
      <c r="G137" s="310"/>
      <c r="H137" s="711" t="s">
        <v>244</v>
      </c>
      <c r="I137" s="310"/>
      <c r="J137" s="711" t="s">
        <v>245</v>
      </c>
      <c r="K137" s="328"/>
      <c r="L137" s="329"/>
      <c r="M137" s="329"/>
      <c r="N137" s="329"/>
      <c r="O137" s="329"/>
      <c r="P137" s="329"/>
      <c r="Q137" s="329"/>
      <c r="R137" s="329"/>
      <c r="S137" s="329"/>
      <c r="T137" s="329"/>
      <c r="U137" s="329"/>
      <c r="V137" s="329"/>
      <c r="W137" s="329"/>
      <c r="X137" s="330"/>
    </row>
    <row r="138" spans="1:38" s="313" customFormat="1" ht="12" customHeight="1" x14ac:dyDescent="0.2">
      <c r="B138" s="865">
        <f>+B107</f>
        <v>0</v>
      </c>
      <c r="C138" s="328"/>
      <c r="D138" s="750">
        <f t="shared" ref="D138:D145" si="28">D107*F107</f>
        <v>0</v>
      </c>
      <c r="E138" s="321"/>
      <c r="F138" s="866">
        <f>+J107</f>
        <v>0</v>
      </c>
      <c r="G138" s="310"/>
      <c r="H138" s="858">
        <f>+F138-D138</f>
        <v>0</v>
      </c>
      <c r="I138" s="310"/>
      <c r="J138" s="867" t="str">
        <f>IFERROR(H138/F138,"")</f>
        <v/>
      </c>
      <c r="K138" s="328"/>
      <c r="L138" s="329"/>
      <c r="M138" s="329"/>
      <c r="N138" s="329"/>
      <c r="O138" s="329"/>
      <c r="P138" s="329"/>
      <c r="Q138" s="329"/>
      <c r="R138" s="329"/>
      <c r="S138" s="329"/>
      <c r="T138" s="329"/>
      <c r="U138" s="329"/>
      <c r="V138" s="329"/>
      <c r="W138" s="329"/>
      <c r="X138" s="330"/>
    </row>
    <row r="139" spans="1:38" s="313" customFormat="1" ht="12" customHeight="1" x14ac:dyDescent="0.2">
      <c r="B139" s="865">
        <f t="shared" ref="B139:B145" si="29">+B108</f>
        <v>0</v>
      </c>
      <c r="C139" s="328"/>
      <c r="D139" s="750">
        <f t="shared" si="28"/>
        <v>0</v>
      </c>
      <c r="E139" s="321"/>
      <c r="F139" s="866">
        <f t="shared" ref="F139:F163" si="30">+J108</f>
        <v>0</v>
      </c>
      <c r="G139" s="310"/>
      <c r="H139" s="858">
        <f t="shared" ref="H139:H145" si="31">+F139-D139</f>
        <v>0</v>
      </c>
      <c r="I139" s="310"/>
      <c r="J139" s="867" t="str">
        <f t="shared" ref="J139:J163" si="32">IFERROR(H139/F139,"")</f>
        <v/>
      </c>
      <c r="K139" s="328"/>
      <c r="L139" s="329"/>
      <c r="M139" s="329"/>
      <c r="N139" s="329"/>
      <c r="O139" s="329"/>
      <c r="P139" s="329"/>
      <c r="Q139" s="329"/>
      <c r="R139" s="329"/>
      <c r="S139" s="329"/>
      <c r="T139" s="329"/>
      <c r="U139" s="329"/>
      <c r="V139" s="329"/>
      <c r="W139" s="329"/>
      <c r="X139" s="330"/>
    </row>
    <row r="140" spans="1:38" s="313" customFormat="1" ht="12" customHeight="1" x14ac:dyDescent="0.2">
      <c r="B140" s="865">
        <f t="shared" si="29"/>
        <v>0</v>
      </c>
      <c r="C140" s="328"/>
      <c r="D140" s="750">
        <f t="shared" si="28"/>
        <v>0</v>
      </c>
      <c r="E140" s="321"/>
      <c r="F140" s="866">
        <f t="shared" si="30"/>
        <v>0</v>
      </c>
      <c r="G140" s="310"/>
      <c r="H140" s="858">
        <f t="shared" si="31"/>
        <v>0</v>
      </c>
      <c r="I140" s="310"/>
      <c r="J140" s="867" t="str">
        <f t="shared" si="32"/>
        <v/>
      </c>
      <c r="K140" s="328"/>
      <c r="L140" s="329"/>
      <c r="M140" s="329"/>
      <c r="N140" s="329"/>
      <c r="O140" s="329"/>
      <c r="P140" s="329"/>
      <c r="Q140" s="329"/>
      <c r="R140" s="329"/>
      <c r="S140" s="329"/>
      <c r="T140" s="329"/>
      <c r="U140" s="329"/>
      <c r="V140" s="329"/>
      <c r="W140" s="329"/>
      <c r="X140" s="330"/>
    </row>
    <row r="141" spans="1:38" s="313" customFormat="1" ht="12" customHeight="1" x14ac:dyDescent="0.2">
      <c r="B141" s="865">
        <f t="shared" si="29"/>
        <v>0</v>
      </c>
      <c r="C141" s="328"/>
      <c r="D141" s="750">
        <f t="shared" si="28"/>
        <v>0</v>
      </c>
      <c r="E141" s="321"/>
      <c r="F141" s="866">
        <f t="shared" si="30"/>
        <v>0</v>
      </c>
      <c r="G141" s="310"/>
      <c r="H141" s="858">
        <f t="shared" si="31"/>
        <v>0</v>
      </c>
      <c r="I141" s="310"/>
      <c r="J141" s="867" t="str">
        <f t="shared" si="32"/>
        <v/>
      </c>
      <c r="K141" s="328"/>
      <c r="L141" s="329"/>
      <c r="M141" s="329"/>
      <c r="N141" s="329"/>
      <c r="O141" s="329"/>
      <c r="P141" s="329"/>
      <c r="Q141" s="329"/>
      <c r="R141" s="329"/>
      <c r="S141" s="329"/>
      <c r="T141" s="329"/>
      <c r="U141" s="329"/>
      <c r="V141" s="329"/>
      <c r="W141" s="329"/>
      <c r="X141" s="330"/>
    </row>
    <row r="142" spans="1:38" s="313" customFormat="1" ht="12" customHeight="1" x14ac:dyDescent="0.2">
      <c r="B142" s="865">
        <f t="shared" si="29"/>
        <v>0</v>
      </c>
      <c r="C142" s="328"/>
      <c r="D142" s="750">
        <f t="shared" si="28"/>
        <v>0</v>
      </c>
      <c r="E142" s="321"/>
      <c r="F142" s="866">
        <f t="shared" si="30"/>
        <v>0</v>
      </c>
      <c r="G142" s="310"/>
      <c r="H142" s="858">
        <f t="shared" si="31"/>
        <v>0</v>
      </c>
      <c r="I142" s="310"/>
      <c r="J142" s="867" t="str">
        <f t="shared" si="32"/>
        <v/>
      </c>
      <c r="K142" s="328"/>
      <c r="L142" s="329"/>
      <c r="M142" s="329"/>
      <c r="N142" s="329"/>
      <c r="O142" s="329"/>
      <c r="P142" s="329"/>
      <c r="Q142" s="329"/>
      <c r="R142" s="329"/>
      <c r="S142" s="329"/>
      <c r="T142" s="329"/>
      <c r="U142" s="329"/>
      <c r="V142" s="329"/>
      <c r="W142" s="329"/>
      <c r="X142" s="330"/>
    </row>
    <row r="143" spans="1:38" s="313" customFormat="1" ht="12" customHeight="1" x14ac:dyDescent="0.2">
      <c r="B143" s="865">
        <f t="shared" si="29"/>
        <v>0</v>
      </c>
      <c r="C143" s="328"/>
      <c r="D143" s="750">
        <f t="shared" si="28"/>
        <v>0</v>
      </c>
      <c r="E143" s="321"/>
      <c r="F143" s="866">
        <f t="shared" si="30"/>
        <v>0</v>
      </c>
      <c r="G143" s="310"/>
      <c r="H143" s="858">
        <f t="shared" si="31"/>
        <v>0</v>
      </c>
      <c r="I143" s="310"/>
      <c r="J143" s="867" t="str">
        <f t="shared" si="32"/>
        <v/>
      </c>
      <c r="K143" s="328"/>
      <c r="L143" s="329"/>
      <c r="M143" s="329"/>
      <c r="N143" s="329"/>
      <c r="O143" s="329"/>
      <c r="P143" s="329"/>
      <c r="Q143" s="329"/>
      <c r="R143" s="329"/>
      <c r="S143" s="329"/>
      <c r="T143" s="329"/>
      <c r="U143" s="329"/>
      <c r="V143" s="329"/>
      <c r="W143" s="329"/>
      <c r="X143" s="330"/>
    </row>
    <row r="144" spans="1:38" s="313" customFormat="1" ht="12" customHeight="1" x14ac:dyDescent="0.2">
      <c r="B144" s="865">
        <f t="shared" si="29"/>
        <v>0</v>
      </c>
      <c r="C144" s="328"/>
      <c r="D144" s="750">
        <f t="shared" si="28"/>
        <v>0</v>
      </c>
      <c r="E144" s="321"/>
      <c r="F144" s="866">
        <f t="shared" si="30"/>
        <v>0</v>
      </c>
      <c r="G144" s="310"/>
      <c r="H144" s="858">
        <f t="shared" si="31"/>
        <v>0</v>
      </c>
      <c r="I144" s="310"/>
      <c r="J144" s="867" t="str">
        <f t="shared" si="32"/>
        <v/>
      </c>
      <c r="K144" s="328"/>
      <c r="L144" s="329"/>
      <c r="M144" s="329"/>
      <c r="N144" s="329"/>
      <c r="O144" s="329"/>
      <c r="P144" s="329"/>
      <c r="Q144" s="329"/>
      <c r="R144" s="329"/>
      <c r="S144" s="329"/>
      <c r="T144" s="329"/>
      <c r="U144" s="329"/>
      <c r="V144" s="329"/>
      <c r="W144" s="329"/>
      <c r="X144" s="330"/>
    </row>
    <row r="145" spans="2:24" s="313" customFormat="1" ht="12" customHeight="1" x14ac:dyDescent="0.2">
      <c r="B145" s="865">
        <f t="shared" si="29"/>
        <v>0</v>
      </c>
      <c r="C145" s="328"/>
      <c r="D145" s="750">
        <f t="shared" si="28"/>
        <v>0</v>
      </c>
      <c r="E145" s="321"/>
      <c r="F145" s="866">
        <f t="shared" si="30"/>
        <v>0</v>
      </c>
      <c r="G145" s="310"/>
      <c r="H145" s="858">
        <f t="shared" si="31"/>
        <v>0</v>
      </c>
      <c r="I145" s="310"/>
      <c r="J145" s="867" t="str">
        <f t="shared" si="32"/>
        <v/>
      </c>
      <c r="K145" s="328"/>
      <c r="L145" s="329"/>
      <c r="M145" s="329"/>
      <c r="N145" s="329"/>
      <c r="O145" s="329"/>
      <c r="P145" s="329"/>
      <c r="Q145" s="329"/>
      <c r="R145" s="329"/>
      <c r="S145" s="329"/>
      <c r="T145" s="329"/>
      <c r="U145" s="329"/>
      <c r="V145" s="329"/>
      <c r="W145" s="329"/>
      <c r="X145" s="330"/>
    </row>
    <row r="146" spans="2:24" s="313" customFormat="1" ht="12" customHeight="1" x14ac:dyDescent="0.2">
      <c r="B146" s="744" t="str">
        <f>+B115</f>
        <v>Facturacio Extra Variable</v>
      </c>
      <c r="C146" s="328"/>
      <c r="D146" s="811"/>
      <c r="E146" s="321"/>
      <c r="F146" s="811"/>
      <c r="G146" s="310"/>
      <c r="H146" s="711"/>
      <c r="I146" s="310"/>
      <c r="J146" s="868"/>
      <c r="K146" s="328"/>
      <c r="L146" s="329"/>
      <c r="M146" s="329"/>
      <c r="N146" s="329"/>
      <c r="O146" s="329"/>
      <c r="P146" s="329"/>
      <c r="Q146" s="329"/>
      <c r="R146" s="329"/>
      <c r="S146" s="329"/>
      <c r="T146" s="329"/>
      <c r="U146" s="329"/>
      <c r="V146" s="329"/>
      <c r="W146" s="329"/>
      <c r="X146" s="330"/>
    </row>
    <row r="147" spans="2:24" s="313" customFormat="1" ht="12" customHeight="1" x14ac:dyDescent="0.2">
      <c r="B147" s="865">
        <f>+B116</f>
        <v>0</v>
      </c>
      <c r="C147" s="328"/>
      <c r="D147" s="750">
        <f t="shared" ref="D147:D154" si="33">D116*F116</f>
        <v>0</v>
      </c>
      <c r="E147" s="321"/>
      <c r="F147" s="866">
        <f t="shared" si="30"/>
        <v>0</v>
      </c>
      <c r="G147" s="310"/>
      <c r="H147" s="858">
        <f>+F147-D147</f>
        <v>0</v>
      </c>
      <c r="I147" s="310"/>
      <c r="J147" s="867" t="str">
        <f t="shared" si="32"/>
        <v/>
      </c>
      <c r="K147" s="328"/>
      <c r="L147" s="329"/>
      <c r="M147" s="329"/>
      <c r="N147" s="329"/>
      <c r="O147" s="329"/>
      <c r="P147" s="329"/>
      <c r="Q147" s="329"/>
      <c r="R147" s="329"/>
      <c r="S147" s="329"/>
      <c r="T147" s="329"/>
      <c r="U147" s="329"/>
      <c r="V147" s="329"/>
      <c r="W147" s="329"/>
      <c r="X147" s="330"/>
    </row>
    <row r="148" spans="2:24" s="313" customFormat="1" ht="12" customHeight="1" x14ac:dyDescent="0.2">
      <c r="B148" s="865">
        <f t="shared" ref="B148:B154" si="34">+B117</f>
        <v>0</v>
      </c>
      <c r="C148" s="328"/>
      <c r="D148" s="750">
        <f t="shared" si="33"/>
        <v>0</v>
      </c>
      <c r="E148" s="321"/>
      <c r="F148" s="866">
        <f t="shared" si="30"/>
        <v>0</v>
      </c>
      <c r="G148" s="310"/>
      <c r="H148" s="858">
        <f t="shared" ref="H148:H154" si="35">+F148-D148</f>
        <v>0</v>
      </c>
      <c r="I148" s="310"/>
      <c r="J148" s="867" t="str">
        <f t="shared" si="32"/>
        <v/>
      </c>
      <c r="K148" s="328"/>
      <c r="L148" s="329"/>
      <c r="M148" s="329"/>
      <c r="N148" s="329"/>
      <c r="O148" s="329"/>
      <c r="P148" s="329"/>
      <c r="Q148" s="329"/>
      <c r="R148" s="329"/>
      <c r="S148" s="329"/>
      <c r="T148" s="329"/>
      <c r="U148" s="329"/>
      <c r="V148" s="329"/>
      <c r="W148" s="329"/>
      <c r="X148" s="330"/>
    </row>
    <row r="149" spans="2:24" s="313" customFormat="1" ht="12" customHeight="1" x14ac:dyDescent="0.2">
      <c r="B149" s="865">
        <f t="shared" si="34"/>
        <v>0</v>
      </c>
      <c r="C149" s="328"/>
      <c r="D149" s="750">
        <f t="shared" si="33"/>
        <v>0</v>
      </c>
      <c r="E149" s="321"/>
      <c r="F149" s="866">
        <f t="shared" si="30"/>
        <v>0</v>
      </c>
      <c r="G149" s="310"/>
      <c r="H149" s="858">
        <f t="shared" si="35"/>
        <v>0</v>
      </c>
      <c r="I149" s="310"/>
      <c r="J149" s="867" t="str">
        <f t="shared" si="32"/>
        <v/>
      </c>
      <c r="K149" s="328"/>
      <c r="L149" s="329"/>
      <c r="M149" s="329"/>
      <c r="N149" s="329"/>
      <c r="O149" s="329"/>
      <c r="P149" s="329"/>
      <c r="Q149" s="329"/>
      <c r="R149" s="329"/>
      <c r="S149" s="329"/>
      <c r="T149" s="329"/>
      <c r="U149" s="329"/>
      <c r="V149" s="329"/>
      <c r="W149" s="329"/>
      <c r="X149" s="330"/>
    </row>
    <row r="150" spans="2:24" s="313" customFormat="1" ht="12" customHeight="1" x14ac:dyDescent="0.2">
      <c r="B150" s="865">
        <f t="shared" si="34"/>
        <v>0</v>
      </c>
      <c r="C150" s="328"/>
      <c r="D150" s="750">
        <f t="shared" si="33"/>
        <v>0</v>
      </c>
      <c r="E150" s="321"/>
      <c r="F150" s="866">
        <f t="shared" si="30"/>
        <v>0</v>
      </c>
      <c r="G150" s="310"/>
      <c r="H150" s="858">
        <f t="shared" si="35"/>
        <v>0</v>
      </c>
      <c r="I150" s="310"/>
      <c r="J150" s="867" t="str">
        <f t="shared" si="32"/>
        <v/>
      </c>
      <c r="K150" s="328"/>
      <c r="L150" s="329"/>
      <c r="M150" s="329"/>
      <c r="N150" s="329"/>
      <c r="O150" s="329"/>
      <c r="P150" s="329"/>
      <c r="Q150" s="329"/>
      <c r="R150" s="329"/>
      <c r="S150" s="329"/>
      <c r="T150" s="329"/>
      <c r="U150" s="329"/>
      <c r="V150" s="329"/>
      <c r="W150" s="329"/>
      <c r="X150" s="330"/>
    </row>
    <row r="151" spans="2:24" s="313" customFormat="1" ht="12" customHeight="1" x14ac:dyDescent="0.2">
      <c r="B151" s="865">
        <f t="shared" si="34"/>
        <v>0</v>
      </c>
      <c r="C151" s="328"/>
      <c r="D151" s="750">
        <f t="shared" si="33"/>
        <v>0</v>
      </c>
      <c r="E151" s="321"/>
      <c r="F151" s="866">
        <f t="shared" si="30"/>
        <v>0</v>
      </c>
      <c r="G151" s="310"/>
      <c r="H151" s="858">
        <f t="shared" si="35"/>
        <v>0</v>
      </c>
      <c r="I151" s="310"/>
      <c r="J151" s="867" t="str">
        <f t="shared" si="32"/>
        <v/>
      </c>
      <c r="K151" s="328"/>
      <c r="L151" s="329"/>
      <c r="M151" s="329"/>
      <c r="N151" s="329"/>
      <c r="O151" s="329"/>
      <c r="P151" s="329"/>
      <c r="Q151" s="329"/>
      <c r="R151" s="329"/>
      <c r="S151" s="329"/>
      <c r="T151" s="329"/>
      <c r="U151" s="329"/>
      <c r="V151" s="329"/>
      <c r="W151" s="329"/>
      <c r="X151" s="330"/>
    </row>
    <row r="152" spans="2:24" s="313" customFormat="1" ht="12" customHeight="1" x14ac:dyDescent="0.2">
      <c r="B152" s="865">
        <f t="shared" si="34"/>
        <v>0</v>
      </c>
      <c r="C152" s="328"/>
      <c r="D152" s="750">
        <f t="shared" si="33"/>
        <v>0</v>
      </c>
      <c r="E152" s="321"/>
      <c r="F152" s="866">
        <f t="shared" si="30"/>
        <v>0</v>
      </c>
      <c r="G152" s="310"/>
      <c r="H152" s="858">
        <f t="shared" si="35"/>
        <v>0</v>
      </c>
      <c r="I152" s="310"/>
      <c r="J152" s="867" t="str">
        <f t="shared" si="32"/>
        <v/>
      </c>
      <c r="K152" s="328"/>
      <c r="L152" s="329"/>
      <c r="M152" s="329"/>
      <c r="N152" s="329"/>
      <c r="O152" s="329"/>
      <c r="P152" s="329"/>
      <c r="Q152" s="329"/>
      <c r="R152" s="329"/>
      <c r="S152" s="329"/>
      <c r="T152" s="329"/>
      <c r="U152" s="329"/>
      <c r="V152" s="329"/>
      <c r="W152" s="329"/>
      <c r="X152" s="330"/>
    </row>
    <row r="153" spans="2:24" ht="12" customHeight="1" x14ac:dyDescent="0.2">
      <c r="B153" s="865">
        <f t="shared" si="34"/>
        <v>0</v>
      </c>
      <c r="D153" s="750">
        <f t="shared" si="33"/>
        <v>0</v>
      </c>
      <c r="E153" s="321"/>
      <c r="F153" s="866">
        <f t="shared" si="30"/>
        <v>0</v>
      </c>
      <c r="G153" s="310"/>
      <c r="H153" s="858">
        <f t="shared" si="35"/>
        <v>0</v>
      </c>
      <c r="I153" s="310"/>
      <c r="J153" s="867" t="str">
        <f t="shared" si="32"/>
        <v/>
      </c>
    </row>
    <row r="154" spans="2:24" ht="12" customHeight="1" x14ac:dyDescent="0.2">
      <c r="B154" s="865">
        <f t="shared" si="34"/>
        <v>0</v>
      </c>
      <c r="D154" s="750">
        <f t="shared" si="33"/>
        <v>0</v>
      </c>
      <c r="E154" s="321"/>
      <c r="F154" s="866">
        <f t="shared" si="30"/>
        <v>0</v>
      </c>
      <c r="G154" s="310"/>
      <c r="H154" s="858">
        <f t="shared" si="35"/>
        <v>0</v>
      </c>
      <c r="I154" s="310"/>
      <c r="J154" s="867" t="str">
        <f t="shared" si="32"/>
        <v/>
      </c>
    </row>
    <row r="155" spans="2:24" ht="12" customHeight="1" x14ac:dyDescent="0.2">
      <c r="B155" s="744" t="str">
        <f>+B124</f>
        <v>Facturacion Extra Personal</v>
      </c>
      <c r="D155" s="811"/>
      <c r="E155" s="321"/>
      <c r="F155" s="811"/>
      <c r="G155" s="310"/>
      <c r="H155" s="711"/>
      <c r="I155" s="310"/>
      <c r="J155" s="868"/>
    </row>
    <row r="156" spans="2:24" ht="12" customHeight="1" x14ac:dyDescent="0.2">
      <c r="B156" s="865">
        <f>+B125</f>
        <v>0</v>
      </c>
      <c r="D156" s="750">
        <f t="shared" ref="D156:D163" si="36">D125*F125</f>
        <v>0</v>
      </c>
      <c r="E156" s="321"/>
      <c r="F156" s="866">
        <f t="shared" si="30"/>
        <v>0</v>
      </c>
      <c r="G156" s="310"/>
      <c r="H156" s="858">
        <f>+F156-D156</f>
        <v>0</v>
      </c>
      <c r="I156" s="310"/>
      <c r="J156" s="867" t="str">
        <f t="shared" si="32"/>
        <v/>
      </c>
    </row>
    <row r="157" spans="2:24" ht="12" customHeight="1" x14ac:dyDescent="0.2">
      <c r="B157" s="865">
        <f t="shared" ref="B157:B163" si="37">+B126</f>
        <v>0</v>
      </c>
      <c r="D157" s="750">
        <f t="shared" si="36"/>
        <v>0</v>
      </c>
      <c r="E157" s="321"/>
      <c r="F157" s="866">
        <f t="shared" si="30"/>
        <v>0</v>
      </c>
      <c r="G157" s="310"/>
      <c r="H157" s="858">
        <f t="shared" ref="H157:H163" si="38">+F157-D157</f>
        <v>0</v>
      </c>
      <c r="I157" s="310"/>
      <c r="J157" s="867" t="str">
        <f t="shared" si="32"/>
        <v/>
      </c>
    </row>
    <row r="158" spans="2:24" ht="12" customHeight="1" x14ac:dyDescent="0.2">
      <c r="B158" s="865">
        <f t="shared" si="37"/>
        <v>0</v>
      </c>
      <c r="D158" s="750">
        <f t="shared" si="36"/>
        <v>0</v>
      </c>
      <c r="E158" s="321"/>
      <c r="F158" s="866">
        <f t="shared" si="30"/>
        <v>0</v>
      </c>
      <c r="G158" s="310"/>
      <c r="H158" s="858">
        <f t="shared" si="38"/>
        <v>0</v>
      </c>
      <c r="I158" s="310"/>
      <c r="J158" s="867" t="str">
        <f t="shared" si="32"/>
        <v/>
      </c>
    </row>
    <row r="159" spans="2:24" ht="12" customHeight="1" x14ac:dyDescent="0.2">
      <c r="B159" s="865">
        <f t="shared" si="37"/>
        <v>0</v>
      </c>
      <c r="D159" s="750">
        <f t="shared" si="36"/>
        <v>0</v>
      </c>
      <c r="E159" s="321"/>
      <c r="F159" s="866">
        <f t="shared" si="30"/>
        <v>0</v>
      </c>
      <c r="G159" s="310"/>
      <c r="H159" s="858">
        <f t="shared" si="38"/>
        <v>0</v>
      </c>
      <c r="I159" s="310"/>
      <c r="J159" s="867" t="str">
        <f t="shared" si="32"/>
        <v/>
      </c>
    </row>
    <row r="160" spans="2:24" ht="12" customHeight="1" x14ac:dyDescent="0.2">
      <c r="B160" s="865">
        <f t="shared" si="37"/>
        <v>0</v>
      </c>
      <c r="D160" s="750">
        <f t="shared" si="36"/>
        <v>0</v>
      </c>
      <c r="E160" s="321"/>
      <c r="F160" s="866">
        <f t="shared" si="30"/>
        <v>0</v>
      </c>
      <c r="G160" s="310"/>
      <c r="H160" s="858">
        <f t="shared" si="38"/>
        <v>0</v>
      </c>
      <c r="I160" s="310"/>
      <c r="J160" s="867" t="str">
        <f t="shared" si="32"/>
        <v/>
      </c>
    </row>
    <row r="161" spans="2:10" ht="12" customHeight="1" x14ac:dyDescent="0.2">
      <c r="B161" s="865">
        <f t="shared" si="37"/>
        <v>0</v>
      </c>
      <c r="D161" s="750">
        <f t="shared" si="36"/>
        <v>0</v>
      </c>
      <c r="E161" s="321"/>
      <c r="F161" s="866">
        <f t="shared" si="30"/>
        <v>0</v>
      </c>
      <c r="G161" s="310"/>
      <c r="H161" s="858">
        <f t="shared" si="38"/>
        <v>0</v>
      </c>
      <c r="I161" s="310"/>
      <c r="J161" s="867" t="str">
        <f t="shared" si="32"/>
        <v/>
      </c>
    </row>
    <row r="162" spans="2:10" ht="12" customHeight="1" x14ac:dyDescent="0.2">
      <c r="B162" s="865">
        <f t="shared" si="37"/>
        <v>0</v>
      </c>
      <c r="D162" s="750">
        <f t="shared" si="36"/>
        <v>0</v>
      </c>
      <c r="E162" s="321"/>
      <c r="F162" s="866">
        <f t="shared" si="30"/>
        <v>0</v>
      </c>
      <c r="G162" s="310"/>
      <c r="H162" s="858">
        <f t="shared" si="38"/>
        <v>0</v>
      </c>
      <c r="I162" s="310"/>
      <c r="J162" s="867" t="str">
        <f t="shared" si="32"/>
        <v/>
      </c>
    </row>
    <row r="163" spans="2:10" ht="12" customHeight="1" x14ac:dyDescent="0.2">
      <c r="B163" s="865">
        <f t="shared" si="37"/>
        <v>0</v>
      </c>
      <c r="D163" s="750">
        <f t="shared" si="36"/>
        <v>0</v>
      </c>
      <c r="E163" s="321"/>
      <c r="F163" s="866">
        <f t="shared" si="30"/>
        <v>0</v>
      </c>
      <c r="G163" s="310"/>
      <c r="H163" s="858">
        <f t="shared" si="38"/>
        <v>0</v>
      </c>
      <c r="I163" s="310"/>
      <c r="J163" s="867" t="str">
        <f t="shared" si="32"/>
        <v/>
      </c>
    </row>
    <row r="164" spans="2:10" ht="25.5" customHeight="1" x14ac:dyDescent="0.2">
      <c r="B164" s="869" t="s">
        <v>246</v>
      </c>
      <c r="D164" s="822">
        <f>+D138+D139+D140+D141+D142+D143+D144+D145+D147+D148+D149+D150+D151+D153+D152+D154+D156+D157+D158+D159+D160+D161+D162+D163</f>
        <v>0</v>
      </c>
      <c r="E164" s="321"/>
      <c r="F164" s="822">
        <f>+F138+F139+F140+F141+F142+F143+F144+F145+F147+F148+F149+F150+F151+F153+F152+F154+F156+F157+F158+F159+F160+F161+F162+F163</f>
        <v>0</v>
      </c>
      <c r="G164" s="310"/>
      <c r="H164" s="822">
        <f>+H138+H139+H140+H141+H142+H143+H144+H145+H147+H148+H149+H150+H151+H153+H152+H154+H156+H157+H158+H159+H160+H161+H162+H163</f>
        <v>0</v>
      </c>
      <c r="I164" s="310"/>
      <c r="J164" s="870">
        <f>IFERROR(H164/F164,0)</f>
        <v>0</v>
      </c>
    </row>
  </sheetData>
  <sheetProtection sheet="1" formatCells="0" formatColumns="0"/>
  <sortState xmlns:xlrd2="http://schemas.microsoft.com/office/spreadsheetml/2017/richdata2" ref="B5:B21">
    <sortCondition ref="B21"/>
  </sortState>
  <mergeCells count="9">
    <mergeCell ref="K28:K33"/>
    <mergeCell ref="A5:A31"/>
    <mergeCell ref="A38:A64"/>
    <mergeCell ref="K12:K26"/>
    <mergeCell ref="L104:X104"/>
    <mergeCell ref="Z104:AL104"/>
    <mergeCell ref="K46:K51"/>
    <mergeCell ref="K76:K81"/>
    <mergeCell ref="K114:K119"/>
  </mergeCells>
  <conditionalFormatting sqref="H138:H164">
    <cfRule type="cellIs" dxfId="63" priority="3" operator="lessThan">
      <formula>0</formula>
    </cfRule>
  </conditionalFormatting>
  <conditionalFormatting sqref="F164">
    <cfRule type="cellIs" dxfId="62" priority="2" operator="lessThan">
      <formula>0</formula>
    </cfRule>
  </conditionalFormatting>
  <conditionalFormatting sqref="D164">
    <cfRule type="cellIs" dxfId="61" priority="1" operator="lessThan">
      <formula>0</formula>
    </cfRule>
  </conditionalFormatting>
  <dataValidations count="9">
    <dataValidation type="list" allowBlank="1" showInputMessage="1" showErrorMessage="1" sqref="L3:W3 L36:X36" xr:uid="{3614C0C9-D6F4-4ED3-98B0-8173EAC79F7B}">
      <formula1>Meses</formula1>
    </dataValidation>
    <dataValidation type="list" allowBlank="1" showInputMessage="1" showErrorMessage="1" sqref="D65:D67 D103:D105 D84:D87 D101 D32:D35" xr:uid="{F989AC6F-7E3E-4575-90B2-7429D3DC4420}">
      <formula1>Tipo_Comensal</formula1>
    </dataValidation>
    <dataValidation type="list" allowBlank="1" showInputMessage="1" showErrorMessage="1" sqref="B35 B66:B67" xr:uid="{2B824905-8E7E-4C3F-BDFB-B2DD0AFB1010}">
      <formula1>Tipo_Dieta</formula1>
    </dataValidation>
    <dataValidation type="list" allowBlank="1" showInputMessage="1" showErrorMessage="1" sqref="B65 B5:B22 B32:B34" xr:uid="{3F302D29-D926-4F80-A481-A91C5484377A}">
      <formula1>Complementos</formula1>
    </dataValidation>
    <dataValidation type="list" allowBlank="1" showInputMessage="1" showErrorMessage="1" sqref="B38:B60" xr:uid="{A719DDAB-F9DF-43C8-B9AC-2C3CBAE322F1}">
      <formula1>Variables</formula1>
    </dataValidation>
    <dataValidation type="list" allowBlank="1" showInputMessage="1" showErrorMessage="1" sqref="F38:F41 F45:F64 F44" xr:uid="{CC70E0A9-EFED-4A41-859D-92C459CF447A}">
      <formula1>"SI,NO"</formula1>
    </dataValidation>
    <dataValidation type="list" allowBlank="1" showInputMessage="1" showErrorMessage="1" sqref="B70:B83" xr:uid="{D3A46014-1943-47F1-9C78-CA6CD58210D5}">
      <formula1>proyectoEducativo</formula1>
    </dataValidation>
    <dataValidation type="list" allowBlank="1" showInputMessage="1" showErrorMessage="1" sqref="B89" xr:uid="{4A524C5C-B444-47EC-BF6B-C8035D14EE78}">
      <formula1>"Tablet,Sin Tablet"</formula1>
    </dataValidation>
    <dataValidation type="list" allowBlank="1" showInputMessage="1" showErrorMessage="1" sqref="F42:F43" xr:uid="{115B8FD4-0FF5-479D-913D-FED985AFF085}">
      <formula1>"SI,REDUCIDO,NO"</formula1>
    </dataValidation>
  </dataValidations>
  <pageMargins left="0.23622047244094491" right="0.23622047244094491" top="0.51181102362204722" bottom="0.31496062992125984" header="0.19685039370078741" footer="0.23622047244094491"/>
  <pageSetup paperSize="9" scale="50" orientation="landscape" r:id="rId1"/>
  <headerFooter alignWithMargins="0">
    <oddHeader>&amp;L&amp;"Arial,Negrita"&amp;18Grupo Serunión: Presupuestos (Consulta)</oddHeader>
  </headerFooter>
  <ignoredErrors>
    <ignoredError sqref="L32:W32 J38 L65:W65 L84:W84 L133:W133 J61:J64 J18 E15:E17 G15:G17 I15:I17 J23:J31 J40:J41 J4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pasar_datos_complementos">
                <anchor moveWithCells="1" sizeWithCells="1">
                  <from>
                    <xdr:col>10</xdr:col>
                    <xdr:colOff>66675</xdr:colOff>
                    <xdr:row>6</xdr:row>
                    <xdr:rowOff>28575</xdr:rowOff>
                  </from>
                  <to>
                    <xdr:col>10</xdr:col>
                    <xdr:colOff>1019175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5" name="Button 4">
              <controlPr defaultSize="0" print="0" autoFill="0" autoPict="0" macro="[0]!pasar_datos_variables">
                <anchor moveWithCells="1" sizeWithCells="1">
                  <from>
                    <xdr:col>10</xdr:col>
                    <xdr:colOff>66675</xdr:colOff>
                    <xdr:row>39</xdr:row>
                    <xdr:rowOff>28575</xdr:rowOff>
                  </from>
                  <to>
                    <xdr:col>10</xdr:col>
                    <xdr:colOff>990600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1" r:id="rId6" name="Button 27">
              <controlPr defaultSize="0" print="0" autoFill="0" autoPict="0" macro="[0]!pasar_datos_inversion">
                <anchor moveWithCells="1" sizeWithCells="1">
                  <from>
                    <xdr:col>10</xdr:col>
                    <xdr:colOff>114300</xdr:colOff>
                    <xdr:row>88</xdr:row>
                    <xdr:rowOff>38100</xdr:rowOff>
                  </from>
                  <to>
                    <xdr:col>10</xdr:col>
                    <xdr:colOff>981075</xdr:colOff>
                    <xdr:row>92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7" r:id="rId7" name="Button 33">
              <controlPr defaultSize="0" print="0" autoFill="0" autoPict="0" macro="[0]!pasar_datos_proyectoEdu">
                <anchor moveWithCells="1" sizeWithCells="1">
                  <from>
                    <xdr:col>10</xdr:col>
                    <xdr:colOff>142875</xdr:colOff>
                    <xdr:row>69</xdr:row>
                    <xdr:rowOff>76200</xdr:rowOff>
                  </from>
                  <to>
                    <xdr:col>10</xdr:col>
                    <xdr:colOff>981075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9" r:id="rId8" name="Button 35">
              <controlPr defaultSize="0" print="0" autoFill="0" autoPict="0" macro="[0]!pasar_datos_facturacion">
                <anchor moveWithCells="1" sizeWithCells="1">
                  <from>
                    <xdr:col>10</xdr:col>
                    <xdr:colOff>142875</xdr:colOff>
                    <xdr:row>106</xdr:row>
                    <xdr:rowOff>28575</xdr:rowOff>
                  </from>
                  <to>
                    <xdr:col>10</xdr:col>
                    <xdr:colOff>981075</xdr:colOff>
                    <xdr:row>110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3AA8C-4D2D-4E32-9ED0-A60B3E8CFDF4}">
  <sheetPr codeName="Hoja3">
    <tabColor theme="3" tint="0.39997558519241921"/>
  </sheetPr>
  <dimension ref="A1:T39"/>
  <sheetViews>
    <sheetView showGridLines="0" topLeftCell="A6" zoomScaleNormal="100" workbookViewId="0">
      <selection activeCell="B33" sqref="B33"/>
    </sheetView>
  </sheetViews>
  <sheetFormatPr baseColWidth="10" defaultColWidth="11.42578125" defaultRowHeight="12.75" x14ac:dyDescent="0.2"/>
  <cols>
    <col min="1" max="1" width="11.42578125" style="208" customWidth="1"/>
    <col min="2" max="2" width="28.42578125" style="236" customWidth="1"/>
    <col min="3" max="3" width="1.42578125" customWidth="1"/>
    <col min="4" max="11" width="13.5703125" customWidth="1"/>
    <col min="12" max="12" width="14.42578125" customWidth="1"/>
    <col min="13" max="16" width="13.5703125" customWidth="1"/>
    <col min="17" max="17" width="6.5703125" customWidth="1"/>
  </cols>
  <sheetData>
    <row r="1" spans="1:20" ht="5.25" customHeight="1" thickBot="1" x14ac:dyDescent="0.25"/>
    <row r="2" spans="1:20" x14ac:dyDescent="0.2">
      <c r="B2" s="237" t="s">
        <v>247</v>
      </c>
      <c r="C2" s="238"/>
      <c r="D2" s="239" t="s">
        <v>248</v>
      </c>
      <c r="E2" s="240" t="s">
        <v>249</v>
      </c>
      <c r="F2" s="240" t="s">
        <v>250</v>
      </c>
      <c r="G2" s="240" t="s">
        <v>251</v>
      </c>
      <c r="H2" s="240" t="s">
        <v>252</v>
      </c>
      <c r="I2" s="240" t="s">
        <v>163</v>
      </c>
      <c r="J2" s="240" t="s">
        <v>253</v>
      </c>
      <c r="K2" s="240" t="s">
        <v>229</v>
      </c>
      <c r="L2" s="240" t="s">
        <v>254</v>
      </c>
      <c r="M2" s="240" t="s">
        <v>255</v>
      </c>
      <c r="N2" s="240" t="s">
        <v>256</v>
      </c>
      <c r="O2" s="240" t="s">
        <v>257</v>
      </c>
      <c r="P2" s="240" t="s">
        <v>258</v>
      </c>
      <c r="Q2" s="240" t="s">
        <v>259</v>
      </c>
      <c r="R2" s="334" t="s">
        <v>260</v>
      </c>
      <c r="S2" s="241" t="s">
        <v>261</v>
      </c>
    </row>
    <row r="3" spans="1:20" ht="21.75" customHeight="1" x14ac:dyDescent="0.2">
      <c r="B3" s="242">
        <f>+Datos_Generales!E8</f>
        <v>0</v>
      </c>
      <c r="C3" s="208"/>
      <c r="D3" s="250" t="str">
        <f>+Datos_Generales!E9</f>
        <v>No encontrado</v>
      </c>
      <c r="E3" s="871">
        <f>+P13+P25</f>
        <v>0</v>
      </c>
      <c r="F3" s="871">
        <f>+P17</f>
        <v>0</v>
      </c>
      <c r="G3" s="871">
        <f>+E3+F3</f>
        <v>0</v>
      </c>
      <c r="H3" s="871">
        <f>+P12</f>
        <v>0</v>
      </c>
      <c r="I3" s="871">
        <f>+P21+P20</f>
        <v>0</v>
      </c>
      <c r="J3" s="871">
        <f>+P16</f>
        <v>0</v>
      </c>
      <c r="K3" s="871">
        <f>+P33</f>
        <v>0</v>
      </c>
      <c r="L3" s="871">
        <f>+J3+I3+H3+K3+P24</f>
        <v>0</v>
      </c>
      <c r="M3" s="871">
        <f>+G3+L3</f>
        <v>0</v>
      </c>
      <c r="N3" s="872">
        <f>IFERROR(M3/G3,0)</f>
        <v>0</v>
      </c>
      <c r="O3" s="871">
        <f>+P34-P33</f>
        <v>0</v>
      </c>
      <c r="P3" s="871">
        <f>+M3+O3</f>
        <v>0</v>
      </c>
      <c r="Q3" s="873">
        <f>IFERROR(P3/G3,0)</f>
        <v>0</v>
      </c>
      <c r="R3" s="335">
        <f>+P35</f>
        <v>0</v>
      </c>
      <c r="S3" s="346">
        <f>IFERROR((P3+R3)/G3,0)</f>
        <v>0</v>
      </c>
    </row>
    <row r="4" spans="1:20" x14ac:dyDescent="0.2">
      <c r="B4" s="243"/>
      <c r="C4" s="208"/>
      <c r="D4" s="251" t="s">
        <v>262</v>
      </c>
      <c r="E4" s="252" t="s">
        <v>263</v>
      </c>
      <c r="F4" s="252" t="s">
        <v>264</v>
      </c>
      <c r="G4" s="252" t="s">
        <v>128</v>
      </c>
      <c r="H4" s="252" t="s">
        <v>265</v>
      </c>
      <c r="I4" s="252" t="s">
        <v>266</v>
      </c>
      <c r="J4" s="252"/>
      <c r="K4" s="252"/>
      <c r="L4" s="253"/>
      <c r="M4" s="253"/>
      <c r="N4" s="253"/>
      <c r="O4" s="253"/>
      <c r="P4" s="253"/>
      <c r="Q4" s="253"/>
      <c r="R4" s="253"/>
      <c r="S4" s="254"/>
    </row>
    <row r="5" spans="1:20" ht="21" customHeight="1" thickBot="1" x14ac:dyDescent="0.25">
      <c r="B5" s="244">
        <f>+Datos_Generales!E7</f>
        <v>0</v>
      </c>
      <c r="C5" s="208"/>
      <c r="D5" s="255">
        <f ca="1">+Datos_Generales!S20</f>
        <v>0</v>
      </c>
      <c r="E5" s="263">
        <f>+Datos_Generales!J33</f>
        <v>0</v>
      </c>
      <c r="F5" s="256">
        <f>+P16</f>
        <v>0</v>
      </c>
      <c r="G5" s="260">
        <f>+P12</f>
        <v>0</v>
      </c>
      <c r="H5" s="262">
        <f>+Datos_Generales!G33</f>
        <v>0</v>
      </c>
      <c r="I5" s="257">
        <f>IFERROR(Datos_Generales!S21/Datos_Generales!K13,0)</f>
        <v>0</v>
      </c>
      <c r="J5" s="260"/>
      <c r="K5" s="257"/>
      <c r="L5" s="258"/>
      <c r="M5" s="258"/>
      <c r="N5" s="258"/>
      <c r="O5" s="258"/>
      <c r="P5" s="258"/>
      <c r="Q5" s="258"/>
      <c r="R5" s="258"/>
      <c r="S5" s="259"/>
    </row>
    <row r="6" spans="1:20" ht="17.25" customHeight="1" thickBot="1" x14ac:dyDescent="0.25"/>
    <row r="7" spans="1:20" x14ac:dyDescent="0.2">
      <c r="B7" s="874"/>
      <c r="C7" s="245"/>
      <c r="D7" s="780"/>
      <c r="E7" s="780"/>
      <c r="F7" s="780"/>
      <c r="G7" s="780"/>
      <c r="H7" s="780"/>
      <c r="I7" s="780"/>
      <c r="J7" s="780"/>
      <c r="K7" s="780"/>
      <c r="L7" s="780"/>
      <c r="M7" s="780"/>
      <c r="N7" s="780"/>
      <c r="O7" s="233"/>
      <c r="P7" s="136"/>
      <c r="R7" s="136"/>
      <c r="S7" s="338"/>
    </row>
    <row r="8" spans="1:20" x14ac:dyDescent="0.2">
      <c r="B8" s="875" t="s">
        <v>176</v>
      </c>
      <c r="C8" s="245"/>
      <c r="D8" s="804">
        <f>+Datos_Generales!E36</f>
        <v>45596</v>
      </c>
      <c r="E8" s="804">
        <f>+Datos_Generales!F36</f>
        <v>45626</v>
      </c>
      <c r="F8" s="804">
        <f>+Datos_Generales!G36</f>
        <v>45657</v>
      </c>
      <c r="G8" s="804">
        <f>+Datos_Generales!H36</f>
        <v>45688</v>
      </c>
      <c r="H8" s="804">
        <f>+Datos_Generales!I36</f>
        <v>45716</v>
      </c>
      <c r="I8" s="804">
        <f>+Datos_Generales!J36</f>
        <v>45747</v>
      </c>
      <c r="J8" s="804">
        <f>+Datos_Generales!K36</f>
        <v>45777</v>
      </c>
      <c r="K8" s="804">
        <f>+Datos_Generales!L36</f>
        <v>45808</v>
      </c>
      <c r="L8" s="804">
        <f>+Datos_Generales!M36</f>
        <v>45838</v>
      </c>
      <c r="M8" s="804">
        <f>+Datos_Generales!N36</f>
        <v>45869</v>
      </c>
      <c r="N8" s="804">
        <f>+Datos_Generales!O36</f>
        <v>45900</v>
      </c>
      <c r="O8" s="209">
        <f>+Datos_Generales!P36</f>
        <v>45930</v>
      </c>
      <c r="P8" s="137" t="s">
        <v>231</v>
      </c>
      <c r="R8" s="137" t="s">
        <v>267</v>
      </c>
      <c r="S8" s="339" t="s">
        <v>268</v>
      </c>
    </row>
    <row r="9" spans="1:20" x14ac:dyDescent="0.2">
      <c r="B9" s="876" t="s">
        <v>269</v>
      </c>
      <c r="C9" s="126"/>
      <c r="D9" s="786">
        <f>SUM(Materia_Prima!J18:J29)</f>
        <v>0</v>
      </c>
      <c r="E9" s="786">
        <f>SUM(Materia_Prima!K18:K29)</f>
        <v>0</v>
      </c>
      <c r="F9" s="786">
        <f>SUM(Materia_Prima!L18:L29)</f>
        <v>0</v>
      </c>
      <c r="G9" s="786">
        <f>SUM(Materia_Prima!M18:M29)</f>
        <v>0</v>
      </c>
      <c r="H9" s="786">
        <f>SUM(Materia_Prima!N18:N29)</f>
        <v>0</v>
      </c>
      <c r="I9" s="786">
        <f>SUM(Materia_Prima!O18:O29)</f>
        <v>0</v>
      </c>
      <c r="J9" s="786">
        <f>SUM(Materia_Prima!P18:P29)</f>
        <v>0</v>
      </c>
      <c r="K9" s="786">
        <f>SUM(Materia_Prima!Q18:Q29)</f>
        <v>0</v>
      </c>
      <c r="L9" s="786">
        <f>SUM(Materia_Prima!R18:R29)</f>
        <v>0</v>
      </c>
      <c r="M9" s="786">
        <f>SUM(Materia_Prima!S18:S29)</f>
        <v>0</v>
      </c>
      <c r="N9" s="786">
        <f>SUM(Materia_Prima!T18:T29)</f>
        <v>0</v>
      </c>
      <c r="O9" s="234">
        <f>SUM(Materia_Prima!U18:U29)</f>
        <v>0</v>
      </c>
      <c r="P9" s="246">
        <f>SUM(D9:O9)</f>
        <v>0</v>
      </c>
      <c r="R9" s="246"/>
      <c r="S9" s="340"/>
    </row>
    <row r="10" spans="1:20" x14ac:dyDescent="0.2">
      <c r="B10" s="876" t="s">
        <v>270</v>
      </c>
      <c r="C10" s="126"/>
      <c r="D10" s="786">
        <f>SUM(Materia_Prima!J31:J42)</f>
        <v>0</v>
      </c>
      <c r="E10" s="786">
        <f>SUM(Materia_Prima!K31:K42)</f>
        <v>0</v>
      </c>
      <c r="F10" s="786">
        <f>SUM(Materia_Prima!L31:L42)</f>
        <v>0</v>
      </c>
      <c r="G10" s="786">
        <f>SUM(Materia_Prima!M31:M42)</f>
        <v>0</v>
      </c>
      <c r="H10" s="786">
        <f>SUM(Materia_Prima!N31:N42)</f>
        <v>0</v>
      </c>
      <c r="I10" s="786">
        <f>SUM(Materia_Prima!O31:O42)</f>
        <v>0</v>
      </c>
      <c r="J10" s="786">
        <f>SUM(Materia_Prima!P31:P42)</f>
        <v>0</v>
      </c>
      <c r="K10" s="786">
        <f>SUM(Materia_Prima!Q31:Q42)</f>
        <v>0</v>
      </c>
      <c r="L10" s="786">
        <f>SUM(Materia_Prima!R31:R42)</f>
        <v>0</v>
      </c>
      <c r="M10" s="786">
        <f>SUM(Materia_Prima!S31:S42)</f>
        <v>0</v>
      </c>
      <c r="N10" s="786">
        <f>SUM(Materia_Prima!T31:T42)</f>
        <v>0</v>
      </c>
      <c r="O10" s="234">
        <f>SUM(Materia_Prima!U31:U42)</f>
        <v>0</v>
      </c>
      <c r="P10" s="246">
        <f t="shared" ref="P10:P35" si="0">SUM(D10:O10)</f>
        <v>0</v>
      </c>
      <c r="R10" s="246"/>
      <c r="S10" s="340"/>
    </row>
    <row r="11" spans="1:20" x14ac:dyDescent="0.2">
      <c r="B11" s="876"/>
      <c r="C11" s="126"/>
      <c r="D11" s="786"/>
      <c r="E11" s="786"/>
      <c r="F11" s="786"/>
      <c r="G11" s="786"/>
      <c r="H11" s="786"/>
      <c r="I11" s="786"/>
      <c r="J11" s="786"/>
      <c r="K11" s="786"/>
      <c r="L11" s="786"/>
      <c r="M11" s="786"/>
      <c r="N11" s="786"/>
      <c r="O11" s="234"/>
      <c r="P11" s="246">
        <f t="shared" si="0"/>
        <v>0</v>
      </c>
      <c r="R11" s="246"/>
      <c r="S11" s="340"/>
    </row>
    <row r="12" spans="1:20" x14ac:dyDescent="0.2">
      <c r="B12" s="876" t="s">
        <v>271</v>
      </c>
      <c r="C12" s="126"/>
      <c r="D12" s="786">
        <f>+Materia_Prima!J84*-1</f>
        <v>0</v>
      </c>
      <c r="E12" s="786">
        <f>+Materia_Prima!K84*-1</f>
        <v>0</v>
      </c>
      <c r="F12" s="786">
        <f>+Materia_Prima!L84*-1</f>
        <v>0</v>
      </c>
      <c r="G12" s="786">
        <f>+Materia_Prima!M84*-1</f>
        <v>0</v>
      </c>
      <c r="H12" s="786">
        <f>+Materia_Prima!N84*-1</f>
        <v>0</v>
      </c>
      <c r="I12" s="786">
        <f>+Materia_Prima!O84*-1</f>
        <v>0</v>
      </c>
      <c r="J12" s="786">
        <f>+Materia_Prima!P84*-1</f>
        <v>0</v>
      </c>
      <c r="K12" s="786">
        <f>+Materia_Prima!Q84*-1</f>
        <v>0</v>
      </c>
      <c r="L12" s="786">
        <f>+Materia_Prima!R84*-1</f>
        <v>0</v>
      </c>
      <c r="M12" s="786">
        <f>+Materia_Prima!S84*-1</f>
        <v>0</v>
      </c>
      <c r="N12" s="786">
        <f>+Materia_Prima!T84*-1</f>
        <v>0</v>
      </c>
      <c r="O12" s="234">
        <f>+Materia_Prima!U84*-1</f>
        <v>0</v>
      </c>
      <c r="P12" s="246">
        <f>+Materia_Prima!V84*-1</f>
        <v>0</v>
      </c>
      <c r="R12" s="246"/>
      <c r="S12" s="340"/>
    </row>
    <row r="13" spans="1:20" x14ac:dyDescent="0.2">
      <c r="B13" s="876" t="s">
        <v>272</v>
      </c>
      <c r="C13" s="126"/>
      <c r="D13" s="786">
        <f>+Materia_Prima!J85</f>
        <v>0</v>
      </c>
      <c r="E13" s="786">
        <f>+Materia_Prima!K85</f>
        <v>0</v>
      </c>
      <c r="F13" s="786">
        <f>+Materia_Prima!L85</f>
        <v>0</v>
      </c>
      <c r="G13" s="786">
        <f>+Materia_Prima!M85</f>
        <v>0</v>
      </c>
      <c r="H13" s="786">
        <f>+Materia_Prima!N85</f>
        <v>0</v>
      </c>
      <c r="I13" s="786">
        <f>+Materia_Prima!O85</f>
        <v>0</v>
      </c>
      <c r="J13" s="786">
        <f>+Materia_Prima!P85</f>
        <v>0</v>
      </c>
      <c r="K13" s="786">
        <f>+Materia_Prima!Q85</f>
        <v>0</v>
      </c>
      <c r="L13" s="786">
        <f>+Materia_Prima!R85</f>
        <v>0</v>
      </c>
      <c r="M13" s="786">
        <f>+Materia_Prima!S85</f>
        <v>0</v>
      </c>
      <c r="N13" s="786">
        <f>+Materia_Prima!T85</f>
        <v>0</v>
      </c>
      <c r="O13" s="234">
        <f>+Materia_Prima!U85</f>
        <v>0</v>
      </c>
      <c r="P13" s="246">
        <f t="shared" si="0"/>
        <v>0</v>
      </c>
      <c r="R13" s="246"/>
      <c r="S13" s="340"/>
    </row>
    <row r="14" spans="1:20" x14ac:dyDescent="0.2">
      <c r="A14" s="208" t="s">
        <v>273</v>
      </c>
      <c r="B14" s="877" t="s">
        <v>274</v>
      </c>
      <c r="C14" s="126"/>
      <c r="D14" s="878">
        <f>+Materia_Prima!J86</f>
        <v>0</v>
      </c>
      <c r="E14" s="878">
        <f>+Materia_Prima!K86</f>
        <v>0</v>
      </c>
      <c r="F14" s="878">
        <f>+Materia_Prima!L86</f>
        <v>0</v>
      </c>
      <c r="G14" s="878">
        <f>+Materia_Prima!M86</f>
        <v>0</v>
      </c>
      <c r="H14" s="878">
        <f>+Materia_Prima!N86</f>
        <v>0</v>
      </c>
      <c r="I14" s="878">
        <f>+Materia_Prima!O86</f>
        <v>0</v>
      </c>
      <c r="J14" s="878">
        <f>+Materia_Prima!P86</f>
        <v>0</v>
      </c>
      <c r="K14" s="878">
        <f>+Materia_Prima!Q86</f>
        <v>0</v>
      </c>
      <c r="L14" s="878">
        <f>+Materia_Prima!R86</f>
        <v>0</v>
      </c>
      <c r="M14" s="878">
        <f>+Materia_Prima!S86</f>
        <v>0</v>
      </c>
      <c r="N14" s="878">
        <f>+Materia_Prima!T86</f>
        <v>0</v>
      </c>
      <c r="O14" s="247">
        <f>+Materia_Prima!U86</f>
        <v>0</v>
      </c>
      <c r="P14" s="248">
        <f t="shared" si="0"/>
        <v>0</v>
      </c>
      <c r="R14" s="248">
        <f>+P13+P12</f>
        <v>0</v>
      </c>
      <c r="S14" s="341">
        <f>IFERROR(P14/P13,0)</f>
        <v>0</v>
      </c>
      <c r="T14" s="1" t="s">
        <v>273</v>
      </c>
    </row>
    <row r="15" spans="1:20" x14ac:dyDescent="0.2">
      <c r="B15" s="876"/>
      <c r="C15" s="126"/>
      <c r="D15" s="786"/>
      <c r="E15" s="786"/>
      <c r="F15" s="786"/>
      <c r="G15" s="786"/>
      <c r="H15" s="786"/>
      <c r="I15" s="786"/>
      <c r="J15" s="786"/>
      <c r="K15" s="786"/>
      <c r="L15" s="786"/>
      <c r="M15" s="786"/>
      <c r="N15" s="786"/>
      <c r="O15" s="234"/>
      <c r="P15" s="246">
        <f t="shared" si="0"/>
        <v>0</v>
      </c>
      <c r="R15" s="246"/>
      <c r="S15" s="340"/>
    </row>
    <row r="16" spans="1:20" x14ac:dyDescent="0.2">
      <c r="B16" s="876" t="s">
        <v>275</v>
      </c>
      <c r="C16" s="126"/>
      <c r="D16" s="786">
        <f>(Mano_obra!S$31)*-1-D30</f>
        <v>0</v>
      </c>
      <c r="E16" s="786">
        <f>(Mano_obra!T$31)*-1-E30</f>
        <v>0</v>
      </c>
      <c r="F16" s="786">
        <f>(Mano_obra!U$31)*-1-F30</f>
        <v>0</v>
      </c>
      <c r="G16" s="786">
        <f>(Mano_obra!V$31)*-1-G30</f>
        <v>0</v>
      </c>
      <c r="H16" s="786">
        <f>(Mano_obra!W$31)*-1-H30</f>
        <v>0</v>
      </c>
      <c r="I16" s="786">
        <f>(Mano_obra!X$31)*-1-I30</f>
        <v>0</v>
      </c>
      <c r="J16" s="786">
        <f>(Mano_obra!Y$31)*-1-J30</f>
        <v>0</v>
      </c>
      <c r="K16" s="786">
        <f>(Mano_obra!Z$31)*-1-K30</f>
        <v>0</v>
      </c>
      <c r="L16" s="786">
        <f>(Mano_obra!AA$31)*-1-L30</f>
        <v>0</v>
      </c>
      <c r="M16" s="786">
        <f>(Mano_obra!AB$31)*-1-M30</f>
        <v>0</v>
      </c>
      <c r="N16" s="786">
        <f>(Mano_obra!AC$31)*-1-N30</f>
        <v>0</v>
      </c>
      <c r="O16" s="234">
        <f>(Mano_obra!AD$31)*-1-O30</f>
        <v>0</v>
      </c>
      <c r="P16" s="246">
        <f t="shared" si="0"/>
        <v>0</v>
      </c>
      <c r="R16" s="246"/>
      <c r="S16" s="340"/>
    </row>
    <row r="17" spans="1:20" x14ac:dyDescent="0.2">
      <c r="B17" s="876" t="s">
        <v>276</v>
      </c>
      <c r="C17" s="126"/>
      <c r="D17" s="786" cm="1">
        <f t="array" ref="D17:O17">+Mano_obra!AF31:AQ31</f>
        <v>0</v>
      </c>
      <c r="E17" s="786">
        <v>0</v>
      </c>
      <c r="F17" s="786">
        <v>0</v>
      </c>
      <c r="G17" s="786">
        <v>0</v>
      </c>
      <c r="H17" s="786">
        <v>0</v>
      </c>
      <c r="I17" s="786">
        <v>0</v>
      </c>
      <c r="J17" s="786">
        <v>0</v>
      </c>
      <c r="K17" s="786">
        <v>0</v>
      </c>
      <c r="L17" s="786">
        <v>0</v>
      </c>
      <c r="M17" s="786">
        <v>0</v>
      </c>
      <c r="N17" s="786">
        <v>0</v>
      </c>
      <c r="O17" s="234">
        <v>0</v>
      </c>
      <c r="P17" s="246">
        <f t="shared" si="0"/>
        <v>0</v>
      </c>
      <c r="R17" s="246"/>
      <c r="S17" s="340"/>
    </row>
    <row r="18" spans="1:20" x14ac:dyDescent="0.2">
      <c r="B18" s="877" t="s">
        <v>277</v>
      </c>
      <c r="C18" s="126"/>
      <c r="D18" s="878">
        <f>+D17+D16</f>
        <v>0</v>
      </c>
      <c r="E18" s="878">
        <f t="shared" ref="E18:O18" si="1">+E17+E16</f>
        <v>0</v>
      </c>
      <c r="F18" s="878">
        <f t="shared" si="1"/>
        <v>0</v>
      </c>
      <c r="G18" s="878">
        <f t="shared" si="1"/>
        <v>0</v>
      </c>
      <c r="H18" s="878">
        <f t="shared" si="1"/>
        <v>0</v>
      </c>
      <c r="I18" s="878">
        <f t="shared" si="1"/>
        <v>0</v>
      </c>
      <c r="J18" s="878">
        <f t="shared" si="1"/>
        <v>0</v>
      </c>
      <c r="K18" s="878">
        <f t="shared" si="1"/>
        <v>0</v>
      </c>
      <c r="L18" s="878">
        <f t="shared" si="1"/>
        <v>0</v>
      </c>
      <c r="M18" s="878">
        <f t="shared" si="1"/>
        <v>0</v>
      </c>
      <c r="N18" s="878">
        <f t="shared" si="1"/>
        <v>0</v>
      </c>
      <c r="O18" s="247">
        <f t="shared" si="1"/>
        <v>0</v>
      </c>
      <c r="P18" s="248">
        <f t="shared" si="0"/>
        <v>0</v>
      </c>
      <c r="R18" s="248">
        <f>+R14+P18</f>
        <v>0</v>
      </c>
      <c r="S18" s="341">
        <f>IFERROR(R18/G3,0)</f>
        <v>0</v>
      </c>
    </row>
    <row r="19" spans="1:20" x14ac:dyDescent="0.2">
      <c r="B19" s="876"/>
      <c r="C19" s="126"/>
      <c r="D19" s="786"/>
      <c r="E19" s="786"/>
      <c r="F19" s="786"/>
      <c r="G19" s="786"/>
      <c r="H19" s="786"/>
      <c r="I19" s="786"/>
      <c r="J19" s="786"/>
      <c r="K19" s="786"/>
      <c r="L19" s="786"/>
      <c r="M19" s="786"/>
      <c r="N19" s="786"/>
      <c r="O19" s="234"/>
      <c r="P19" s="246">
        <f t="shared" si="0"/>
        <v>0</v>
      </c>
      <c r="R19" s="246"/>
      <c r="S19" s="340"/>
    </row>
    <row r="20" spans="1:20" x14ac:dyDescent="0.2">
      <c r="B20" s="876" t="s">
        <v>278</v>
      </c>
      <c r="C20" s="126"/>
      <c r="D20" s="786" cm="1">
        <f t="array" ref="D20:O20">+Mano_obra!S63:AD63*-1</f>
        <v>0</v>
      </c>
      <c r="E20" s="786">
        <v>0</v>
      </c>
      <c r="F20" s="786">
        <v>0</v>
      </c>
      <c r="G20" s="786">
        <v>0</v>
      </c>
      <c r="H20" s="786">
        <v>0</v>
      </c>
      <c r="I20" s="786">
        <v>0</v>
      </c>
      <c r="J20" s="786">
        <v>0</v>
      </c>
      <c r="K20" s="786">
        <v>0</v>
      </c>
      <c r="L20" s="786">
        <v>0</v>
      </c>
      <c r="M20" s="786">
        <v>0</v>
      </c>
      <c r="N20" s="786">
        <v>0</v>
      </c>
      <c r="O20" s="234">
        <v>0</v>
      </c>
      <c r="P20" s="246">
        <f t="shared" si="0"/>
        <v>0</v>
      </c>
      <c r="R20" s="246"/>
      <c r="S20" s="340"/>
    </row>
    <row r="21" spans="1:20" x14ac:dyDescent="0.2">
      <c r="B21" s="876" t="s">
        <v>279</v>
      </c>
      <c r="C21" s="126"/>
      <c r="D21" s="786" cm="1">
        <f t="array" ref="D21:O21">+Mano_obra!AF63:AQ63</f>
        <v>0</v>
      </c>
      <c r="E21" s="786">
        <v>0</v>
      </c>
      <c r="F21" s="786">
        <v>0</v>
      </c>
      <c r="G21" s="786">
        <v>0</v>
      </c>
      <c r="H21" s="786">
        <v>0</v>
      </c>
      <c r="I21" s="786">
        <v>0</v>
      </c>
      <c r="J21" s="786">
        <v>0</v>
      </c>
      <c r="K21" s="786">
        <v>0</v>
      </c>
      <c r="L21" s="786">
        <v>0</v>
      </c>
      <c r="M21" s="786">
        <v>0</v>
      </c>
      <c r="N21" s="786">
        <v>0</v>
      </c>
      <c r="O21" s="234">
        <v>0</v>
      </c>
      <c r="P21" s="246">
        <f t="shared" si="0"/>
        <v>0</v>
      </c>
      <c r="R21" s="246"/>
      <c r="S21" s="340"/>
    </row>
    <row r="22" spans="1:20" x14ac:dyDescent="0.2">
      <c r="B22" s="877" t="s">
        <v>280</v>
      </c>
      <c r="C22" s="235"/>
      <c r="D22" s="878">
        <f>+D20+D21</f>
        <v>0</v>
      </c>
      <c r="E22" s="878">
        <f t="shared" ref="E22:O22" si="2">+E20+E21</f>
        <v>0</v>
      </c>
      <c r="F22" s="878">
        <f t="shared" si="2"/>
        <v>0</v>
      </c>
      <c r="G22" s="878">
        <f t="shared" si="2"/>
        <v>0</v>
      </c>
      <c r="H22" s="878">
        <f t="shared" si="2"/>
        <v>0</v>
      </c>
      <c r="I22" s="878">
        <f t="shared" si="2"/>
        <v>0</v>
      </c>
      <c r="J22" s="878">
        <f t="shared" si="2"/>
        <v>0</v>
      </c>
      <c r="K22" s="878">
        <f t="shared" si="2"/>
        <v>0</v>
      </c>
      <c r="L22" s="878">
        <f t="shared" si="2"/>
        <v>0</v>
      </c>
      <c r="M22" s="878">
        <f t="shared" si="2"/>
        <v>0</v>
      </c>
      <c r="N22" s="878">
        <f t="shared" si="2"/>
        <v>0</v>
      </c>
      <c r="O22" s="247">
        <f t="shared" si="2"/>
        <v>0</v>
      </c>
      <c r="P22" s="249">
        <f t="shared" si="0"/>
        <v>0</v>
      </c>
      <c r="Q22" s="50"/>
      <c r="R22" s="249">
        <f>+R18+P22</f>
        <v>0</v>
      </c>
      <c r="S22" s="341">
        <f>IFERROR(+(P13+P17+P21+P12+P16+P20)/(P13+P17+P21),0)</f>
        <v>0</v>
      </c>
    </row>
    <row r="23" spans="1:20" x14ac:dyDescent="0.2">
      <c r="B23" s="876"/>
      <c r="C23" s="126"/>
      <c r="D23" s="786"/>
      <c r="E23" s="786"/>
      <c r="F23" s="786"/>
      <c r="G23" s="786"/>
      <c r="H23" s="786"/>
      <c r="I23" s="786"/>
      <c r="J23" s="786"/>
      <c r="K23" s="786"/>
      <c r="L23" s="786"/>
      <c r="M23" s="786"/>
      <c r="N23" s="786"/>
      <c r="O23" s="234"/>
      <c r="P23" s="246">
        <f t="shared" si="0"/>
        <v>0</v>
      </c>
      <c r="R23" s="246"/>
      <c r="S23" s="340"/>
    </row>
    <row r="24" spans="1:20" x14ac:dyDescent="0.2">
      <c r="B24" s="876" t="s">
        <v>281</v>
      </c>
      <c r="C24" s="126"/>
      <c r="D24" s="786">
        <f>+Complementos!L133*-1</f>
        <v>0</v>
      </c>
      <c r="E24" s="786">
        <f>+Complementos!M133*-1</f>
        <v>0</v>
      </c>
      <c r="F24" s="786">
        <f>+Complementos!N133*-1</f>
        <v>0</v>
      </c>
      <c r="G24" s="786">
        <f>+Complementos!O133*-1</f>
        <v>0</v>
      </c>
      <c r="H24" s="786">
        <f>+Complementos!P133*-1</f>
        <v>0</v>
      </c>
      <c r="I24" s="786">
        <f>+Complementos!Q133*-1</f>
        <v>0</v>
      </c>
      <c r="J24" s="786">
        <f>+Complementos!R133*-1</f>
        <v>0</v>
      </c>
      <c r="K24" s="786">
        <f>+Complementos!S133*-1</f>
        <v>0</v>
      </c>
      <c r="L24" s="786">
        <f>+Complementos!T133*-1</f>
        <v>0</v>
      </c>
      <c r="M24" s="786">
        <f>+Complementos!U133*-1</f>
        <v>0</v>
      </c>
      <c r="N24" s="786">
        <f>+Complementos!V133*-1</f>
        <v>0</v>
      </c>
      <c r="O24" s="234">
        <f>+Complementos!W133*-1</f>
        <v>0</v>
      </c>
      <c r="P24" s="246">
        <f>SUM(D24:O24)</f>
        <v>0</v>
      </c>
      <c r="R24" s="246"/>
      <c r="S24" s="340"/>
    </row>
    <row r="25" spans="1:20" x14ac:dyDescent="0.2">
      <c r="B25" s="876" t="s">
        <v>282</v>
      </c>
      <c r="C25" s="126"/>
      <c r="D25" s="786">
        <f>+Complementos!Z133</f>
        <v>0</v>
      </c>
      <c r="E25" s="786">
        <f>+Complementos!AA133</f>
        <v>0</v>
      </c>
      <c r="F25" s="786">
        <f>+Complementos!AB133</f>
        <v>0</v>
      </c>
      <c r="G25" s="786">
        <f>+Complementos!AC133</f>
        <v>0</v>
      </c>
      <c r="H25" s="786">
        <f>+Complementos!AD133</f>
        <v>0</v>
      </c>
      <c r="I25" s="786">
        <f>+Complementos!AE133</f>
        <v>0</v>
      </c>
      <c r="J25" s="786">
        <f>+Complementos!AF133</f>
        <v>0</v>
      </c>
      <c r="K25" s="786">
        <f>+Complementos!AG133</f>
        <v>0</v>
      </c>
      <c r="L25" s="786">
        <f>+Complementos!AH133</f>
        <v>0</v>
      </c>
      <c r="M25" s="786">
        <f>+Complementos!AI133</f>
        <v>0</v>
      </c>
      <c r="N25" s="786">
        <f>+Complementos!AJ133</f>
        <v>0</v>
      </c>
      <c r="O25" s="234">
        <f>+Complementos!AK133</f>
        <v>0</v>
      </c>
      <c r="P25" s="246">
        <f t="shared" si="0"/>
        <v>0</v>
      </c>
      <c r="R25" s="246"/>
      <c r="S25" s="340"/>
    </row>
    <row r="26" spans="1:20" x14ac:dyDescent="0.2">
      <c r="A26" s="208" t="s">
        <v>283</v>
      </c>
      <c r="B26" s="877" t="s">
        <v>284</v>
      </c>
      <c r="C26" s="235"/>
      <c r="D26" s="878">
        <f>+D24+D25</f>
        <v>0</v>
      </c>
      <c r="E26" s="878">
        <f t="shared" ref="E26:O26" si="3">+E24+E25</f>
        <v>0</v>
      </c>
      <c r="F26" s="878">
        <f t="shared" si="3"/>
        <v>0</v>
      </c>
      <c r="G26" s="878">
        <f t="shared" si="3"/>
        <v>0</v>
      </c>
      <c r="H26" s="878">
        <f t="shared" si="3"/>
        <v>0</v>
      </c>
      <c r="I26" s="878">
        <f t="shared" si="3"/>
        <v>0</v>
      </c>
      <c r="J26" s="878">
        <f t="shared" si="3"/>
        <v>0</v>
      </c>
      <c r="K26" s="878">
        <f t="shared" si="3"/>
        <v>0</v>
      </c>
      <c r="L26" s="878">
        <f t="shared" si="3"/>
        <v>0</v>
      </c>
      <c r="M26" s="878">
        <f t="shared" si="3"/>
        <v>0</v>
      </c>
      <c r="N26" s="878">
        <f t="shared" si="3"/>
        <v>0</v>
      </c>
      <c r="O26" s="247">
        <f t="shared" si="3"/>
        <v>0</v>
      </c>
      <c r="P26" s="249">
        <f t="shared" si="0"/>
        <v>0</v>
      </c>
      <c r="Q26" s="50"/>
      <c r="R26" s="249">
        <f>+R22+P26</f>
        <v>0</v>
      </c>
      <c r="S26" s="341">
        <f>IFERROR(R26/G3,0)</f>
        <v>0</v>
      </c>
      <c r="T26" s="1" t="s">
        <v>285</v>
      </c>
    </row>
    <row r="27" spans="1:20" x14ac:dyDescent="0.2">
      <c r="B27" s="876"/>
      <c r="C27" s="126"/>
      <c r="D27" s="786"/>
      <c r="E27" s="786"/>
      <c r="F27" s="786"/>
      <c r="G27" s="786"/>
      <c r="H27" s="786"/>
      <c r="I27" s="786"/>
      <c r="J27" s="786"/>
      <c r="K27" s="786"/>
      <c r="L27" s="786"/>
      <c r="M27" s="786"/>
      <c r="N27" s="786"/>
      <c r="O27" s="234"/>
      <c r="P27" s="246">
        <f t="shared" si="0"/>
        <v>0</v>
      </c>
      <c r="R27" s="246"/>
      <c r="S27" s="340"/>
    </row>
    <row r="28" spans="1:20" x14ac:dyDescent="0.2">
      <c r="B28" s="876" t="s">
        <v>286</v>
      </c>
      <c r="C28" s="126"/>
      <c r="D28" s="786" cm="1">
        <f t="array" ref="D28:O28">+Complementos!L32:W32*-1</f>
        <v>0</v>
      </c>
      <c r="E28" s="786">
        <v>0</v>
      </c>
      <c r="F28" s="786">
        <v>0</v>
      </c>
      <c r="G28" s="786">
        <v>0</v>
      </c>
      <c r="H28" s="786">
        <v>0</v>
      </c>
      <c r="I28" s="786">
        <v>0</v>
      </c>
      <c r="J28" s="786">
        <v>0</v>
      </c>
      <c r="K28" s="786">
        <v>0</v>
      </c>
      <c r="L28" s="786">
        <v>0</v>
      </c>
      <c r="M28" s="786">
        <v>0</v>
      </c>
      <c r="N28" s="786">
        <v>0</v>
      </c>
      <c r="O28" s="234">
        <v>0</v>
      </c>
      <c r="P28" s="246">
        <f>SUM(D28:O28)</f>
        <v>0</v>
      </c>
      <c r="R28" s="246"/>
      <c r="S28" s="340"/>
    </row>
    <row r="29" spans="1:20" x14ac:dyDescent="0.2">
      <c r="B29" s="876" t="s">
        <v>287</v>
      </c>
      <c r="C29" s="126"/>
      <c r="D29" s="786">
        <f>+Complementos!L65*-1-D33-D32</f>
        <v>0</v>
      </c>
      <c r="E29" s="786">
        <f>+Complementos!M65*-1-E33-E32</f>
        <v>0</v>
      </c>
      <c r="F29" s="786">
        <f>+Complementos!N65*-1-F33-F32</f>
        <v>0</v>
      </c>
      <c r="G29" s="786">
        <f>+Complementos!O65*-1-G33-G32</f>
        <v>0</v>
      </c>
      <c r="H29" s="786">
        <f>+Complementos!P65*-1-H33-H32</f>
        <v>0</v>
      </c>
      <c r="I29" s="786">
        <f>+Complementos!Q65*-1-I33-I32</f>
        <v>0</v>
      </c>
      <c r="J29" s="786">
        <f>+Complementos!R65*-1-J33-J32</f>
        <v>0</v>
      </c>
      <c r="K29" s="786">
        <f>+Complementos!S65*-1-K33-K32</f>
        <v>0</v>
      </c>
      <c r="L29" s="786">
        <f>+Complementos!T65*-1-L33-L32</f>
        <v>0</v>
      </c>
      <c r="M29" s="786">
        <f>+Complementos!U65*-1-M33-M32</f>
        <v>0</v>
      </c>
      <c r="N29" s="786">
        <f>+Complementos!V65*-1-N33-N32</f>
        <v>0</v>
      </c>
      <c r="O29" s="234">
        <f>+Complementos!W65*-1-O33-O32</f>
        <v>0</v>
      </c>
      <c r="P29" s="246">
        <f>+Complementos!X65*-1-P33-P32</f>
        <v>0</v>
      </c>
      <c r="R29" s="246"/>
      <c r="S29" s="340"/>
    </row>
    <row r="30" spans="1:20" x14ac:dyDescent="0.2">
      <c r="B30" s="876" t="s">
        <v>288</v>
      </c>
      <c r="C30" s="126"/>
      <c r="D30" s="786">
        <f>+Complementos!L84*-1</f>
        <v>0</v>
      </c>
      <c r="E30" s="786">
        <f>+Complementos!M84*-1</f>
        <v>0</v>
      </c>
      <c r="F30" s="786">
        <f>+Complementos!N84*-1</f>
        <v>0</v>
      </c>
      <c r="G30" s="786">
        <f>+Complementos!O84*-1</f>
        <v>0</v>
      </c>
      <c r="H30" s="786">
        <f>+Complementos!P84*-1</f>
        <v>0</v>
      </c>
      <c r="I30" s="786">
        <f>+Complementos!Q84*-1</f>
        <v>0</v>
      </c>
      <c r="J30" s="786">
        <f>+Complementos!R84*-1</f>
        <v>0</v>
      </c>
      <c r="K30" s="786">
        <f>+Complementos!S84*-1</f>
        <v>0</v>
      </c>
      <c r="L30" s="786">
        <f>+Complementos!T84*-1</f>
        <v>0</v>
      </c>
      <c r="M30" s="786">
        <f>+Complementos!U84*-1</f>
        <v>0</v>
      </c>
      <c r="N30" s="786">
        <f>+Complementos!V84*-1</f>
        <v>0</v>
      </c>
      <c r="O30" s="234">
        <f>+Complementos!W84*-1</f>
        <v>0</v>
      </c>
      <c r="P30" s="246">
        <f t="shared" si="0"/>
        <v>0</v>
      </c>
      <c r="R30" s="246"/>
      <c r="S30" s="340"/>
    </row>
    <row r="31" spans="1:20" x14ac:dyDescent="0.2">
      <c r="B31" s="876" t="s">
        <v>233</v>
      </c>
      <c r="C31" s="126"/>
      <c r="D31" s="786">
        <f>+Complementos!L101*-1</f>
        <v>0</v>
      </c>
      <c r="E31" s="786">
        <f>+Complementos!M101*-1</f>
        <v>0</v>
      </c>
      <c r="F31" s="786">
        <f>+Complementos!N101*-1</f>
        <v>0</v>
      </c>
      <c r="G31" s="786">
        <f>+Complementos!O101*-1</f>
        <v>0</v>
      </c>
      <c r="H31" s="786">
        <f>+Complementos!P101*-1</f>
        <v>0</v>
      </c>
      <c r="I31" s="786">
        <f>+Complementos!Q101*-1</f>
        <v>0</v>
      </c>
      <c r="J31" s="786">
        <f>+Complementos!R101*-1</f>
        <v>0</v>
      </c>
      <c r="K31" s="786">
        <f>+Complementos!S101*-1</f>
        <v>0</v>
      </c>
      <c r="L31" s="786">
        <f>+Complementos!T101*-1</f>
        <v>0</v>
      </c>
      <c r="M31" s="786">
        <f>+Complementos!U101*-1</f>
        <v>0</v>
      </c>
      <c r="N31" s="786">
        <f>+Complementos!V101*-1</f>
        <v>0</v>
      </c>
      <c r="O31" s="234">
        <f>+Complementos!W101*-1</f>
        <v>0</v>
      </c>
      <c r="P31" s="246">
        <f t="shared" si="0"/>
        <v>0</v>
      </c>
      <c r="R31" s="246"/>
      <c r="S31" s="340"/>
    </row>
    <row r="32" spans="1:20" x14ac:dyDescent="0.2">
      <c r="B32" s="876" t="s">
        <v>289</v>
      </c>
      <c r="C32" s="126"/>
      <c r="D32" s="786">
        <f>+Complementos!L63*-1</f>
        <v>0</v>
      </c>
      <c r="E32" s="786">
        <f>+Complementos!M63*-1</f>
        <v>0</v>
      </c>
      <c r="F32" s="786">
        <f>+Complementos!N63*-1</f>
        <v>0</v>
      </c>
      <c r="G32" s="786">
        <f>+Complementos!O63*-1</f>
        <v>0</v>
      </c>
      <c r="H32" s="786">
        <f>+Complementos!P63*-1</f>
        <v>0</v>
      </c>
      <c r="I32" s="786">
        <f>+Complementos!Q63*-1</f>
        <v>0</v>
      </c>
      <c r="J32" s="786">
        <f>+Complementos!R63*-1</f>
        <v>0</v>
      </c>
      <c r="K32" s="786">
        <f>+Complementos!S63*-1</f>
        <v>0</v>
      </c>
      <c r="L32" s="786">
        <f>+Complementos!T63*-1</f>
        <v>0</v>
      </c>
      <c r="M32" s="786">
        <f>+Complementos!U63*-1</f>
        <v>0</v>
      </c>
      <c r="N32" s="786">
        <f>+Complementos!V63*-1</f>
        <v>0</v>
      </c>
      <c r="O32" s="234">
        <f>+Complementos!W63*-1</f>
        <v>0</v>
      </c>
      <c r="P32" s="246">
        <f t="shared" si="0"/>
        <v>0</v>
      </c>
      <c r="R32" s="246"/>
      <c r="S32" s="340"/>
    </row>
    <row r="33" spans="1:20" x14ac:dyDescent="0.2">
      <c r="B33" s="876" t="s">
        <v>229</v>
      </c>
      <c r="C33" s="126"/>
      <c r="D33" s="786">
        <f>+Complementos!L64*-1</f>
        <v>0</v>
      </c>
      <c r="E33" s="786">
        <f>+Complementos!M64*-1</f>
        <v>0</v>
      </c>
      <c r="F33" s="786">
        <f>+Complementos!N64*-1</f>
        <v>0</v>
      </c>
      <c r="G33" s="786">
        <f>+Complementos!O64*-1</f>
        <v>0</v>
      </c>
      <c r="H33" s="786">
        <f>+Complementos!P64*-1</f>
        <v>0</v>
      </c>
      <c r="I33" s="786">
        <f>+Complementos!Q64*-1</f>
        <v>0</v>
      </c>
      <c r="J33" s="786">
        <f>+Complementos!R64*-1</f>
        <v>0</v>
      </c>
      <c r="K33" s="786">
        <f>+Complementos!S64*-1</f>
        <v>0</v>
      </c>
      <c r="L33" s="786">
        <f>+Complementos!T64*-1</f>
        <v>0</v>
      </c>
      <c r="M33" s="786">
        <f>+Complementos!U64*-1</f>
        <v>0</v>
      </c>
      <c r="N33" s="786">
        <f>+Complementos!V64*-1</f>
        <v>0</v>
      </c>
      <c r="O33" s="234">
        <f>+Complementos!W64*-1</f>
        <v>0</v>
      </c>
      <c r="P33" s="246">
        <f t="shared" si="0"/>
        <v>0</v>
      </c>
      <c r="R33" s="246"/>
      <c r="S33" s="340"/>
    </row>
    <row r="34" spans="1:20" x14ac:dyDescent="0.2">
      <c r="A34" s="208" t="s">
        <v>258</v>
      </c>
      <c r="B34" s="877" t="s">
        <v>290</v>
      </c>
      <c r="C34" s="235"/>
      <c r="D34" s="878">
        <f>SUM(D27:D33)</f>
        <v>0</v>
      </c>
      <c r="E34" s="878">
        <f t="shared" ref="E34:P34" si="4">SUM(E27:E33)</f>
        <v>0</v>
      </c>
      <c r="F34" s="878">
        <f t="shared" si="4"/>
        <v>0</v>
      </c>
      <c r="G34" s="878">
        <f t="shared" si="4"/>
        <v>0</v>
      </c>
      <c r="H34" s="878">
        <f t="shared" si="4"/>
        <v>0</v>
      </c>
      <c r="I34" s="878">
        <f t="shared" si="4"/>
        <v>0</v>
      </c>
      <c r="J34" s="878">
        <f t="shared" si="4"/>
        <v>0</v>
      </c>
      <c r="K34" s="878">
        <f t="shared" si="4"/>
        <v>0</v>
      </c>
      <c r="L34" s="878">
        <f t="shared" si="4"/>
        <v>0</v>
      </c>
      <c r="M34" s="878">
        <f t="shared" si="4"/>
        <v>0</v>
      </c>
      <c r="N34" s="878">
        <f t="shared" si="4"/>
        <v>0</v>
      </c>
      <c r="O34" s="247">
        <f t="shared" si="4"/>
        <v>0</v>
      </c>
      <c r="P34" s="249">
        <f t="shared" si="4"/>
        <v>0</v>
      </c>
      <c r="Q34" s="50"/>
      <c r="R34" s="249">
        <f>+R26+P34</f>
        <v>0</v>
      </c>
      <c r="S34" s="347">
        <f>IFERROR(R34/G3,0)</f>
        <v>0</v>
      </c>
      <c r="T34" s="1" t="s">
        <v>291</v>
      </c>
    </row>
    <row r="35" spans="1:20" ht="16.5" customHeight="1" thickBot="1" x14ac:dyDescent="0.25">
      <c r="B35" s="876" t="s">
        <v>260</v>
      </c>
      <c r="C35" s="126"/>
      <c r="D35" s="786">
        <f>(D13+D17+D21+D25)*Presupuesto_final!$F$40*-1</f>
        <v>0</v>
      </c>
      <c r="E35" s="786">
        <f>(E13+E17+E21+E25)*Presupuesto_final!$F$40*-1</f>
        <v>0</v>
      </c>
      <c r="F35" s="786">
        <f>(F13+F17+F21+F25)*Presupuesto_final!$F$40*-1</f>
        <v>0</v>
      </c>
      <c r="G35" s="786">
        <f>(G13+G17+G21+G25)*Presupuesto_final!$F$40*-1</f>
        <v>0</v>
      </c>
      <c r="H35" s="786">
        <f>(H13+H17+H21+H25)*Presupuesto_final!$F$40*-1</f>
        <v>0</v>
      </c>
      <c r="I35" s="786">
        <f>(I13+I17+I21+I25)*Presupuesto_final!$F$40*-1</f>
        <v>0</v>
      </c>
      <c r="J35" s="786">
        <f>(J13+J17+J21+J25)*Presupuesto_final!$F$40*-1</f>
        <v>0</v>
      </c>
      <c r="K35" s="786">
        <f>(K13+K17+K21+K25)*Presupuesto_final!$F$40*-1</f>
        <v>0</v>
      </c>
      <c r="L35" s="786">
        <f>(L13+L17+L21+L25)*Presupuesto_final!$F$40*-1</f>
        <v>0</v>
      </c>
      <c r="M35" s="786">
        <f>(M13+M17+M21+M25)*Presupuesto_final!$F$40*-1</f>
        <v>0</v>
      </c>
      <c r="N35" s="786">
        <f>(N13+N17+N21+N25)*Presupuesto_final!$F$40*-1</f>
        <v>0</v>
      </c>
      <c r="O35" s="234">
        <f>(O13+O17+O21+O25)*Presupuesto_final!$F$40*-1</f>
        <v>0</v>
      </c>
      <c r="P35" s="337">
        <f t="shared" si="0"/>
        <v>0</v>
      </c>
      <c r="R35" s="246">
        <f>+R34+P35</f>
        <v>0</v>
      </c>
      <c r="S35" s="342"/>
      <c r="T35" s="1"/>
    </row>
    <row r="36" spans="1:20" ht="3.75" customHeight="1" thickBot="1" x14ac:dyDescent="0.25">
      <c r="P36" s="345"/>
      <c r="R36" s="345"/>
    </row>
    <row r="37" spans="1:20" ht="17.25" customHeight="1" x14ac:dyDescent="0.2">
      <c r="B37" s="879" t="s">
        <v>194</v>
      </c>
      <c r="C37" s="126"/>
      <c r="D37" s="782">
        <f>+D13+D17+D21+D25</f>
        <v>0</v>
      </c>
      <c r="E37" s="782">
        <f t="shared" ref="E37:O37" si="5">+E13+E17+E21+E25</f>
        <v>0</v>
      </c>
      <c r="F37" s="782">
        <f t="shared" si="5"/>
        <v>0</v>
      </c>
      <c r="G37" s="782">
        <f t="shared" si="5"/>
        <v>0</v>
      </c>
      <c r="H37" s="782">
        <f t="shared" si="5"/>
        <v>0</v>
      </c>
      <c r="I37" s="782">
        <f t="shared" si="5"/>
        <v>0</v>
      </c>
      <c r="J37" s="782">
        <f t="shared" si="5"/>
        <v>0</v>
      </c>
      <c r="K37" s="782">
        <f t="shared" si="5"/>
        <v>0</v>
      </c>
      <c r="L37" s="782">
        <f t="shared" si="5"/>
        <v>0</v>
      </c>
      <c r="M37" s="782">
        <f t="shared" si="5"/>
        <v>0</v>
      </c>
      <c r="N37" s="782">
        <f t="shared" si="5"/>
        <v>0</v>
      </c>
      <c r="O37" s="454">
        <f t="shared" si="5"/>
        <v>0</v>
      </c>
      <c r="P37" s="210">
        <f>SUM(D37:O37)</f>
        <v>0</v>
      </c>
      <c r="R37" s="210"/>
      <c r="S37" s="343"/>
    </row>
    <row r="38" spans="1:20" ht="17.25" customHeight="1" x14ac:dyDescent="0.2">
      <c r="B38" s="879" t="s">
        <v>292</v>
      </c>
      <c r="C38" s="126"/>
      <c r="D38" s="782">
        <f>+D12+D16+D20+D24+D34+D35</f>
        <v>0</v>
      </c>
      <c r="E38" s="782">
        <f t="shared" ref="E38:O38" si="6">+E12+E16+E20+E24+E34+E35</f>
        <v>0</v>
      </c>
      <c r="F38" s="782">
        <f t="shared" si="6"/>
        <v>0</v>
      </c>
      <c r="G38" s="782">
        <f t="shared" si="6"/>
        <v>0</v>
      </c>
      <c r="H38" s="782">
        <f t="shared" si="6"/>
        <v>0</v>
      </c>
      <c r="I38" s="782">
        <f t="shared" si="6"/>
        <v>0</v>
      </c>
      <c r="J38" s="782">
        <f t="shared" si="6"/>
        <v>0</v>
      </c>
      <c r="K38" s="782">
        <f>+K12+K16+K20+K24+K34+K35</f>
        <v>0</v>
      </c>
      <c r="L38" s="782">
        <f t="shared" si="6"/>
        <v>0</v>
      </c>
      <c r="M38" s="782">
        <f t="shared" si="6"/>
        <v>0</v>
      </c>
      <c r="N38" s="782">
        <f t="shared" si="6"/>
        <v>0</v>
      </c>
      <c r="O38" s="454">
        <f t="shared" si="6"/>
        <v>0</v>
      </c>
      <c r="P38" s="137">
        <f>SUM(D38:O38)</f>
        <v>0</v>
      </c>
      <c r="R38" s="137"/>
      <c r="S38" s="339"/>
    </row>
    <row r="39" spans="1:20" ht="32.25" customHeight="1" thickBot="1" x14ac:dyDescent="0.25">
      <c r="A39" s="208" t="s">
        <v>261</v>
      </c>
      <c r="B39" s="880" t="s">
        <v>293</v>
      </c>
      <c r="C39" s="7"/>
      <c r="D39" s="881">
        <f>+D37+D38</f>
        <v>0</v>
      </c>
      <c r="E39" s="881">
        <f t="shared" ref="E39:O39" si="7">+E37+E38</f>
        <v>0</v>
      </c>
      <c r="F39" s="881">
        <f t="shared" si="7"/>
        <v>0</v>
      </c>
      <c r="G39" s="881">
        <f t="shared" si="7"/>
        <v>0</v>
      </c>
      <c r="H39" s="881">
        <f t="shared" si="7"/>
        <v>0</v>
      </c>
      <c r="I39" s="881">
        <f t="shared" si="7"/>
        <v>0</v>
      </c>
      <c r="J39" s="881">
        <f t="shared" si="7"/>
        <v>0</v>
      </c>
      <c r="K39" s="881">
        <f t="shared" si="7"/>
        <v>0</v>
      </c>
      <c r="L39" s="881">
        <f t="shared" si="7"/>
        <v>0</v>
      </c>
      <c r="M39" s="881">
        <f t="shared" si="7"/>
        <v>0</v>
      </c>
      <c r="N39" s="881">
        <f t="shared" si="7"/>
        <v>0</v>
      </c>
      <c r="O39" s="455">
        <f t="shared" si="7"/>
        <v>0</v>
      </c>
      <c r="P39" s="211">
        <f>SUM(D39:O39)</f>
        <v>0</v>
      </c>
      <c r="Q39" s="1"/>
      <c r="R39" s="211"/>
      <c r="S39" s="344">
        <f>IFERROR(P39/P37,0)</f>
        <v>0</v>
      </c>
      <c r="T39" s="1" t="s">
        <v>261</v>
      </c>
    </row>
  </sheetData>
  <sheetProtection algorithmName="SHA-512" hashValue="MvDdFjPUePJXoeiwzy/jVT/EfyTrhlMSbZysuOUHLbfw0EWdnzeSwKwJu8S1IP6lUKtZSg40uHTx1xF5qXSbRA==" saltValue="KaX061VcNmpOPNpxmEhekg==" spinCount="100000" sheet="1" formatCells="0" formatColumns="0"/>
  <conditionalFormatting sqref="B37:P37 S14 S22 S39 R37 R7:R35 B7:P35">
    <cfRule type="cellIs" dxfId="60" priority="5" operator="lessThan">
      <formula>0</formula>
    </cfRule>
  </conditionalFormatting>
  <conditionalFormatting sqref="B38:P39">
    <cfRule type="cellIs" dxfId="59" priority="3" operator="equal">
      <formula>0</formula>
    </cfRule>
  </conditionalFormatting>
  <conditionalFormatting sqref="S37:S39 S7:S35">
    <cfRule type="cellIs" dxfId="58" priority="2" operator="lessThan">
      <formula>0</formula>
    </cfRule>
  </conditionalFormatting>
  <conditionalFormatting sqref="R38:R39">
    <cfRule type="cellIs" dxfId="57" priority="1" operator="equal">
      <formula>0</formula>
    </cfRule>
  </conditionalFormatting>
  <pageMargins left="0.7" right="0.7" top="0.75" bottom="0.75" header="0.3" footer="0.3"/>
  <ignoredErrors>
    <ignoredError sqref="D9:R11 P23 P25:P27 P30:P33 D25:O25 P22:Q22 D15:R15 D14:Q14 D19:R19 P18:Q18 D27:O27 D13:R13 Q12:R12 D17:R17 P16:R16 D21:R21 P20:R20 P35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18E3-2A6C-4D7D-B05D-72BC69708A73}">
  <sheetPr codeName="Hoja9">
    <tabColor theme="3" tint="0.39997558519241921"/>
  </sheetPr>
  <dimension ref="A1:L21"/>
  <sheetViews>
    <sheetView showGridLines="0" view="pageBreakPreview" topLeftCell="A3" zoomScale="70" zoomScaleNormal="100" zoomScaleSheetLayoutView="70" workbookViewId="0">
      <selection activeCell="F6" sqref="F6"/>
    </sheetView>
  </sheetViews>
  <sheetFormatPr baseColWidth="10" defaultColWidth="11.42578125" defaultRowHeight="15" x14ac:dyDescent="0.25"/>
  <cols>
    <col min="1" max="1" width="35.5703125" style="634" customWidth="1"/>
    <col min="2" max="2" width="20.42578125" style="634" customWidth="1"/>
    <col min="3" max="3" width="21.42578125" style="634" customWidth="1"/>
    <col min="4" max="4" width="18.5703125" style="634" customWidth="1"/>
    <col min="5" max="6" width="16.5703125" style="634" customWidth="1"/>
    <col min="7" max="7" width="15.5703125" style="634" customWidth="1"/>
    <col min="8" max="10" width="11.42578125" style="634"/>
    <col min="11" max="11" width="26.5703125" style="634" customWidth="1"/>
    <col min="12" max="12" width="41.5703125" style="634" customWidth="1"/>
    <col min="13" max="16384" width="11.42578125" style="634"/>
  </cols>
  <sheetData>
    <row r="1" spans="1:12" ht="18.75" x14ac:dyDescent="0.3">
      <c r="A1" s="638"/>
      <c r="B1" s="638"/>
      <c r="C1" s="638"/>
      <c r="D1" s="638"/>
      <c r="E1" s="638"/>
      <c r="F1" s="638"/>
    </row>
    <row r="2" spans="1:12" ht="18.75" x14ac:dyDescent="0.3">
      <c r="A2" s="638"/>
      <c r="B2" s="638"/>
      <c r="C2" s="638"/>
      <c r="D2" s="638"/>
      <c r="E2" s="638"/>
      <c r="F2" s="638"/>
    </row>
    <row r="3" spans="1:12" ht="28.5" x14ac:dyDescent="0.45">
      <c r="A3" s="638"/>
      <c r="B3" s="639" t="s">
        <v>294</v>
      </c>
      <c r="D3" s="638"/>
      <c r="E3" s="638"/>
      <c r="F3" s="638"/>
      <c r="L3" s="635"/>
    </row>
    <row r="4" spans="1:12" ht="66.75" customHeight="1" x14ac:dyDescent="0.45">
      <c r="A4" s="638"/>
      <c r="B4" s="952">
        <f>+Datos_Generales!E8</f>
        <v>0</v>
      </c>
      <c r="C4" s="952"/>
      <c r="D4" s="952"/>
      <c r="E4" s="952"/>
      <c r="F4" s="952"/>
      <c r="G4" s="952"/>
      <c r="L4" s="635"/>
    </row>
    <row r="5" spans="1:12" ht="30.75" customHeight="1" x14ac:dyDescent="0.35">
      <c r="A5" s="638"/>
      <c r="B5" s="640" t="s">
        <v>295</v>
      </c>
      <c r="C5" s="641"/>
      <c r="D5" s="642"/>
      <c r="E5" s="643" t="s">
        <v>296</v>
      </c>
      <c r="F5" s="643" t="s">
        <v>297</v>
      </c>
    </row>
    <row r="6" spans="1:12" ht="18.75" x14ac:dyDescent="0.3">
      <c r="A6" s="638"/>
      <c r="B6" s="638"/>
      <c r="C6" s="638"/>
      <c r="D6" s="638"/>
      <c r="E6" s="638"/>
      <c r="G6" s="638"/>
    </row>
    <row r="7" spans="1:12" ht="18.75" x14ac:dyDescent="0.3">
      <c r="A7" s="638"/>
      <c r="B7" s="644" t="s">
        <v>298</v>
      </c>
      <c r="C7" s="645"/>
      <c r="D7" s="883">
        <f>+Datos_Generales!J21</f>
        <v>0</v>
      </c>
      <c r="E7" s="883">
        <f>+D7*0.1</f>
        <v>0</v>
      </c>
      <c r="F7" s="883">
        <f>+E7+D7</f>
        <v>0</v>
      </c>
      <c r="G7" s="646" t="s">
        <v>299</v>
      </c>
      <c r="H7" s="636"/>
    </row>
    <row r="8" spans="1:12" ht="18.75" x14ac:dyDescent="0.3">
      <c r="A8" s="638"/>
      <c r="B8" s="638"/>
      <c r="D8" s="647"/>
      <c r="E8" s="884"/>
      <c r="F8" s="637"/>
      <c r="G8" s="638"/>
    </row>
    <row r="9" spans="1:12" ht="18.75" x14ac:dyDescent="0.3">
      <c r="A9" s="638"/>
      <c r="B9" s="644" t="s">
        <v>300</v>
      </c>
      <c r="C9" s="645"/>
      <c r="D9" s="885">
        <f>(D7*0.4)</f>
        <v>0</v>
      </c>
      <c r="E9" s="883">
        <f>+D9*0.1</f>
        <v>0</v>
      </c>
      <c r="F9" s="883">
        <f>+D9+E9</f>
        <v>0</v>
      </c>
      <c r="G9" s="646" t="s">
        <v>299</v>
      </c>
    </row>
    <row r="10" spans="1:12" ht="18.75" x14ac:dyDescent="0.3">
      <c r="A10" s="638"/>
      <c r="B10" s="638"/>
      <c r="D10" s="886"/>
      <c r="E10" s="884"/>
      <c r="F10" s="637"/>
      <c r="G10" s="638"/>
    </row>
    <row r="11" spans="1:12" ht="18.75" x14ac:dyDescent="0.3">
      <c r="A11" s="638"/>
      <c r="B11" s="644" t="s">
        <v>301</v>
      </c>
      <c r="C11" s="645"/>
      <c r="D11" s="885">
        <f>+(D7*0.5)</f>
        <v>0</v>
      </c>
      <c r="E11" s="883">
        <f>+D11*0.1</f>
        <v>0</v>
      </c>
      <c r="F11" s="883">
        <f>+D11+E11</f>
        <v>0</v>
      </c>
      <c r="G11" s="646" t="s">
        <v>299</v>
      </c>
      <c r="L11" s="635"/>
    </row>
    <row r="12" spans="1:12" ht="18.75" x14ac:dyDescent="0.3">
      <c r="A12" s="638"/>
      <c r="B12" s="638"/>
      <c r="D12" s="886"/>
      <c r="E12" s="884"/>
      <c r="F12" s="637"/>
      <c r="G12" s="638"/>
    </row>
    <row r="13" spans="1:12" ht="18.75" x14ac:dyDescent="0.3">
      <c r="A13" s="638"/>
      <c r="B13" s="644" t="s">
        <v>302</v>
      </c>
      <c r="C13" s="645"/>
      <c r="D13" s="885">
        <f>+D7*0.05</f>
        <v>0</v>
      </c>
      <c r="E13" s="883">
        <f>+D13*0.1</f>
        <v>0</v>
      </c>
      <c r="F13" s="883">
        <f>+D13+E13</f>
        <v>0</v>
      </c>
      <c r="G13" s="646" t="s">
        <v>299</v>
      </c>
    </row>
    <row r="14" spans="1:12" ht="18.75" x14ac:dyDescent="0.3">
      <c r="A14" s="638"/>
      <c r="B14" s="638"/>
      <c r="D14" s="886"/>
      <c r="E14" s="884"/>
      <c r="F14" s="637"/>
      <c r="G14" s="638"/>
    </row>
    <row r="15" spans="1:12" ht="18.75" x14ac:dyDescent="0.3">
      <c r="A15" s="638"/>
      <c r="B15" s="644" t="s">
        <v>303</v>
      </c>
      <c r="C15" s="645"/>
      <c r="D15" s="885">
        <f>+D7*0.05</f>
        <v>0</v>
      </c>
      <c r="E15" s="883">
        <f>+D15*0.1</f>
        <v>0</v>
      </c>
      <c r="F15" s="883">
        <f>+D15+E15</f>
        <v>0</v>
      </c>
      <c r="G15" s="646" t="s">
        <v>299</v>
      </c>
    </row>
    <row r="16" spans="1:12" x14ac:dyDescent="0.25">
      <c r="C16" s="637"/>
    </row>
    <row r="21" spans="1:1" x14ac:dyDescent="0.25">
      <c r="A21" s="634" t="s">
        <v>304</v>
      </c>
    </row>
  </sheetData>
  <mergeCells count="1">
    <mergeCell ref="B4:G4"/>
  </mergeCells>
  <pageMargins left="0.7" right="0.7" top="0.75" bottom="0.75" header="0.3" footer="0.3"/>
  <pageSetup paperSize="9" scale="9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F15F-7209-427D-94ED-098CF15AA56B}">
  <sheetPr codeName="Hoja5">
    <tabColor theme="6" tint="0.39997558519241921"/>
    <pageSetUpPr fitToPage="1"/>
  </sheetPr>
  <dimension ref="A1:L65"/>
  <sheetViews>
    <sheetView showGridLines="0" topLeftCell="A26" zoomScale="55" zoomScaleNormal="55" zoomScaleSheetLayoutView="70" workbookViewId="0">
      <selection activeCell="J49" sqref="J49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2" width="18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82" t="s">
        <v>305</v>
      </c>
      <c r="C3" s="983"/>
      <c r="D3" s="983"/>
      <c r="E3" s="98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+IFERROR(Presupuesto_Final2!D10/COEFICIENTES!D5,0)</f>
        <v>0</v>
      </c>
      <c r="G5" s="985">
        <f ca="1">+F19+C24</f>
        <v>0</v>
      </c>
      <c r="H5" s="98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87"/>
      <c r="H6" s="988"/>
    </row>
    <row r="7" spans="1:9" hidden="1" x14ac:dyDescent="0.2">
      <c r="A7" s="551"/>
      <c r="B7" s="560"/>
      <c r="G7" s="987"/>
      <c r="H7" s="988"/>
    </row>
    <row r="8" spans="1:9" hidden="1" x14ac:dyDescent="0.2">
      <c r="A8" s="551"/>
      <c r="B8" s="560"/>
      <c r="G8" s="987"/>
      <c r="H8" s="988"/>
      <c r="I8" s="96"/>
    </row>
    <row r="9" spans="1:9" hidden="1" x14ac:dyDescent="0.2">
      <c r="A9" s="551"/>
      <c r="B9" s="560"/>
      <c r="G9" s="987"/>
      <c r="H9" s="988"/>
      <c r="I9" s="96"/>
    </row>
    <row r="10" spans="1:9" hidden="1" x14ac:dyDescent="0.2">
      <c r="A10" s="551"/>
      <c r="B10" s="560"/>
      <c r="G10" s="987"/>
      <c r="H10" s="988"/>
      <c r="I10" s="96"/>
    </row>
    <row r="11" spans="1:9" hidden="1" x14ac:dyDescent="0.2">
      <c r="A11" s="551"/>
      <c r="B11" s="560"/>
      <c r="E11" s="504" t="s">
        <v>312</v>
      </c>
      <c r="G11" s="987"/>
      <c r="H11" s="988"/>
      <c r="I11" s="96"/>
    </row>
    <row r="12" spans="1:9" ht="13.5" hidden="1" thickBot="1" x14ac:dyDescent="0.25">
      <c r="A12" s="551"/>
      <c r="B12" s="560"/>
      <c r="E12" s="504" t="s">
        <v>313</v>
      </c>
      <c r="G12" s="989"/>
      <c r="H12" s="99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991"/>
      <c r="C14" s="992"/>
      <c r="D14" s="992"/>
      <c r="E14" s="99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0" ht="27" hidden="1" thickBot="1" x14ac:dyDescent="0.45">
      <c r="A17" s="551"/>
      <c r="B17" s="994"/>
      <c r="C17" s="995"/>
      <c r="D17" s="995"/>
      <c r="E17" s="995"/>
      <c r="F17" s="996"/>
      <c r="H17" s="561"/>
      <c r="I17" s="96"/>
    </row>
    <row r="18" spans="1:10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0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0" hidden="1" x14ac:dyDescent="0.2">
      <c r="A20" s="551"/>
      <c r="B20" s="560"/>
      <c r="H20" s="561"/>
      <c r="I20" s="96"/>
    </row>
    <row r="21" spans="1:10" hidden="1" x14ac:dyDescent="0.2">
      <c r="A21" s="551"/>
      <c r="B21" s="560"/>
      <c r="H21" s="561"/>
      <c r="I21" s="96"/>
    </row>
    <row r="22" spans="1:10" hidden="1" x14ac:dyDescent="0.2">
      <c r="A22" s="551"/>
      <c r="B22" s="560"/>
      <c r="H22" s="561"/>
      <c r="I22" s="96"/>
    </row>
    <row r="23" spans="1:10" ht="27" hidden="1" thickBot="1" x14ac:dyDescent="0.45">
      <c r="A23" s="551"/>
      <c r="B23" s="560"/>
      <c r="C23" s="997" t="s">
        <v>316</v>
      </c>
      <c r="D23" s="998"/>
      <c r="H23" s="561"/>
      <c r="I23" s="96"/>
    </row>
    <row r="24" spans="1:10" ht="34.5" hidden="1" thickBot="1" x14ac:dyDescent="0.55000000000000004">
      <c r="A24" s="551"/>
      <c r="B24" s="571"/>
      <c r="C24" s="980">
        <v>0</v>
      </c>
      <c r="D24" s="981"/>
      <c r="E24" s="572"/>
      <c r="F24" s="572"/>
      <c r="G24" s="572"/>
      <c r="H24" s="573"/>
      <c r="I24" s="96"/>
    </row>
    <row r="25" spans="1:10" hidden="1" x14ac:dyDescent="0.2">
      <c r="A25" s="551"/>
      <c r="I25" s="96"/>
    </row>
    <row r="26" spans="1:10" ht="3.75" customHeight="1" x14ac:dyDescent="0.2">
      <c r="A26" s="551"/>
      <c r="I26" s="96"/>
    </row>
    <row r="27" spans="1:10" ht="3.75" customHeight="1" x14ac:dyDescent="0.2">
      <c r="A27" s="551"/>
      <c r="I27" s="96"/>
    </row>
    <row r="28" spans="1:10" ht="3.75" customHeight="1" x14ac:dyDescent="0.2">
      <c r="A28" s="551"/>
      <c r="I28" s="96"/>
    </row>
    <row r="29" spans="1:10" ht="13.5" thickBot="1" x14ac:dyDescent="0.25">
      <c r="A29" s="574"/>
    </row>
    <row r="30" spans="1:10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</row>
    <row r="31" spans="1:10" ht="37.35" customHeight="1" x14ac:dyDescent="0.2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0" ht="37.35" customHeight="1" thickBot="1" x14ac:dyDescent="0.25">
      <c r="B32" s="609" t="str">
        <f>IFERROR(VLOOKUP(B33,controller,2,FALSE),"sin dato")</f>
        <v>sin dato</v>
      </c>
      <c r="C32" s="611" t="str">
        <f>IF(Datos_Generales!$E$10="Captación",Datos_Generales!T21,(IFERROR((VLOOKUP($B$33,controller,6,FALSE)/6)*8,"sin dato")))</f>
        <v>sin dato</v>
      </c>
      <c r="D32" s="610" t="str">
        <f>IF(Datos_Generales!$E$10="Captación",Presupuesto_Final2!D2,(IFERROR((VLOOKUP($B$33,controller,8,FALSE)/6)*8,"sin dato")))</f>
        <v>sin dato</v>
      </c>
      <c r="E32" s="611" t="str">
        <f>IFERROR(IF(VLOOKUP(B33,controller,10,FALSE)&gt;0.3,VLOOKUP(B33,controller,10,FALSE),VLOOKUP(CONCATENATE(Datos_Generales!E13," ",Datos_Generales!E11),Listado!$CT$3:$CW$9,3,FALSE)),"revisa los datos")</f>
        <v>revisa los datos</v>
      </c>
      <c r="F32" s="611" t="str">
        <f>IFERROR(VLOOKUP(B33,controller,14,FALSE),"sin dato")</f>
        <v>sin dato</v>
      </c>
      <c r="G32" s="624">
        <f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>IFERROR(1-((E32*C32)+(H32*C32)+(F32*C32)+(I32*C32))/D32,0)</f>
        <v>0</v>
      </c>
    </row>
    <row r="33" spans="2:12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2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2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2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2" ht="38.25" customHeight="1" thickBot="1" x14ac:dyDescent="0.25">
      <c r="B37" s="664" t="s">
        <v>327</v>
      </c>
      <c r="C37" s="665"/>
      <c r="D37" s="665"/>
      <c r="E37" s="665"/>
      <c r="F37" s="665"/>
      <c r="G37" s="666"/>
      <c r="H37" s="665"/>
      <c r="I37" s="665"/>
      <c r="J37" s="666"/>
    </row>
    <row r="38" spans="2:12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  <c r="K38" s="736" t="s">
        <v>328</v>
      </c>
      <c r="L38" s="737" t="s">
        <v>186</v>
      </c>
    </row>
    <row r="39" spans="2:12" ht="37.5" customHeight="1" thickBot="1" x14ac:dyDescent="0.25">
      <c r="B39" s="617">
        <f>+Datos_Generales!E8</f>
        <v>0</v>
      </c>
      <c r="C39" s="721">
        <f>+Presupuesto_Final2!L5</f>
        <v>0</v>
      </c>
      <c r="D39" s="721">
        <f>+Presupuesto_Final2!D2</f>
        <v>0</v>
      </c>
      <c r="E39" s="722" t="str">
        <f>IF(E32&gt;E42,E32,E42)</f>
        <v>revisa los datos</v>
      </c>
      <c r="F39" s="722" t="str">
        <f ca="1">IF(F32&gt;F42,F32,F42)</f>
        <v>sin dato</v>
      </c>
      <c r="G39" s="624">
        <f ca="1">IFERROR(1-((E39+F39)/D42),0)</f>
        <v>0</v>
      </c>
      <c r="H39" s="722" t="str">
        <f>+H42</f>
        <v>sin datos</v>
      </c>
      <c r="I39" s="722" t="str">
        <f ca="1">IF(I32&gt;I42,I32,I42)</f>
        <v>sin datos</v>
      </c>
      <c r="J39" s="624">
        <f ca="1">IFERROR(1-((E39+F39+H39+I39)/D42),)</f>
        <v>0</v>
      </c>
      <c r="K39" s="734">
        <v>7.0000000000000007E-2</v>
      </c>
      <c r="L39" s="735">
        <f ca="1">+J39-K39</f>
        <v>-7.0000000000000007E-2</v>
      </c>
    </row>
    <row r="40" spans="2:12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2" ht="38.25" customHeight="1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  <c r="K41" s="736" t="s">
        <v>328</v>
      </c>
      <c r="L41" s="737" t="s">
        <v>186</v>
      </c>
    </row>
    <row r="42" spans="2:12" ht="40.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>
        <f>IFERROR(Presupuesto_Final2!I10,"sin datos")</f>
        <v>0</v>
      </c>
      <c r="F42" s="723">
        <f ca="1">IFERROR((Presupuesto_Final2!I17)/Presupuesto_Final2!L5,0)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  <c r="K42" s="734">
        <v>7.0000000000000007E-2</v>
      </c>
      <c r="L42" s="735">
        <f ca="1">+J42-K42</f>
        <v>-7.0000000000000007E-2</v>
      </c>
    </row>
    <row r="44" spans="2:12" x14ac:dyDescent="0.2">
      <c r="E44" s="719"/>
      <c r="F44" s="720"/>
    </row>
    <row r="45" spans="2:12" x14ac:dyDescent="0.2">
      <c r="F45" s="718"/>
    </row>
    <row r="46" spans="2:12" ht="13.5" thickBot="1" x14ac:dyDescent="0.25"/>
    <row r="47" spans="2:12" ht="31.5" customHeight="1" thickBot="1" x14ac:dyDescent="0.25">
      <c r="B47" s="618" t="s">
        <v>330</v>
      </c>
    </row>
    <row r="48" spans="2:12" x14ac:dyDescent="0.2">
      <c r="B48" s="953" t="str">
        <f ca="1">IF(J39&lt;J32,CONCATENATE("El Centro es ",TRUNC(J32-J39,2)," puntos menos rentable que el año anterior."),IF(J39&lt;8,"Rentabilidad menor a 8",""))</f>
        <v>Rentabilidad menor a 8</v>
      </c>
      <c r="C48" s="954"/>
      <c r="D48" s="954"/>
      <c r="E48" s="954"/>
      <c r="F48" s="954"/>
      <c r="G48" s="954"/>
      <c r="H48" s="954"/>
      <c r="I48" s="955"/>
    </row>
    <row r="49" spans="2:9" x14ac:dyDescent="0.2">
      <c r="B49" s="956"/>
      <c r="C49" s="957"/>
      <c r="D49" s="957"/>
      <c r="E49" s="957"/>
      <c r="F49" s="957"/>
      <c r="G49" s="957"/>
      <c r="H49" s="957"/>
      <c r="I49" s="958"/>
    </row>
    <row r="50" spans="2:9" x14ac:dyDescent="0.2">
      <c r="B50" s="956"/>
      <c r="C50" s="957"/>
      <c r="D50" s="957"/>
      <c r="E50" s="957"/>
      <c r="F50" s="957"/>
      <c r="G50" s="957"/>
      <c r="H50" s="957"/>
      <c r="I50" s="958"/>
    </row>
    <row r="51" spans="2:9" x14ac:dyDescent="0.2">
      <c r="B51" s="956"/>
      <c r="C51" s="957"/>
      <c r="D51" s="957"/>
      <c r="E51" s="957"/>
      <c r="F51" s="957"/>
      <c r="G51" s="957"/>
      <c r="H51" s="957"/>
      <c r="I51" s="958"/>
    </row>
    <row r="52" spans="2:9" x14ac:dyDescent="0.2">
      <c r="B52" s="956"/>
      <c r="C52" s="957"/>
      <c r="D52" s="957"/>
      <c r="E52" s="957"/>
      <c r="F52" s="957"/>
      <c r="G52" s="957"/>
      <c r="H52" s="957"/>
      <c r="I52" s="958"/>
    </row>
    <row r="53" spans="2:9" ht="13.5" thickBot="1" x14ac:dyDescent="0.25">
      <c r="B53" s="959"/>
      <c r="C53" s="960"/>
      <c r="D53" s="960"/>
      <c r="E53" s="960"/>
      <c r="F53" s="960"/>
      <c r="G53" s="960"/>
      <c r="H53" s="960"/>
      <c r="I53" s="961"/>
    </row>
    <row r="54" spans="2:9" x14ac:dyDescent="0.2">
      <c r="B54" s="971"/>
      <c r="C54" s="972"/>
      <c r="D54" s="972"/>
      <c r="E54" s="972"/>
      <c r="F54" s="972"/>
      <c r="G54" s="972"/>
      <c r="H54" s="972"/>
      <c r="I54" s="973"/>
    </row>
    <row r="55" spans="2:9" x14ac:dyDescent="0.2">
      <c r="B55" s="974"/>
      <c r="C55" s="975"/>
      <c r="D55" s="975"/>
      <c r="E55" s="975"/>
      <c r="F55" s="975"/>
      <c r="G55" s="975"/>
      <c r="H55" s="975"/>
      <c r="I55" s="976"/>
    </row>
    <row r="56" spans="2:9" x14ac:dyDescent="0.2">
      <c r="B56" s="974"/>
      <c r="C56" s="975"/>
      <c r="D56" s="975"/>
      <c r="E56" s="975"/>
      <c r="F56" s="975"/>
      <c r="G56" s="975"/>
      <c r="H56" s="975"/>
      <c r="I56" s="976"/>
    </row>
    <row r="57" spans="2:9" x14ac:dyDescent="0.2">
      <c r="B57" s="974"/>
      <c r="C57" s="975"/>
      <c r="D57" s="975"/>
      <c r="E57" s="975"/>
      <c r="F57" s="975"/>
      <c r="G57" s="975"/>
      <c r="H57" s="975"/>
      <c r="I57" s="976"/>
    </row>
    <row r="58" spans="2:9" x14ac:dyDescent="0.2">
      <c r="B58" s="974"/>
      <c r="C58" s="975"/>
      <c r="D58" s="975"/>
      <c r="E58" s="975"/>
      <c r="F58" s="975"/>
      <c r="G58" s="975"/>
      <c r="H58" s="975"/>
      <c r="I58" s="976"/>
    </row>
    <row r="59" spans="2:9" ht="13.5" thickBot="1" x14ac:dyDescent="0.25">
      <c r="B59" s="977"/>
      <c r="C59" s="978"/>
      <c r="D59" s="978"/>
      <c r="E59" s="978"/>
      <c r="F59" s="978"/>
      <c r="G59" s="978"/>
      <c r="H59" s="978"/>
      <c r="I59" s="979"/>
    </row>
    <row r="60" spans="2:9" x14ac:dyDescent="0.2">
      <c r="B60" s="962"/>
      <c r="C60" s="963"/>
      <c r="D60" s="963"/>
      <c r="E60" s="963"/>
      <c r="F60" s="963"/>
      <c r="G60" s="963"/>
      <c r="H60" s="963"/>
      <c r="I60" s="964"/>
    </row>
    <row r="61" spans="2:9" x14ac:dyDescent="0.2">
      <c r="B61" s="965"/>
      <c r="C61" s="966"/>
      <c r="D61" s="966"/>
      <c r="E61" s="966"/>
      <c r="F61" s="966"/>
      <c r="G61" s="966"/>
      <c r="H61" s="966"/>
      <c r="I61" s="967"/>
    </row>
    <row r="62" spans="2:9" x14ac:dyDescent="0.2">
      <c r="B62" s="965"/>
      <c r="C62" s="966"/>
      <c r="D62" s="966"/>
      <c r="E62" s="966"/>
      <c r="F62" s="966"/>
      <c r="G62" s="966"/>
      <c r="H62" s="966"/>
      <c r="I62" s="967"/>
    </row>
    <row r="63" spans="2:9" x14ac:dyDescent="0.2">
      <c r="B63" s="965"/>
      <c r="C63" s="966"/>
      <c r="D63" s="966"/>
      <c r="E63" s="966"/>
      <c r="F63" s="966"/>
      <c r="G63" s="966"/>
      <c r="H63" s="966"/>
      <c r="I63" s="967"/>
    </row>
    <row r="64" spans="2:9" x14ac:dyDescent="0.2">
      <c r="B64" s="965"/>
      <c r="C64" s="966"/>
      <c r="D64" s="966"/>
      <c r="E64" s="966"/>
      <c r="F64" s="966"/>
      <c r="G64" s="966"/>
      <c r="H64" s="966"/>
      <c r="I64" s="967"/>
    </row>
    <row r="65" spans="2:9" ht="13.5" thickBot="1" x14ac:dyDescent="0.25">
      <c r="B65" s="968"/>
      <c r="C65" s="969"/>
      <c r="D65" s="969"/>
      <c r="E65" s="969"/>
      <c r="F65" s="969"/>
      <c r="G65" s="969"/>
      <c r="H65" s="969"/>
      <c r="I65" s="970"/>
    </row>
  </sheetData>
  <mergeCells count="9">
    <mergeCell ref="B48:I53"/>
    <mergeCell ref="B60:I65"/>
    <mergeCell ref="B54:I59"/>
    <mergeCell ref="C24:D24"/>
    <mergeCell ref="B3:E3"/>
    <mergeCell ref="G5:H12"/>
    <mergeCell ref="B14:E14"/>
    <mergeCell ref="B17:F17"/>
    <mergeCell ref="C23:D23"/>
  </mergeCells>
  <conditionalFormatting sqref="G5">
    <cfRule type="cellIs" dxfId="56" priority="44" operator="lessThan">
      <formula>0.07</formula>
    </cfRule>
    <cfRule type="cellIs" dxfId="55" priority="45" operator="greaterThan">
      <formula>0.07</formula>
    </cfRule>
    <cfRule type="colorScale" priority="46">
      <colorScale>
        <cfvo type="min"/>
        <cfvo type="max"/>
        <color rgb="FFFFEF9C"/>
        <color rgb="FF63BE7B"/>
      </colorScale>
    </cfRule>
  </conditionalFormatting>
  <conditionalFormatting sqref="J32">
    <cfRule type="expression" dxfId="54" priority="19">
      <formula>$J$32&lt;0.07</formula>
    </cfRule>
    <cfRule type="colorScale" priority="47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53" priority="32">
      <formula>($F$39-$F$32)&lt;0</formula>
    </cfRule>
  </conditionalFormatting>
  <conditionalFormatting sqref="G32"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8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52" priority="14">
      <formula>$F$42&lt;$F$32</formula>
    </cfRule>
  </conditionalFormatting>
  <conditionalFormatting sqref="H42">
    <cfRule type="expression" dxfId="51" priority="11">
      <formula>$H$42&lt;$H$32</formula>
    </cfRule>
  </conditionalFormatting>
  <conditionalFormatting sqref="E42">
    <cfRule type="expression" dxfId="50" priority="10">
      <formula>$E$42&lt;$E$32</formula>
    </cfRule>
  </conditionalFormatting>
  <conditionalFormatting sqref="I42">
    <cfRule type="expression" dxfId="49" priority="9">
      <formula>$I$42&lt;$I$32</formula>
    </cfRule>
  </conditionalFormatting>
  <conditionalFormatting sqref="G42">
    <cfRule type="colorScale" priority="6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4">
      <colorScale>
        <cfvo type="percent" val="0"/>
        <cfvo type="percent" val="30"/>
        <color rgb="FFFF7128"/>
        <color rgb="FFFFEF9C"/>
      </colorScale>
    </cfRule>
  </conditionalFormatting>
  <conditionalFormatting sqref="H39">
    <cfRule type="expression" dxfId="48" priority="3">
      <formula>($F$39-$F$32)&lt;0</formula>
    </cfRule>
  </conditionalFormatting>
  <conditionalFormatting sqref="I39">
    <cfRule type="expression" dxfId="47" priority="2">
      <formula>($F$39-$F$32)&lt;0</formula>
    </cfRule>
  </conditionalFormatting>
  <conditionalFormatting sqref="J39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338BC-6974-4BBC-AE56-70B5098109B3}">
  <sheetPr codeName="Hoja12">
    <tabColor theme="6" tint="0.39997558519241921"/>
    <pageSetUpPr fitToPage="1"/>
  </sheetPr>
  <dimension ref="A1:M65"/>
  <sheetViews>
    <sheetView showGridLines="0" view="pageBreakPreview" topLeftCell="A26" zoomScale="55" zoomScaleNormal="55" zoomScaleSheetLayoutView="55" workbookViewId="0">
      <selection activeCell="F42" sqref="F42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1" width="10.5703125" style="96"/>
    <col min="12" max="12" width="14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82" t="s">
        <v>305</v>
      </c>
      <c r="C3" s="983"/>
      <c r="D3" s="983"/>
      <c r="E3" s="98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+IFERROR(Presupuesto_Final2!D10/COEFICIENTES_CAP!D5,0)</f>
        <v>0</v>
      </c>
      <c r="G5" s="985">
        <f ca="1">+F19+C24</f>
        <v>0</v>
      </c>
      <c r="H5" s="98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87"/>
      <c r="H6" s="988"/>
    </row>
    <row r="7" spans="1:9" hidden="1" x14ac:dyDescent="0.2">
      <c r="A7" s="551"/>
      <c r="B7" s="560"/>
      <c r="G7" s="987"/>
      <c r="H7" s="988"/>
    </row>
    <row r="8" spans="1:9" hidden="1" x14ac:dyDescent="0.2">
      <c r="A8" s="551"/>
      <c r="B8" s="560"/>
      <c r="G8" s="987"/>
      <c r="H8" s="988"/>
      <c r="I8" s="96"/>
    </row>
    <row r="9" spans="1:9" hidden="1" x14ac:dyDescent="0.2">
      <c r="A9" s="551"/>
      <c r="B9" s="560"/>
      <c r="G9" s="987"/>
      <c r="H9" s="988"/>
      <c r="I9" s="96"/>
    </row>
    <row r="10" spans="1:9" hidden="1" x14ac:dyDescent="0.2">
      <c r="A10" s="551"/>
      <c r="B10" s="560"/>
      <c r="G10" s="987"/>
      <c r="H10" s="988"/>
      <c r="I10" s="96"/>
    </row>
    <row r="11" spans="1:9" hidden="1" x14ac:dyDescent="0.2">
      <c r="A11" s="551"/>
      <c r="B11" s="560"/>
      <c r="E11" s="504" t="s">
        <v>312</v>
      </c>
      <c r="G11" s="987"/>
      <c r="H11" s="988"/>
      <c r="I11" s="96"/>
    </row>
    <row r="12" spans="1:9" ht="13.5" hidden="1" thickBot="1" x14ac:dyDescent="0.25">
      <c r="A12" s="551"/>
      <c r="B12" s="560"/>
      <c r="E12" s="504" t="s">
        <v>313</v>
      </c>
      <c r="G12" s="989"/>
      <c r="H12" s="99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991"/>
      <c r="C14" s="992"/>
      <c r="D14" s="992"/>
      <c r="E14" s="99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3" ht="27" hidden="1" thickBot="1" x14ac:dyDescent="0.45">
      <c r="A17" s="551"/>
      <c r="B17" s="994"/>
      <c r="C17" s="995"/>
      <c r="D17" s="995"/>
      <c r="E17" s="995"/>
      <c r="F17" s="996"/>
      <c r="H17" s="561"/>
      <c r="I17" s="96"/>
    </row>
    <row r="18" spans="1:13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3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3" hidden="1" x14ac:dyDescent="0.2">
      <c r="A20" s="551"/>
      <c r="B20" s="560"/>
      <c r="H20" s="561"/>
      <c r="I20" s="96"/>
    </row>
    <row r="21" spans="1:13" hidden="1" x14ac:dyDescent="0.2">
      <c r="A21" s="551"/>
      <c r="B21" s="560"/>
      <c r="H21" s="561"/>
      <c r="I21" s="96"/>
    </row>
    <row r="22" spans="1:13" hidden="1" x14ac:dyDescent="0.2">
      <c r="A22" s="551"/>
      <c r="B22" s="560"/>
      <c r="H22" s="561"/>
      <c r="I22" s="96"/>
    </row>
    <row r="23" spans="1:13" ht="27" hidden="1" thickBot="1" x14ac:dyDescent="0.45">
      <c r="A23" s="551"/>
      <c r="B23" s="560"/>
      <c r="C23" s="997" t="s">
        <v>316</v>
      </c>
      <c r="D23" s="998"/>
      <c r="H23" s="561"/>
      <c r="I23" s="96"/>
    </row>
    <row r="24" spans="1:13" ht="34.5" hidden="1" thickBot="1" x14ac:dyDescent="0.55000000000000004">
      <c r="A24" s="551"/>
      <c r="B24" s="571"/>
      <c r="C24" s="980">
        <v>0</v>
      </c>
      <c r="D24" s="981"/>
      <c r="E24" s="572"/>
      <c r="F24" s="572"/>
      <c r="G24" s="572"/>
      <c r="H24" s="573"/>
      <c r="I24" s="96"/>
    </row>
    <row r="25" spans="1:13" hidden="1" x14ac:dyDescent="0.2">
      <c r="A25" s="551"/>
      <c r="I25" s="96"/>
    </row>
    <row r="26" spans="1:13" ht="3.75" customHeight="1" x14ac:dyDescent="0.2">
      <c r="A26" s="551"/>
      <c r="I26" s="96"/>
    </row>
    <row r="27" spans="1:13" ht="3.75" customHeight="1" x14ac:dyDescent="0.2">
      <c r="A27" s="551"/>
      <c r="I27" s="96"/>
    </row>
    <row r="28" spans="1:13" ht="3.75" customHeight="1" x14ac:dyDescent="0.2">
      <c r="A28" s="551"/>
      <c r="I28" s="96"/>
    </row>
    <row r="29" spans="1:13" ht="13.5" thickBot="1" x14ac:dyDescent="0.25">
      <c r="A29" s="574"/>
    </row>
    <row r="30" spans="1:13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  <c r="L30" s="504" t="s">
        <v>94</v>
      </c>
      <c r="M30" s="504" t="s">
        <v>331</v>
      </c>
    </row>
    <row r="31" spans="1:13" ht="37.35" customHeight="1" thickBot="1" x14ac:dyDescent="0.25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3" ht="37.35" customHeight="1" thickBot="1" x14ac:dyDescent="0.25">
      <c r="B32" s="609">
        <f>+Datos_Generales!E8</f>
        <v>0</v>
      </c>
      <c r="C32" s="721">
        <f>+C39</f>
        <v>0</v>
      </c>
      <c r="D32" s="677">
        <f>+D39</f>
        <v>0</v>
      </c>
      <c r="E32" s="681">
        <f>IFERROR(VLOOKUP(CONCATENATE(Datos_Generales!E13," ",Datos_Generales!E11),Transporte_Matriz,3,FALSE),0)</f>
        <v>0</v>
      </c>
      <c r="F32" s="679">
        <f ca="1">+F42</f>
        <v>0</v>
      </c>
      <c r="G32" s="624">
        <f ca="1"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 ca="1">IFERROR(1-((E32*C32)+(H32*C32)+(F32*C32)+(I32*C32))/D32,0)</f>
        <v>0</v>
      </c>
    </row>
    <row r="33" spans="2:10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0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0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0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0" ht="38.25" customHeight="1" thickBot="1" x14ac:dyDescent="0.25">
      <c r="B37" s="664" t="s">
        <v>332</v>
      </c>
      <c r="C37" s="665"/>
      <c r="D37" s="665"/>
      <c r="E37" s="665"/>
      <c r="F37" s="665"/>
      <c r="G37" s="666"/>
      <c r="H37" s="665"/>
      <c r="I37" s="665"/>
      <c r="J37" s="666"/>
    </row>
    <row r="38" spans="2:10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</row>
    <row r="39" spans="2:10" ht="37.5" customHeight="1" thickBot="1" x14ac:dyDescent="0.25">
      <c r="B39" s="617">
        <f>+Datos_Generales!E8</f>
        <v>0</v>
      </c>
      <c r="C39" s="721">
        <f>+Presupuesto_Final2!L5</f>
        <v>0</v>
      </c>
      <c r="D39" s="677">
        <f>+Presupuesto_Final2!D2</f>
        <v>0</v>
      </c>
      <c r="E39" s="680" t="str">
        <f>IFERROR(IF(E42&gt;E32,E42,E32),0)</f>
        <v>sin datos</v>
      </c>
      <c r="F39" s="678">
        <f ca="1">F42</f>
        <v>0</v>
      </c>
      <c r="G39" s="624">
        <f ca="1">IFERROR(1-((E42+F42)/D42),0)</f>
        <v>0</v>
      </c>
      <c r="H39" s="722" t="str">
        <f>+H42</f>
        <v>sin datos</v>
      </c>
      <c r="I39" s="722" t="str">
        <f ca="1">IF(I42&gt;I32,I42,I32)</f>
        <v>sin datos</v>
      </c>
      <c r="J39" s="624">
        <f ca="1">IFERROR(1-((E39*C39)+(H39*C39)+(F39*C39)+(I39*C39))/D39,0)</f>
        <v>0</v>
      </c>
    </row>
    <row r="40" spans="2:10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0" ht="24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</row>
    <row r="42" spans="2:10" ht="31.3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 t="str">
        <f>IFERROR(Presupuesto_Final2!D10/Presupuesto_Final2!L5,"sin datos")</f>
        <v>sin datos</v>
      </c>
      <c r="F42" s="723">
        <f ca="1">IFERROR((Mano_obra!F32+Mano_obra!I32+Mano_obra!F64+Mano_obra!I64+Mano_obra!G32+Mano_obra!G64+Complementos!J63)/Presupuesto_Final2!L5,0)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</row>
    <row r="46" spans="2:10" ht="13.5" thickBot="1" x14ac:dyDescent="0.25"/>
    <row r="47" spans="2:10" ht="31.5" customHeight="1" thickBot="1" x14ac:dyDescent="0.25">
      <c r="B47" s="618" t="s">
        <v>330</v>
      </c>
    </row>
    <row r="48" spans="2:10" x14ac:dyDescent="0.2">
      <c r="B48" s="953" t="b">
        <f ca="1">IF(J39&lt;J32,CONCATENATE("CAPTACION: El Centro es ",TRUNC(J32-J39,2)," puntos menos rentable de lo esperado",""))</f>
        <v>0</v>
      </c>
      <c r="C48" s="954"/>
      <c r="D48" s="954"/>
      <c r="E48" s="954"/>
      <c r="F48" s="954"/>
      <c r="G48" s="954"/>
      <c r="H48" s="954"/>
      <c r="I48" s="955"/>
    </row>
    <row r="49" spans="2:9" x14ac:dyDescent="0.2">
      <c r="B49" s="956"/>
      <c r="C49" s="957"/>
      <c r="D49" s="957"/>
      <c r="E49" s="957"/>
      <c r="F49" s="957"/>
      <c r="G49" s="957"/>
      <c r="H49" s="957"/>
      <c r="I49" s="958"/>
    </row>
    <row r="50" spans="2:9" x14ac:dyDescent="0.2">
      <c r="B50" s="956"/>
      <c r="C50" s="957"/>
      <c r="D50" s="957"/>
      <c r="E50" s="957"/>
      <c r="F50" s="957"/>
      <c r="G50" s="957"/>
      <c r="H50" s="957"/>
      <c r="I50" s="958"/>
    </row>
    <row r="51" spans="2:9" x14ac:dyDescent="0.2">
      <c r="B51" s="956"/>
      <c r="C51" s="957"/>
      <c r="D51" s="957"/>
      <c r="E51" s="957"/>
      <c r="F51" s="957"/>
      <c r="G51" s="957"/>
      <c r="H51" s="957"/>
      <c r="I51" s="958"/>
    </row>
    <row r="52" spans="2:9" x14ac:dyDescent="0.2">
      <c r="B52" s="956"/>
      <c r="C52" s="957"/>
      <c r="D52" s="957"/>
      <c r="E52" s="957"/>
      <c r="F52" s="957"/>
      <c r="G52" s="957"/>
      <c r="H52" s="957"/>
      <c r="I52" s="958"/>
    </row>
    <row r="53" spans="2:9" ht="13.5" thickBot="1" x14ac:dyDescent="0.25">
      <c r="B53" s="959"/>
      <c r="C53" s="960"/>
      <c r="D53" s="960"/>
      <c r="E53" s="960"/>
      <c r="F53" s="960"/>
      <c r="G53" s="960"/>
      <c r="H53" s="960"/>
      <c r="I53" s="961"/>
    </row>
    <row r="54" spans="2:9" x14ac:dyDescent="0.2">
      <c r="B54" s="999"/>
      <c r="C54" s="1000"/>
      <c r="D54" s="1000"/>
      <c r="E54" s="1000"/>
      <c r="F54" s="1000"/>
      <c r="G54" s="1000"/>
      <c r="H54" s="1000"/>
      <c r="I54" s="1001"/>
    </row>
    <row r="55" spans="2:9" x14ac:dyDescent="0.2">
      <c r="B55" s="1002"/>
      <c r="C55" s="1003"/>
      <c r="D55" s="1003"/>
      <c r="E55" s="1003"/>
      <c r="F55" s="1003"/>
      <c r="G55" s="1003"/>
      <c r="H55" s="1003"/>
      <c r="I55" s="1004"/>
    </row>
    <row r="56" spans="2:9" x14ac:dyDescent="0.2">
      <c r="B56" s="1002"/>
      <c r="C56" s="1003"/>
      <c r="D56" s="1003"/>
      <c r="E56" s="1003"/>
      <c r="F56" s="1003"/>
      <c r="G56" s="1003"/>
      <c r="H56" s="1003"/>
      <c r="I56" s="1004"/>
    </row>
    <row r="57" spans="2:9" x14ac:dyDescent="0.2">
      <c r="B57" s="1002"/>
      <c r="C57" s="1003"/>
      <c r="D57" s="1003"/>
      <c r="E57" s="1003"/>
      <c r="F57" s="1003"/>
      <c r="G57" s="1003"/>
      <c r="H57" s="1003"/>
      <c r="I57" s="1004"/>
    </row>
    <row r="58" spans="2:9" x14ac:dyDescent="0.2">
      <c r="B58" s="1002"/>
      <c r="C58" s="1003"/>
      <c r="D58" s="1003"/>
      <c r="E58" s="1003"/>
      <c r="F58" s="1003"/>
      <c r="G58" s="1003"/>
      <c r="H58" s="1003"/>
      <c r="I58" s="1004"/>
    </row>
    <row r="59" spans="2:9" ht="13.5" thickBot="1" x14ac:dyDescent="0.25">
      <c r="B59" s="1005"/>
      <c r="C59" s="1006"/>
      <c r="D59" s="1006"/>
      <c r="E59" s="1006"/>
      <c r="F59" s="1006"/>
      <c r="G59" s="1006"/>
      <c r="H59" s="1006"/>
      <c r="I59" s="1007"/>
    </row>
    <row r="60" spans="2:9" x14ac:dyDescent="0.2">
      <c r="B60" s="999"/>
      <c r="C60" s="1000"/>
      <c r="D60" s="1000"/>
      <c r="E60" s="1000"/>
      <c r="F60" s="1000"/>
      <c r="G60" s="1000"/>
      <c r="H60" s="1000"/>
      <c r="I60" s="1001"/>
    </row>
    <row r="61" spans="2:9" x14ac:dyDescent="0.2">
      <c r="B61" s="1002"/>
      <c r="C61" s="1003"/>
      <c r="D61" s="1003"/>
      <c r="E61" s="1003"/>
      <c r="F61" s="1003"/>
      <c r="G61" s="1003"/>
      <c r="H61" s="1003"/>
      <c r="I61" s="1004"/>
    </row>
    <row r="62" spans="2:9" x14ac:dyDescent="0.2">
      <c r="B62" s="1002"/>
      <c r="C62" s="1003"/>
      <c r="D62" s="1003"/>
      <c r="E62" s="1003"/>
      <c r="F62" s="1003"/>
      <c r="G62" s="1003"/>
      <c r="H62" s="1003"/>
      <c r="I62" s="1004"/>
    </row>
    <row r="63" spans="2:9" x14ac:dyDescent="0.2">
      <c r="B63" s="1002"/>
      <c r="C63" s="1003"/>
      <c r="D63" s="1003"/>
      <c r="E63" s="1003"/>
      <c r="F63" s="1003"/>
      <c r="G63" s="1003"/>
      <c r="H63" s="1003"/>
      <c r="I63" s="1004"/>
    </row>
    <row r="64" spans="2:9" x14ac:dyDescent="0.2">
      <c r="B64" s="1002"/>
      <c r="C64" s="1003"/>
      <c r="D64" s="1003"/>
      <c r="E64" s="1003"/>
      <c r="F64" s="1003"/>
      <c r="G64" s="1003"/>
      <c r="H64" s="1003"/>
      <c r="I64" s="1004"/>
    </row>
    <row r="65" spans="2:9" ht="13.5" thickBot="1" x14ac:dyDescent="0.25">
      <c r="B65" s="1005"/>
      <c r="C65" s="1006"/>
      <c r="D65" s="1006"/>
      <c r="E65" s="1006"/>
      <c r="F65" s="1006"/>
      <c r="G65" s="1006"/>
      <c r="H65" s="1006"/>
      <c r="I65" s="1007"/>
    </row>
  </sheetData>
  <mergeCells count="9">
    <mergeCell ref="B48:I53"/>
    <mergeCell ref="B54:I59"/>
    <mergeCell ref="B60:I65"/>
    <mergeCell ref="B3:E3"/>
    <mergeCell ref="G5:H12"/>
    <mergeCell ref="B14:E14"/>
    <mergeCell ref="B17:F17"/>
    <mergeCell ref="C23:D23"/>
    <mergeCell ref="C24:D24"/>
  </mergeCells>
  <conditionalFormatting sqref="G5">
    <cfRule type="cellIs" dxfId="46" priority="19" operator="lessThan">
      <formula>0.07</formula>
    </cfRule>
    <cfRule type="cellIs" dxfId="45" priority="20" operator="greaterThan">
      <formula>0.07</formula>
    </cfRule>
    <cfRule type="colorScale" priority="21">
      <colorScale>
        <cfvo type="min"/>
        <cfvo type="max"/>
        <color rgb="FFFFEF9C"/>
        <color rgb="FF63BE7B"/>
      </colorScale>
    </cfRule>
  </conditionalFormatting>
  <conditionalFormatting sqref="J32">
    <cfRule type="expression" dxfId="44" priority="15">
      <formula>$J$32&lt;0.07</formula>
    </cfRule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43" priority="18">
      <formula>($F$39-$F$32)&lt;0</formula>
    </cfRule>
  </conditionalFormatting>
  <conditionalFormatting sqref="H39:I39">
    <cfRule type="expression" dxfId="42" priority="17">
      <formula>($F$39-$F$32)&lt;0</formula>
    </cfRule>
  </conditionalFormatting>
  <conditionalFormatting sqref="G32">
    <cfRule type="colorScale" priority="16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4">
      <colorScale>
        <cfvo type="percent" val="0"/>
        <cfvo type="percent" val="30"/>
        <color rgb="FFFF7128"/>
        <color rgb="FFFFEF9C"/>
      </colorScale>
    </cfRule>
  </conditionalFormatting>
  <conditionalFormatting sqref="J39">
    <cfRule type="expression" dxfId="41" priority="11">
      <formula>$J$39&lt;$J$32</formula>
    </cfRule>
    <cfRule type="expression" dxfId="40" priority="12">
      <formula>($J$39&lt;0.07)</formula>
    </cfRule>
    <cfRule type="colorScale" priority="13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39" priority="6">
      <formula>$F$42&lt;$F$32</formula>
    </cfRule>
  </conditionalFormatting>
  <conditionalFormatting sqref="H42">
    <cfRule type="expression" dxfId="38" priority="5">
      <formula>$H$42&lt;$H$32</formula>
    </cfRule>
  </conditionalFormatting>
  <conditionalFormatting sqref="E42">
    <cfRule type="expression" dxfId="37" priority="4">
      <formula>$E$42&lt;$E$32</formula>
    </cfRule>
  </conditionalFormatting>
  <conditionalFormatting sqref="I42">
    <cfRule type="expression" dxfId="36" priority="3">
      <formula>$I$42&lt;$I$32</formula>
    </cfRule>
  </conditionalFormatting>
  <conditionalFormatting sqref="G42">
    <cfRule type="colorScale" priority="2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C538-452A-473A-9FF3-698A75E87EA8}">
  <sheetPr codeName="Hoja11">
    <tabColor theme="6" tint="0.39997558519241921"/>
  </sheetPr>
  <dimension ref="B1:S47"/>
  <sheetViews>
    <sheetView showGridLines="0" zoomScale="70" zoomScaleNormal="70" workbookViewId="0">
      <selection activeCell="D6" sqref="D6:H6"/>
    </sheetView>
  </sheetViews>
  <sheetFormatPr baseColWidth="10" defaultColWidth="11.42578125" defaultRowHeight="15" x14ac:dyDescent="0.3"/>
  <cols>
    <col min="1" max="1" width="27.42578125" style="12" customWidth="1"/>
    <col min="2" max="2" width="4.42578125" style="12" customWidth="1"/>
    <col min="3" max="3" width="21.42578125" style="12" customWidth="1"/>
    <col min="4" max="4" width="14" style="12" customWidth="1"/>
    <col min="5" max="5" width="11.42578125" style="12"/>
    <col min="6" max="6" width="16.42578125" style="12" customWidth="1"/>
    <col min="7" max="7" width="19.42578125" style="22" customWidth="1"/>
    <col min="8" max="8" width="1.42578125" style="12" customWidth="1"/>
    <col min="9" max="9" width="19" style="12" customWidth="1"/>
    <col min="10" max="10" width="13.5703125" style="12" customWidth="1"/>
    <col min="11" max="11" width="3.42578125" style="12" customWidth="1"/>
    <col min="12" max="12" width="3.5703125" style="12" customWidth="1"/>
    <col min="13" max="13" width="3.42578125" style="12" customWidth="1"/>
    <col min="14" max="14" width="26.5703125" style="12" customWidth="1"/>
    <col min="15" max="15" width="11.42578125" style="12"/>
    <col min="16" max="16" width="10.42578125" style="12" customWidth="1"/>
    <col min="17" max="17" width="16.42578125" style="12" customWidth="1"/>
    <col min="18" max="18" width="11.42578125" style="12"/>
    <col min="19" max="19" width="3.5703125" style="12" customWidth="1"/>
    <col min="20" max="20" width="22.42578125" style="12" customWidth="1"/>
    <col min="21" max="16384" width="11.42578125" style="12"/>
  </cols>
  <sheetData>
    <row r="1" spans="2:19" ht="8.25" customHeight="1" x14ac:dyDescent="0.3"/>
    <row r="2" spans="2:19" ht="2.25" customHeight="1" x14ac:dyDescent="0.3"/>
    <row r="3" spans="2:19" ht="17.25" customHeight="1" thickBot="1" x14ac:dyDescent="0.35">
      <c r="B3" s="23"/>
      <c r="C3" s="23"/>
      <c r="D3" s="23"/>
      <c r="E3" s="23"/>
      <c r="F3" s="23"/>
      <c r="G3" s="24"/>
      <c r="H3" s="23"/>
      <c r="I3" s="23"/>
      <c r="J3" s="23"/>
      <c r="K3" s="23"/>
    </row>
    <row r="4" spans="2:19" ht="15.75" thickTop="1" x14ac:dyDescent="0.3">
      <c r="B4" s="23"/>
      <c r="C4" s="1022" t="s">
        <v>333</v>
      </c>
      <c r="D4" s="1022"/>
      <c r="E4" s="1022"/>
      <c r="F4" s="1022"/>
      <c r="G4" s="1022"/>
      <c r="H4" s="1022"/>
      <c r="I4" s="1022"/>
      <c r="J4" s="1022"/>
      <c r="K4" s="23"/>
      <c r="N4" s="25" t="s">
        <v>334</v>
      </c>
      <c r="O4" s="26"/>
      <c r="P4" s="26"/>
      <c r="Q4" s="27"/>
      <c r="R4" s="28"/>
    </row>
    <row r="5" spans="2:19" x14ac:dyDescent="0.3">
      <c r="B5" s="23"/>
      <c r="C5" s="23"/>
      <c r="D5" s="23"/>
      <c r="E5" s="23"/>
      <c r="F5" s="23"/>
      <c r="G5" s="24"/>
      <c r="H5" s="23"/>
      <c r="I5" s="23"/>
      <c r="J5" s="23"/>
      <c r="K5" s="23"/>
      <c r="N5" s="29"/>
      <c r="R5" s="30"/>
    </row>
    <row r="6" spans="2:19" x14ac:dyDescent="0.3">
      <c r="B6" s="23"/>
      <c r="C6" s="414" t="s">
        <v>295</v>
      </c>
      <c r="D6" s="1030">
        <f>+Datos_Generales!E8</f>
        <v>0</v>
      </c>
      <c r="E6" s="1031"/>
      <c r="F6" s="1031"/>
      <c r="G6" s="1031"/>
      <c r="H6" s="1032"/>
      <c r="I6" s="416" t="s">
        <v>95</v>
      </c>
      <c r="J6" s="687">
        <f>+Datos_Generales!K11</f>
        <v>0</v>
      </c>
      <c r="K6" s="31"/>
      <c r="N6" s="29" t="s">
        <v>335</v>
      </c>
      <c r="P6" s="1043">
        <f>+Datos_Generales!S21</f>
        <v>0</v>
      </c>
      <c r="Q6" s="1044"/>
      <c r="R6" s="30"/>
    </row>
    <row r="7" spans="2:19" x14ac:dyDescent="0.3">
      <c r="B7" s="23"/>
      <c r="C7" s="415" t="s">
        <v>336</v>
      </c>
      <c r="D7" s="1033">
        <f>+Datos_Generales!E10</f>
        <v>0</v>
      </c>
      <c r="E7" s="1034"/>
      <c r="F7" s="1034"/>
      <c r="G7" s="1034"/>
      <c r="H7" s="1035"/>
      <c r="I7" s="685" t="s">
        <v>105</v>
      </c>
      <c r="J7" s="683">
        <f>+Datos_Generales!E16</f>
        <v>0</v>
      </c>
      <c r="K7" s="31"/>
      <c r="N7" s="1068" t="s">
        <v>337</v>
      </c>
      <c r="O7" s="1069"/>
      <c r="P7" s="32"/>
      <c r="Q7" s="35">
        <f ca="1">IFERROR(Q8+Q9,"")</f>
        <v>0</v>
      </c>
      <c r="R7" s="30"/>
    </row>
    <row r="8" spans="2:19" x14ac:dyDescent="0.3">
      <c r="B8" s="23"/>
      <c r="C8" s="415" t="s">
        <v>94</v>
      </c>
      <c r="D8" s="1033">
        <f>+Datos_Generales!E11</f>
        <v>0</v>
      </c>
      <c r="E8" s="1034"/>
      <c r="F8" s="1034"/>
      <c r="G8" s="1034"/>
      <c r="H8" s="1035"/>
      <c r="I8" s="23"/>
      <c r="J8" s="23"/>
      <c r="K8" s="31"/>
      <c r="N8" s="33" t="s">
        <v>338</v>
      </c>
      <c r="O8" s="34"/>
      <c r="Q8" s="35">
        <f>+E27+E28+E29+E30+J31</f>
        <v>0</v>
      </c>
      <c r="R8" s="30"/>
      <c r="S8" s="12" t="s">
        <v>339</v>
      </c>
    </row>
    <row r="9" spans="2:19" ht="15.75" thickBot="1" x14ac:dyDescent="0.35">
      <c r="B9" s="23"/>
      <c r="C9" s="415" t="s">
        <v>99</v>
      </c>
      <c r="D9" s="1047">
        <f>+Datos_Generales!E13</f>
        <v>0</v>
      </c>
      <c r="E9" s="1048"/>
      <c r="F9" s="1048"/>
      <c r="G9" s="1048"/>
      <c r="H9" s="1049"/>
      <c r="I9" s="23"/>
      <c r="J9" s="23"/>
      <c r="K9" s="31"/>
      <c r="N9" s="1070" t="s">
        <v>163</v>
      </c>
      <c r="O9" s="1071"/>
      <c r="P9" s="36"/>
      <c r="Q9" s="37">
        <f ca="1">+E31</f>
        <v>0</v>
      </c>
      <c r="R9" s="38"/>
      <c r="S9" s="12" t="s">
        <v>340</v>
      </c>
    </row>
    <row r="10" spans="2:19" ht="16.5" thickTop="1" thickBot="1" x14ac:dyDescent="0.35">
      <c r="B10" s="23"/>
      <c r="C10" s="415" t="s">
        <v>341</v>
      </c>
      <c r="D10" s="690">
        <f>+Datos_Generales!E14</f>
        <v>0</v>
      </c>
      <c r="E10" s="1027" t="s">
        <v>342</v>
      </c>
      <c r="F10" s="1027"/>
      <c r="G10" s="1028">
        <f>+Datos_Generales!S21</f>
        <v>0</v>
      </c>
      <c r="H10" s="1029"/>
      <c r="I10" s="23"/>
      <c r="J10" s="23"/>
      <c r="K10" s="23"/>
      <c r="N10" s="88" t="s">
        <v>343</v>
      </c>
      <c r="O10" s="89">
        <v>0.1</v>
      </c>
      <c r="P10" s="92">
        <f ca="1">IFERROR((Q7*0.1),0)</f>
        <v>0</v>
      </c>
      <c r="Q10" s="91">
        <f ca="1">IFERROR((Q7)*1.1,0)</f>
        <v>0</v>
      </c>
      <c r="R10" s="90"/>
      <c r="S10" s="39"/>
    </row>
    <row r="11" spans="2:19" ht="15.75" thickTop="1" x14ac:dyDescent="0.3">
      <c r="B11" s="23"/>
      <c r="C11" s="23"/>
      <c r="D11" s="23"/>
      <c r="E11" s="23"/>
      <c r="F11" s="23"/>
      <c r="G11" s="24"/>
      <c r="H11" s="23"/>
      <c r="I11" s="23"/>
      <c r="J11" s="413" t="s">
        <v>344</v>
      </c>
      <c r="K11" s="23"/>
      <c r="N11" s="34"/>
      <c r="O11" s="34"/>
      <c r="Q11" s="35"/>
    </row>
    <row r="12" spans="2:19" ht="0.75" customHeight="1" x14ac:dyDescent="0.3">
      <c r="B12" s="23"/>
      <c r="C12" s="23"/>
      <c r="D12" s="23"/>
      <c r="E12" s="23"/>
      <c r="F12" s="23"/>
      <c r="G12" s="24"/>
      <c r="H12" s="23"/>
      <c r="I12" s="23"/>
      <c r="J12" s="23"/>
      <c r="K12" s="23"/>
    </row>
    <row r="13" spans="2:19" x14ac:dyDescent="0.3">
      <c r="B13" s="23"/>
      <c r="C13" s="40" t="s">
        <v>143</v>
      </c>
      <c r="D13" s="1052">
        <f>+D15+D16+H19+H20+H21+H22</f>
        <v>0</v>
      </c>
      <c r="E13" s="1022"/>
      <c r="F13" s="40"/>
      <c r="G13" s="42"/>
      <c r="H13" s="40"/>
      <c r="I13" s="41">
        <f>SUM(H15)</f>
        <v>0</v>
      </c>
      <c r="J13" s="42">
        <f>+I13+D13</f>
        <v>0</v>
      </c>
      <c r="K13" s="23"/>
    </row>
    <row r="14" spans="2:19" x14ac:dyDescent="0.3">
      <c r="B14" s="23"/>
      <c r="C14" s="24"/>
      <c r="D14" s="23"/>
      <c r="E14" s="23"/>
      <c r="F14" s="23"/>
      <c r="G14" s="24"/>
      <c r="H14" s="23"/>
      <c r="I14" s="23"/>
      <c r="J14" s="23"/>
      <c r="K14" s="23"/>
      <c r="M14" s="94"/>
      <c r="N14" s="94"/>
      <c r="O14" s="94"/>
      <c r="P14" s="94"/>
      <c r="Q14" s="94"/>
      <c r="R14" s="94"/>
    </row>
    <row r="15" spans="2:19" ht="18" customHeight="1" x14ac:dyDescent="0.3">
      <c r="B15" s="23"/>
      <c r="C15" s="417" t="s">
        <v>345</v>
      </c>
      <c r="D15" s="1058">
        <f>+Materia_Prima!V85</f>
        <v>0</v>
      </c>
      <c r="E15" s="1059"/>
      <c r="F15" s="23"/>
      <c r="G15" s="417" t="s">
        <v>346</v>
      </c>
      <c r="H15" s="1023">
        <f>+Mano_obra!O32</f>
        <v>0</v>
      </c>
      <c r="I15" s="1024"/>
      <c r="J15" s="43"/>
      <c r="K15" s="23"/>
      <c r="M15" s="94"/>
      <c r="N15" s="95" t="s">
        <v>143</v>
      </c>
      <c r="O15" s="94"/>
      <c r="P15" s="94"/>
      <c r="Q15" s="94"/>
      <c r="R15" s="94"/>
    </row>
    <row r="16" spans="2:19" ht="18.75" customHeight="1" x14ac:dyDescent="0.3">
      <c r="B16" s="23"/>
      <c r="C16" s="417" t="s">
        <v>347</v>
      </c>
      <c r="D16" s="1041">
        <f>+Mano_obra!O64</f>
        <v>0</v>
      </c>
      <c r="E16" s="1042"/>
      <c r="F16" s="23"/>
      <c r="G16" s="23"/>
      <c r="H16" s="23"/>
      <c r="I16" s="23"/>
      <c r="J16" s="23"/>
      <c r="K16" s="23"/>
      <c r="M16" s="94"/>
      <c r="N16" s="419" t="s">
        <v>345</v>
      </c>
      <c r="O16" s="1020">
        <f>+D15+H19</f>
        <v>0</v>
      </c>
      <c r="P16" s="1021"/>
      <c r="Q16" s="94"/>
      <c r="R16" s="94"/>
    </row>
    <row r="17" spans="2:18" ht="18" customHeight="1" x14ac:dyDescent="0.3">
      <c r="B17" s="23"/>
      <c r="C17" s="23"/>
      <c r="D17" s="23"/>
      <c r="E17" s="23"/>
      <c r="F17" s="23"/>
      <c r="G17" s="23"/>
      <c r="H17" s="23"/>
      <c r="I17" s="23"/>
      <c r="J17" s="23"/>
      <c r="K17" s="23"/>
      <c r="M17" s="94"/>
      <c r="N17" s="419" t="s">
        <v>346</v>
      </c>
      <c r="O17" s="1012">
        <f>+H15+H21</f>
        <v>0</v>
      </c>
      <c r="P17" s="1013"/>
      <c r="Q17" s="94"/>
      <c r="R17" s="94"/>
    </row>
    <row r="18" spans="2:18" ht="18" customHeight="1" x14ac:dyDescent="0.3">
      <c r="B18" s="23"/>
      <c r="C18" s="23"/>
      <c r="D18" s="23"/>
      <c r="E18" s="23"/>
      <c r="F18" s="23"/>
      <c r="G18" s="1038" t="s">
        <v>348</v>
      </c>
      <c r="H18" s="1038"/>
      <c r="I18" s="1038"/>
      <c r="J18" s="23"/>
      <c r="K18" s="23"/>
      <c r="M18" s="94"/>
      <c r="N18" s="419" t="s">
        <v>347</v>
      </c>
      <c r="O18" s="1012">
        <f>+D16</f>
        <v>0</v>
      </c>
      <c r="P18" s="1013"/>
      <c r="Q18" s="94"/>
      <c r="R18" s="94"/>
    </row>
    <row r="19" spans="2:18" ht="18" customHeight="1" x14ac:dyDescent="0.3">
      <c r="B19" s="23"/>
      <c r="C19" s="23"/>
      <c r="D19" s="23"/>
      <c r="E19" s="23"/>
      <c r="F19" s="23"/>
      <c r="G19" s="417" t="s">
        <v>338</v>
      </c>
      <c r="H19" s="1036">
        <f>SUM(Complementos!J107:J114)</f>
        <v>0</v>
      </c>
      <c r="I19" s="1037"/>
      <c r="J19" s="23"/>
      <c r="K19" s="23"/>
      <c r="M19" s="94"/>
      <c r="N19" s="419"/>
      <c r="O19" s="1012"/>
      <c r="P19" s="1013"/>
      <c r="Q19" s="94"/>
      <c r="R19" s="94"/>
    </row>
    <row r="20" spans="2:18" ht="18" customHeight="1" x14ac:dyDescent="0.3">
      <c r="B20" s="23"/>
      <c r="C20" s="23"/>
      <c r="D20" s="23"/>
      <c r="E20" s="23"/>
      <c r="F20" s="23"/>
      <c r="G20" s="418" t="s">
        <v>349</v>
      </c>
      <c r="H20" s="1039">
        <f>SUM(Complementos!J116:J123)</f>
        <v>0</v>
      </c>
      <c r="I20" s="1040"/>
      <c r="J20" s="23"/>
      <c r="K20" s="23"/>
      <c r="M20" s="94"/>
      <c r="N20" s="419"/>
      <c r="O20" s="1014"/>
      <c r="P20" s="1015"/>
      <c r="Q20" s="94"/>
      <c r="R20" s="94"/>
    </row>
    <row r="21" spans="2:18" ht="16.5" customHeight="1" x14ac:dyDescent="0.3">
      <c r="B21" s="23"/>
      <c r="C21" s="23"/>
      <c r="D21" s="23"/>
      <c r="E21" s="23"/>
      <c r="F21" s="23"/>
      <c r="G21" s="417" t="s">
        <v>350</v>
      </c>
      <c r="H21" s="1039">
        <f>SUM(Complementos!J125:J132)</f>
        <v>0</v>
      </c>
      <c r="I21" s="1040"/>
      <c r="J21" s="23"/>
      <c r="K21" s="23"/>
      <c r="M21" s="94"/>
      <c r="N21" s="94"/>
      <c r="O21" s="94"/>
      <c r="P21" s="94"/>
      <c r="Q21" s="94"/>
      <c r="R21" s="94"/>
    </row>
    <row r="22" spans="2:18" x14ac:dyDescent="0.3">
      <c r="B22" s="23"/>
      <c r="C22" s="23"/>
      <c r="D22" s="23"/>
      <c r="E22" s="23"/>
      <c r="F22" s="23"/>
      <c r="G22" s="417"/>
      <c r="H22" s="1041"/>
      <c r="I22" s="1042"/>
      <c r="J22" s="23"/>
      <c r="K22" s="23"/>
      <c r="M22" s="94"/>
      <c r="N22" s="95" t="s">
        <v>142</v>
      </c>
      <c r="O22" s="94"/>
      <c r="P22" s="94"/>
      <c r="Q22" s="94"/>
      <c r="R22" s="94"/>
    </row>
    <row r="23" spans="2:18" x14ac:dyDescent="0.3">
      <c r="B23" s="23"/>
      <c r="C23" s="23"/>
      <c r="D23" s="23"/>
      <c r="E23" s="23"/>
      <c r="F23" s="23"/>
      <c r="G23" s="24"/>
      <c r="H23" s="23"/>
      <c r="I23" s="23"/>
      <c r="J23" s="23"/>
      <c r="K23" s="23"/>
      <c r="M23" s="94"/>
      <c r="N23" s="419" t="s">
        <v>345</v>
      </c>
      <c r="O23" s="1020">
        <f>+Presupuesto_Final2!D10</f>
        <v>0</v>
      </c>
      <c r="P23" s="1021"/>
      <c r="Q23" s="94"/>
      <c r="R23" s="94"/>
    </row>
    <row r="24" spans="2:18" x14ac:dyDescent="0.3">
      <c r="B24" s="23"/>
      <c r="C24" s="23"/>
      <c r="D24" s="48" t="s">
        <v>87</v>
      </c>
      <c r="E24" s="48" t="s">
        <v>351</v>
      </c>
      <c r="F24" s="23"/>
      <c r="G24" s="23"/>
      <c r="H24" s="23"/>
      <c r="I24" s="23"/>
      <c r="J24" s="413" t="s">
        <v>352</v>
      </c>
      <c r="K24" s="23"/>
      <c r="M24" s="94"/>
      <c r="N24" s="419" t="s">
        <v>346</v>
      </c>
      <c r="O24" s="1012">
        <f ca="1">+Presupuesto_Final2!D18</f>
        <v>0</v>
      </c>
      <c r="P24" s="1013"/>
      <c r="Q24" s="94"/>
      <c r="R24" s="94"/>
    </row>
    <row r="25" spans="2:18" x14ac:dyDescent="0.3">
      <c r="B25" s="23"/>
      <c r="C25" s="40" t="s">
        <v>353</v>
      </c>
      <c r="D25" s="42">
        <f ca="1">SUM(D27:D35)</f>
        <v>0</v>
      </c>
      <c r="E25" s="93">
        <f ca="1">SUM(E27:E34)</f>
        <v>0</v>
      </c>
      <c r="F25" s="40"/>
      <c r="G25" s="42"/>
      <c r="H25" s="40"/>
      <c r="I25" s="41">
        <f ca="1">+H27+H28</f>
        <v>0</v>
      </c>
      <c r="J25" s="42">
        <f ca="1">+I25+D25</f>
        <v>0</v>
      </c>
      <c r="K25" s="23"/>
      <c r="M25" s="94"/>
      <c r="N25" s="419" t="s">
        <v>354</v>
      </c>
      <c r="O25" s="1012">
        <f ca="1">+Presupuesto_Final2!D19+Presupuesto_Final2!D20</f>
        <v>0</v>
      </c>
      <c r="P25" s="1013"/>
      <c r="Q25" s="94"/>
      <c r="R25" s="94"/>
    </row>
    <row r="26" spans="2:18" ht="16.350000000000001" customHeight="1" x14ac:dyDescent="0.3">
      <c r="B26" s="23"/>
      <c r="C26" s="23"/>
      <c r="D26" s="23" t="s">
        <v>87</v>
      </c>
      <c r="E26" s="23" t="s">
        <v>351</v>
      </c>
      <c r="F26" s="23"/>
      <c r="G26" s="24"/>
      <c r="H26" s="23"/>
      <c r="I26" s="23"/>
      <c r="J26" s="23"/>
      <c r="K26" s="23"/>
      <c r="M26" s="94"/>
      <c r="N26" s="419" t="s">
        <v>355</v>
      </c>
      <c r="O26" s="1012">
        <f>+H28</f>
        <v>0</v>
      </c>
      <c r="P26" s="1013"/>
      <c r="Q26" s="94"/>
      <c r="R26" s="94"/>
    </row>
    <row r="27" spans="2:18" ht="16.350000000000001" customHeight="1" x14ac:dyDescent="0.3">
      <c r="B27" s="23"/>
      <c r="C27" s="417" t="s">
        <v>345</v>
      </c>
      <c r="D27" s="713">
        <f>SUM(Materia_Prima!V44:V53)+H31+Presupuesto_Final2!D13</f>
        <v>0</v>
      </c>
      <c r="E27" s="698">
        <f>IFERROR(D27/$P$6,0)</f>
        <v>0</v>
      </c>
      <c r="F27" s="23"/>
      <c r="G27" s="417" t="s">
        <v>346</v>
      </c>
      <c r="H27" s="1045">
        <f ca="1">+Mano_obra!F32+Mano_obra!G32+Mano_obra!I32</f>
        <v>0</v>
      </c>
      <c r="I27" s="1046"/>
      <c r="J27" s="23"/>
      <c r="K27" s="23"/>
      <c r="M27" s="94"/>
      <c r="N27" s="419" t="s">
        <v>356</v>
      </c>
      <c r="O27" s="1012">
        <f ca="1">+D32</f>
        <v>0</v>
      </c>
      <c r="P27" s="1013"/>
      <c r="Q27" s="94"/>
      <c r="R27" s="94"/>
    </row>
    <row r="28" spans="2:18" ht="16.350000000000001" customHeight="1" x14ac:dyDescent="0.3">
      <c r="B28" s="23"/>
      <c r="C28" s="417" t="s">
        <v>357</v>
      </c>
      <c r="D28" s="714">
        <f>+Materia_Prima!V54</f>
        <v>0</v>
      </c>
      <c r="E28" s="686">
        <f t="shared" ref="E28:E35" si="0">IFERROR(D28/$P$6,0)</f>
        <v>0</v>
      </c>
      <c r="F28" s="23"/>
      <c r="G28" s="417" t="s">
        <v>358</v>
      </c>
      <c r="H28" s="1025">
        <f>+Complementos!J84</f>
        <v>0</v>
      </c>
      <c r="I28" s="1026"/>
      <c r="J28" s="23"/>
      <c r="K28" s="23"/>
      <c r="M28" s="94"/>
      <c r="N28" s="419" t="s">
        <v>359</v>
      </c>
      <c r="O28" s="1012">
        <f>D33</f>
        <v>0</v>
      </c>
      <c r="P28" s="1013"/>
      <c r="Q28" s="94"/>
      <c r="R28" s="94"/>
    </row>
    <row r="29" spans="2:18" ht="16.350000000000001" customHeight="1" x14ac:dyDescent="0.3">
      <c r="B29" s="23"/>
      <c r="C29" s="417" t="s">
        <v>360</v>
      </c>
      <c r="D29" s="714">
        <f>+Materia_Prima!V55</f>
        <v>0</v>
      </c>
      <c r="E29" s="686">
        <f t="shared" si="0"/>
        <v>0</v>
      </c>
      <c r="F29" s="23"/>
      <c r="G29" s="24"/>
      <c r="H29" s="23" t="e">
        <f>+#REF!</f>
        <v>#REF!</v>
      </c>
      <c r="I29" s="23"/>
      <c r="J29" s="23"/>
      <c r="K29" s="23"/>
      <c r="M29" s="94"/>
      <c r="N29" s="419" t="s">
        <v>361</v>
      </c>
      <c r="O29" s="1014">
        <f>+D34</f>
        <v>0</v>
      </c>
      <c r="P29" s="1015"/>
      <c r="Q29" s="94"/>
      <c r="R29" s="94"/>
    </row>
    <row r="30" spans="2:18" ht="16.350000000000001" customHeight="1" x14ac:dyDescent="0.3">
      <c r="B30" s="23"/>
      <c r="C30" s="417" t="s">
        <v>197</v>
      </c>
      <c r="D30" s="714">
        <f>+Complementos!J32</f>
        <v>0</v>
      </c>
      <c r="E30" s="686">
        <f t="shared" si="0"/>
        <v>0</v>
      </c>
      <c r="F30" s="23"/>
      <c r="G30" s="1064" t="s">
        <v>362</v>
      </c>
      <c r="H30" s="1064"/>
      <c r="I30" s="1064"/>
      <c r="J30" s="23"/>
      <c r="K30" s="23"/>
      <c r="M30" s="94"/>
      <c r="N30" s="540" t="s">
        <v>108</v>
      </c>
      <c r="O30" s="1076">
        <f>+D35</f>
        <v>0</v>
      </c>
      <c r="P30" s="1077"/>
      <c r="Q30" s="95"/>
      <c r="R30" s="94"/>
    </row>
    <row r="31" spans="2:18" ht="16.350000000000001" customHeight="1" x14ac:dyDescent="0.3">
      <c r="B31" s="23"/>
      <c r="C31" s="417" t="s">
        <v>347</v>
      </c>
      <c r="D31" s="714">
        <f ca="1">+Mano_obra!F64+Mano_obra!G64+Mano_obra!I64+Complementos!J63</f>
        <v>0</v>
      </c>
      <c r="E31" s="686">
        <f t="shared" ca="1" si="0"/>
        <v>0</v>
      </c>
      <c r="F31" s="23"/>
      <c r="G31" s="417" t="s">
        <v>338</v>
      </c>
      <c r="H31" s="1036">
        <f>SUM(Complementos!H107:H114)</f>
        <v>0</v>
      </c>
      <c r="I31" s="1037"/>
      <c r="J31" s="688">
        <f>IFERROR(H31/P6,0)</f>
        <v>0</v>
      </c>
      <c r="K31" s="23"/>
      <c r="M31" s="94"/>
      <c r="N31" s="95"/>
      <c r="O31" s="95"/>
      <c r="P31" s="95"/>
      <c r="Q31" s="44"/>
      <c r="R31" s="94"/>
    </row>
    <row r="32" spans="2:18" ht="16.350000000000001" customHeight="1" x14ac:dyDescent="0.3">
      <c r="B32" s="23"/>
      <c r="C32" s="417" t="s">
        <v>356</v>
      </c>
      <c r="D32" s="714">
        <f ca="1">+Presupuesto_Final2!D28-H28</f>
        <v>0</v>
      </c>
      <c r="E32" s="686">
        <f ca="1">IFERROR(D32/$P$6,0)</f>
        <v>0</v>
      </c>
      <c r="F32" s="23"/>
      <c r="G32" s="417" t="s">
        <v>349</v>
      </c>
      <c r="H32" s="1039">
        <f>SUM(Complementos!H116:H123)</f>
        <v>0</v>
      </c>
      <c r="I32" s="1040"/>
      <c r="J32" s="23"/>
      <c r="K32" s="23"/>
      <c r="M32" s="94"/>
      <c r="N32" s="44" t="s">
        <v>363</v>
      </c>
      <c r="O32" s="44"/>
      <c r="P32" s="44"/>
      <c r="Q32" s="95"/>
      <c r="R32" s="94"/>
    </row>
    <row r="33" spans="2:18" ht="16.350000000000001" customHeight="1" x14ac:dyDescent="0.3">
      <c r="B33" s="23"/>
      <c r="C33" s="417" t="s">
        <v>359</v>
      </c>
      <c r="D33" s="714">
        <f>+Complementos!J101</f>
        <v>0</v>
      </c>
      <c r="E33" s="686">
        <f t="shared" si="0"/>
        <v>0</v>
      </c>
      <c r="F33" s="23"/>
      <c r="G33" s="417" t="s">
        <v>350</v>
      </c>
      <c r="H33" s="1039">
        <f>SUM(Complementos!H125:H132)</f>
        <v>0</v>
      </c>
      <c r="I33" s="1040"/>
      <c r="J33" s="23"/>
      <c r="K33" s="23"/>
      <c r="M33" s="94"/>
      <c r="N33" s="419" t="s">
        <v>364</v>
      </c>
      <c r="O33" s="1074">
        <f ca="1">+D38</f>
        <v>0</v>
      </c>
      <c r="P33" s="1075"/>
      <c r="Q33" s="95"/>
      <c r="R33" s="94"/>
    </row>
    <row r="34" spans="2:18" ht="16.350000000000001" customHeight="1" x14ac:dyDescent="0.3">
      <c r="B34" s="23"/>
      <c r="C34" s="417" t="s">
        <v>361</v>
      </c>
      <c r="D34" s="714">
        <f>IF(Datos_Generales!K12="SI",IF(Datos_Generales!E15&gt;10,(Mano_obra!L31+Mano_obra!L63),0),0)</f>
        <v>0</v>
      </c>
      <c r="E34" s="686">
        <f t="shared" si="0"/>
        <v>0</v>
      </c>
      <c r="F34" s="23"/>
      <c r="G34" s="417"/>
      <c r="H34" s="1039"/>
      <c r="I34" s="1040"/>
      <c r="J34" s="23"/>
      <c r="K34" s="23"/>
      <c r="M34" s="94"/>
      <c r="N34" s="419" t="s">
        <v>365</v>
      </c>
      <c r="O34" s="1072">
        <f>+D40</f>
        <v>0</v>
      </c>
      <c r="P34" s="1073"/>
      <c r="Q34" s="697"/>
      <c r="R34" s="94"/>
    </row>
    <row r="35" spans="2:18" ht="16.350000000000001" customHeight="1" x14ac:dyDescent="0.3">
      <c r="B35" s="23"/>
      <c r="C35" s="417" t="s">
        <v>108</v>
      </c>
      <c r="D35" s="715">
        <f>+Complementos!J64</f>
        <v>0</v>
      </c>
      <c r="E35" s="699">
        <f t="shared" si="0"/>
        <v>0</v>
      </c>
      <c r="F35" s="23"/>
      <c r="G35" s="417"/>
      <c r="H35" s="1041"/>
      <c r="I35" s="1042"/>
      <c r="J35" s="23"/>
      <c r="K35" s="23"/>
      <c r="M35" s="94"/>
      <c r="N35" s="419" t="s">
        <v>186</v>
      </c>
      <c r="O35" s="1065">
        <f ca="1">+D44</f>
        <v>0</v>
      </c>
      <c r="P35" s="1066"/>
      <c r="Q35" s="95"/>
      <c r="R35" s="94"/>
    </row>
    <row r="36" spans="2:18" ht="19.5" customHeight="1" x14ac:dyDescent="0.3">
      <c r="B36" s="23"/>
      <c r="C36" s="23"/>
      <c r="D36" s="23"/>
      <c r="E36" s="23"/>
      <c r="F36" s="23"/>
      <c r="G36" s="24"/>
      <c r="H36" s="23"/>
      <c r="I36" s="23"/>
      <c r="J36" s="23"/>
      <c r="K36" s="23"/>
      <c r="M36" s="94"/>
      <c r="N36" s="689"/>
      <c r="O36" s="695"/>
      <c r="P36" s="696"/>
      <c r="Q36" s="95"/>
      <c r="R36" s="94"/>
    </row>
    <row r="37" spans="2:18" ht="19.5" customHeight="1" x14ac:dyDescent="0.3">
      <c r="B37" s="23"/>
      <c r="C37" s="44" t="s">
        <v>366</v>
      </c>
      <c r="D37" s="1060">
        <f ca="1">+D13-D25</f>
        <v>0</v>
      </c>
      <c r="E37" s="1061"/>
      <c r="F37" s="700" t="str">
        <f ca="1">IFERROR(D37/D13,"")</f>
        <v/>
      </c>
      <c r="G37" s="45" t="s">
        <v>367</v>
      </c>
      <c r="H37" s="23"/>
      <c r="I37" s="691">
        <f ca="1">+H15-H27-H28</f>
        <v>0</v>
      </c>
      <c r="J37" s="692">
        <f ca="1">IFERROR(I37/I13,0)</f>
        <v>0</v>
      </c>
      <c r="K37" s="23"/>
      <c r="M37" s="94"/>
      <c r="N37" s="44" t="s">
        <v>368</v>
      </c>
      <c r="O37" s="94"/>
      <c r="P37" s="94"/>
      <c r="Q37" s="94"/>
      <c r="R37" s="94"/>
    </row>
    <row r="38" spans="2:18" ht="19.5" customHeight="1" x14ac:dyDescent="0.3">
      <c r="B38" s="23"/>
      <c r="C38" s="44" t="s">
        <v>369</v>
      </c>
      <c r="D38" s="1053">
        <f ca="1">+J13-J25</f>
        <v>0</v>
      </c>
      <c r="E38" s="1054"/>
      <c r="F38" s="704" t="str">
        <f ca="1">IFERROR(D38/(J13),"")</f>
        <v/>
      </c>
      <c r="G38" s="44"/>
      <c r="H38" s="23"/>
      <c r="I38" s="23"/>
      <c r="J38" s="23"/>
      <c r="K38" s="23"/>
      <c r="M38" s="94"/>
      <c r="N38" s="419" t="s">
        <v>370</v>
      </c>
      <c r="O38" s="1016">
        <f>IFERROR(J13/P6,0)</f>
        <v>0</v>
      </c>
      <c r="P38" s="1017"/>
      <c r="Q38" s="694"/>
      <c r="R38" s="94"/>
    </row>
    <row r="39" spans="2:18" ht="18" customHeight="1" x14ac:dyDescent="0.3">
      <c r="B39" s="23"/>
      <c r="C39" s="44"/>
      <c r="D39" s="46"/>
      <c r="E39" s="46"/>
      <c r="F39" s="23"/>
      <c r="G39" s="47"/>
      <c r="H39" s="23"/>
      <c r="I39" s="23"/>
      <c r="J39" s="23"/>
      <c r="K39" s="23"/>
      <c r="M39" s="94"/>
      <c r="N39" s="419" t="s">
        <v>371</v>
      </c>
      <c r="O39" s="1018">
        <f>IFERROR(O23/P6,0)</f>
        <v>0</v>
      </c>
      <c r="P39" s="1019"/>
      <c r="Q39" s="684">
        <f>+IFERROR(O39/O38,0)</f>
        <v>0</v>
      </c>
      <c r="R39" s="94"/>
    </row>
    <row r="40" spans="2:18" ht="18.75" customHeight="1" x14ac:dyDescent="0.3">
      <c r="B40" s="23"/>
      <c r="C40" s="44" t="s">
        <v>365</v>
      </c>
      <c r="D40" s="1062">
        <f>+J13*F40*-1</f>
        <v>0</v>
      </c>
      <c r="E40" s="1063"/>
      <c r="F40" s="693">
        <v>7.0000000000000007E-2</v>
      </c>
      <c r="G40" s="47"/>
      <c r="H40" s="23"/>
      <c r="I40" s="23"/>
      <c r="J40" s="23"/>
      <c r="K40" s="23"/>
      <c r="M40" s="94"/>
      <c r="N40" s="419" t="s">
        <v>372</v>
      </c>
      <c r="O40" s="1008">
        <f ca="1">IFERROR((Mano_obra!F32+Mano_obra!I32+Mano_obra!F64+Mano_obra!I64+Mano_obra!G32+Mano_obra!G64+Complementos!J63)/Presupuesto_Final2!L5,0)</f>
        <v>0</v>
      </c>
      <c r="P40" s="1009"/>
      <c r="Q40" s="541">
        <f ca="1">IFERROR(O40/O38,0)</f>
        <v>0</v>
      </c>
      <c r="R40" s="94"/>
    </row>
    <row r="41" spans="2:18" ht="18.75" customHeight="1" x14ac:dyDescent="0.35">
      <c r="B41" s="23"/>
      <c r="C41" s="44"/>
      <c r="D41" s="48"/>
      <c r="E41" s="48"/>
      <c r="F41" s="23"/>
      <c r="G41" s="47"/>
      <c r="H41" s="23"/>
      <c r="I41" s="23"/>
      <c r="J41" s="23"/>
      <c r="K41" s="23"/>
      <c r="L41" s="14"/>
      <c r="M41" s="95"/>
      <c r="N41" s="419" t="s">
        <v>373</v>
      </c>
      <c r="O41" s="1010">
        <f ca="1">+O38-O39-O40</f>
        <v>0</v>
      </c>
      <c r="P41" s="1011"/>
      <c r="Q41" s="717">
        <f ca="1">IFERROR(O41/O38,0)</f>
        <v>0</v>
      </c>
      <c r="R41" s="94"/>
    </row>
    <row r="42" spans="2:18" ht="19.5" customHeight="1" x14ac:dyDescent="0.3">
      <c r="B42" s="23"/>
      <c r="C42" s="1055" t="str">
        <f ca="1">IFERROR(IF(G44&lt;0,"Rentabilidad negativa",IF(G44&gt;0.05,"Rentabilidad Ok","Rentabilidad comprometida")),"Datos pendientes")</f>
        <v>Rentabilidad Ok</v>
      </c>
      <c r="D42" s="1055"/>
      <c r="E42" s="1055"/>
      <c r="F42" s="1055"/>
      <c r="G42" s="1055"/>
      <c r="H42" s="1055"/>
      <c r="I42" s="1055"/>
      <c r="J42" s="1055"/>
      <c r="K42" s="23"/>
      <c r="M42" s="94"/>
      <c r="N42" s="419" t="s">
        <v>374</v>
      </c>
      <c r="O42" s="1008" t="str">
        <f ca="1">IFERROR(Presupuesto_Final2!D28/Presupuesto_Final2!L5,"0")</f>
        <v>0</v>
      </c>
      <c r="P42" s="1009"/>
      <c r="Q42" s="541">
        <f ca="1">IFERROR(O42/O38,0)</f>
        <v>0</v>
      </c>
      <c r="R42" s="94"/>
    </row>
    <row r="43" spans="2:18" ht="19.5" customHeight="1" x14ac:dyDescent="0.3">
      <c r="B43" s="23"/>
      <c r="C43" s="48"/>
      <c r="D43" s="48"/>
      <c r="E43" s="48"/>
      <c r="F43" s="48"/>
      <c r="G43" s="48"/>
      <c r="H43" s="48"/>
      <c r="I43" s="23"/>
      <c r="J43" s="23"/>
      <c r="K43" s="23"/>
      <c r="M43" s="94"/>
      <c r="N43" s="419" t="s">
        <v>375</v>
      </c>
      <c r="O43" s="1008">
        <f>IFERROR(Presupuesto_Final2!D26/Presupuesto_final!P6,0)</f>
        <v>0</v>
      </c>
      <c r="P43" s="1009"/>
      <c r="Q43" s="541">
        <f>IFERROR(O43/O38,0)</f>
        <v>0</v>
      </c>
      <c r="R43" s="94"/>
    </row>
    <row r="44" spans="2:18" ht="30.75" x14ac:dyDescent="0.35">
      <c r="B44" s="23"/>
      <c r="C44" s="336" t="s">
        <v>376</v>
      </c>
      <c r="D44" s="1050">
        <f ca="1">+D38+D40</f>
        <v>0</v>
      </c>
      <c r="E44" s="1051"/>
      <c r="F44" s="49"/>
      <c r="G44" s="1056" t="str">
        <f ca="1">IFERROR((D44/(J13)),"")</f>
        <v/>
      </c>
      <c r="H44" s="1057"/>
      <c r="I44" s="23"/>
      <c r="J44" s="23"/>
      <c r="K44" s="23"/>
      <c r="M44" s="94"/>
      <c r="N44" s="419" t="s">
        <v>291</v>
      </c>
      <c r="O44" s="1010">
        <f ca="1">IFERROR(O41-O42-O43,0)</f>
        <v>0</v>
      </c>
      <c r="P44" s="1011"/>
      <c r="Q44" s="716">
        <f ca="1">IFERROR(O44/O38,0)</f>
        <v>0</v>
      </c>
      <c r="R44" s="94"/>
    </row>
    <row r="45" spans="2:18" x14ac:dyDescent="0.3">
      <c r="B45" s="23"/>
      <c r="C45" s="23"/>
      <c r="D45" s="23"/>
      <c r="E45" s="23"/>
      <c r="F45" s="23"/>
      <c r="G45" s="24"/>
      <c r="H45" s="23"/>
      <c r="I45" s="23"/>
      <c r="J45" s="23"/>
      <c r="K45" s="23"/>
      <c r="M45" s="23"/>
      <c r="N45" s="94"/>
      <c r="O45" s="94"/>
      <c r="P45" s="94"/>
      <c r="Q45" s="94"/>
      <c r="R45" s="94"/>
    </row>
    <row r="46" spans="2:18" x14ac:dyDescent="0.3">
      <c r="B46" s="23"/>
      <c r="C46" s="1067" t="str">
        <f ca="1">IFERROR(IF(G44&lt;0,"Rentabilidad negativa",IF(G44&gt;0.05,"Rentabilidad Ok","Rentabilidad comprometida")),"Datos pendientes")</f>
        <v>Rentabilidad Ok</v>
      </c>
      <c r="D46" s="1067"/>
      <c r="E46" s="1067"/>
      <c r="F46" s="1067"/>
      <c r="G46" s="1067"/>
      <c r="H46" s="1067"/>
      <c r="I46" s="1067"/>
      <c r="J46" s="1067"/>
      <c r="K46" s="23"/>
    </row>
    <row r="47" spans="2:18" x14ac:dyDescent="0.3">
      <c r="B47" s="23"/>
      <c r="C47" s="23"/>
      <c r="D47" s="23"/>
      <c r="E47" s="23"/>
      <c r="F47" s="23"/>
      <c r="G47" s="24"/>
      <c r="H47" s="23"/>
      <c r="I47" s="23"/>
      <c r="J47" s="23"/>
      <c r="K47" s="23"/>
    </row>
  </sheetData>
  <sheetProtection formatCells="0" formatColumns="0"/>
  <mergeCells count="57">
    <mergeCell ref="O43:P43"/>
    <mergeCell ref="O44:P44"/>
    <mergeCell ref="C46:J46"/>
    <mergeCell ref="N7:O7"/>
    <mergeCell ref="N9:O9"/>
    <mergeCell ref="O28:P28"/>
    <mergeCell ref="O29:P29"/>
    <mergeCell ref="O34:P34"/>
    <mergeCell ref="H31:I31"/>
    <mergeCell ref="H32:I32"/>
    <mergeCell ref="H33:I33"/>
    <mergeCell ref="H34:I34"/>
    <mergeCell ref="O33:P33"/>
    <mergeCell ref="O30:P30"/>
    <mergeCell ref="O16:P16"/>
    <mergeCell ref="O17:P17"/>
    <mergeCell ref="P6:Q6"/>
    <mergeCell ref="H27:I27"/>
    <mergeCell ref="D8:H8"/>
    <mergeCell ref="D9:H9"/>
    <mergeCell ref="D44:E44"/>
    <mergeCell ref="D13:E13"/>
    <mergeCell ref="D38:E38"/>
    <mergeCell ref="C42:J42"/>
    <mergeCell ref="G44:H44"/>
    <mergeCell ref="D15:E15"/>
    <mergeCell ref="D16:E16"/>
    <mergeCell ref="D37:E37"/>
    <mergeCell ref="D40:E40"/>
    <mergeCell ref="G30:I30"/>
    <mergeCell ref="H35:I35"/>
    <mergeCell ref="O35:P35"/>
    <mergeCell ref="C4:J4"/>
    <mergeCell ref="H15:I15"/>
    <mergeCell ref="H28:I28"/>
    <mergeCell ref="E10:F10"/>
    <mergeCell ref="G10:H10"/>
    <mergeCell ref="D6:H6"/>
    <mergeCell ref="D7:H7"/>
    <mergeCell ref="H19:I19"/>
    <mergeCell ref="G18:I18"/>
    <mergeCell ref="H20:I20"/>
    <mergeCell ref="H21:I21"/>
    <mergeCell ref="H22:I22"/>
    <mergeCell ref="O18:P18"/>
    <mergeCell ref="O23:P23"/>
    <mergeCell ref="O24:P24"/>
    <mergeCell ref="O25:P25"/>
    <mergeCell ref="O26:P26"/>
    <mergeCell ref="O40:P40"/>
    <mergeCell ref="O42:P42"/>
    <mergeCell ref="O41:P41"/>
    <mergeCell ref="O27:P27"/>
    <mergeCell ref="O19:P19"/>
    <mergeCell ref="O20:P20"/>
    <mergeCell ref="O38:P38"/>
    <mergeCell ref="O39:P39"/>
  </mergeCells>
  <conditionalFormatting sqref="G44">
    <cfRule type="cellIs" dxfId="35" priority="18" operator="greaterThan">
      <formula>0.05</formula>
    </cfRule>
    <cfRule type="cellIs" dxfId="34" priority="19" operator="lessThan">
      <formula>0</formula>
    </cfRule>
    <cfRule type="cellIs" dxfId="33" priority="20" operator="between">
      <formula>0</formula>
      <formula>4.99</formula>
    </cfRule>
  </conditionalFormatting>
  <conditionalFormatting sqref="C46 C42:C43 L41:M41 K45">
    <cfRule type="cellIs" dxfId="32" priority="15" operator="equal">
      <formula>"Rentabilidad negativa"</formula>
    </cfRule>
    <cfRule type="cellIs" dxfId="31" priority="16" operator="equal">
      <formula>"Rentabilidad Ok"</formula>
    </cfRule>
    <cfRule type="cellIs" dxfId="30" priority="17" operator="equal">
      <formula>"Rentabilidad comprometida"</formula>
    </cfRule>
  </conditionalFormatting>
  <pageMargins left="0.25" right="0.25" top="0.75" bottom="0.75" header="0.3" footer="0.3"/>
  <pageSetup paperSize="9" scale="80" orientation="portrait" r:id="rId1"/>
  <ignoredErrors>
    <ignoredError sqref="O16:P22 P29 P28 P27 P26 P25 P24 P23 P39 P40 O31:P3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ir_a_datos_generales">
                <anchor moveWithCells="1" sizeWithCells="1">
                  <from>
                    <xdr:col>0</xdr:col>
                    <xdr:colOff>371475</xdr:colOff>
                    <xdr:row>2</xdr:row>
                    <xdr:rowOff>28575</xdr:rowOff>
                  </from>
                  <to>
                    <xdr:col>0</xdr:col>
                    <xdr:colOff>1590675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DE999-FC23-4B32-9AD8-9E55BD7BF93C}">
  <sheetPr codeName="Hoja10" filterMode="1">
    <tabColor rgb="FFFFC000"/>
  </sheetPr>
  <dimension ref="A1:Y357"/>
  <sheetViews>
    <sheetView workbookViewId="0">
      <selection activeCell="E64" sqref="E64"/>
    </sheetView>
  </sheetViews>
  <sheetFormatPr baseColWidth="10" defaultColWidth="11.42578125" defaultRowHeight="12.75" x14ac:dyDescent="0.2"/>
  <cols>
    <col min="2" max="2" width="40.42578125" customWidth="1"/>
    <col min="3" max="3" width="16.28515625" customWidth="1"/>
  </cols>
  <sheetData>
    <row r="1" spans="1:20" s="896" customFormat="1" ht="33" customHeight="1" x14ac:dyDescent="0.2">
      <c r="A1" s="894" t="s">
        <v>377</v>
      </c>
      <c r="B1" s="894" t="s">
        <v>378</v>
      </c>
      <c r="C1" s="894" t="s">
        <v>379</v>
      </c>
      <c r="D1" s="894" t="s">
        <v>380</v>
      </c>
      <c r="E1" s="894" t="s">
        <v>381</v>
      </c>
      <c r="F1" s="894" t="s">
        <v>382</v>
      </c>
      <c r="G1" s="894" t="s">
        <v>383</v>
      </c>
      <c r="H1" s="894" t="s">
        <v>384</v>
      </c>
      <c r="I1" s="894" t="s">
        <v>128</v>
      </c>
      <c r="J1" s="894" t="s">
        <v>385</v>
      </c>
      <c r="K1" s="894" t="s">
        <v>386</v>
      </c>
      <c r="L1" s="894" t="s">
        <v>387</v>
      </c>
      <c r="M1" s="894" t="s">
        <v>264</v>
      </c>
      <c r="N1" s="894" t="s">
        <v>388</v>
      </c>
      <c r="O1" s="894" t="s">
        <v>389</v>
      </c>
      <c r="P1" s="894" t="s">
        <v>390</v>
      </c>
      <c r="Q1" s="894" t="s">
        <v>391</v>
      </c>
      <c r="R1" s="894" t="s">
        <v>392</v>
      </c>
      <c r="S1" s="894" t="s">
        <v>393</v>
      </c>
      <c r="T1" s="895"/>
    </row>
    <row r="2" spans="1:20" hidden="1" x14ac:dyDescent="0.2">
      <c r="A2" s="602">
        <v>29296</v>
      </c>
      <c r="B2" s="603" t="s">
        <v>394</v>
      </c>
      <c r="C2" s="603" t="s">
        <v>395</v>
      </c>
      <c r="D2" s="604">
        <v>62675</v>
      </c>
      <c r="E2" s="604">
        <v>62653</v>
      </c>
      <c r="F2" s="604">
        <v>60916</v>
      </c>
      <c r="G2" s="605">
        <v>-2.8065416832867968E-2</v>
      </c>
      <c r="H2" s="606">
        <v>358505.09</v>
      </c>
      <c r="I2" s="606">
        <v>100147.70737302169</v>
      </c>
      <c r="J2">
        <v>1.6440296042586791</v>
      </c>
      <c r="K2">
        <v>1.9718239528818906</v>
      </c>
      <c r="L2" s="605">
        <v>-0.19938469950546883</v>
      </c>
      <c r="M2" s="606">
        <v>220109.98637165039</v>
      </c>
      <c r="N2">
        <v>3.6133361739387087</v>
      </c>
      <c r="O2" s="13">
        <v>3.71</v>
      </c>
      <c r="P2" s="605">
        <v>-2.6751960351345649E-2</v>
      </c>
      <c r="Q2" s="605">
        <v>0.10668578305353472</v>
      </c>
      <c r="R2" s="605">
        <v>9.9305425451387486E-2</v>
      </c>
      <c r="S2" s="605">
        <v>7.3803576021472389E-3</v>
      </c>
      <c r="T2" s="13"/>
    </row>
    <row r="3" spans="1:20" hidden="1" x14ac:dyDescent="0.2">
      <c r="A3" s="602">
        <v>29351</v>
      </c>
      <c r="B3" s="603" t="s">
        <v>396</v>
      </c>
      <c r="C3" s="603" t="s">
        <v>397</v>
      </c>
      <c r="D3" s="604">
        <v>48178</v>
      </c>
      <c r="E3" s="604">
        <v>49510</v>
      </c>
      <c r="F3" s="604">
        <v>49492</v>
      </c>
      <c r="G3" s="605">
        <v>2.727385943791772E-2</v>
      </c>
      <c r="H3" s="606">
        <v>269775.92</v>
      </c>
      <c r="I3" s="606">
        <v>46249.211254472852</v>
      </c>
      <c r="J3">
        <v>0.93447852692299471</v>
      </c>
      <c r="K3">
        <v>1.3516775949181481</v>
      </c>
      <c r="L3" s="605">
        <v>-0.44645120885643685</v>
      </c>
      <c r="M3" s="606">
        <v>170519.61518909977</v>
      </c>
      <c r="N3">
        <v>3.4453975428170165</v>
      </c>
      <c r="O3" s="13">
        <v>3.61</v>
      </c>
      <c r="P3" s="605">
        <v>-4.7774590635019022E-2</v>
      </c>
      <c r="Q3" s="605">
        <v>0.19648563725193621</v>
      </c>
      <c r="R3" s="605">
        <v>0.10229951206268992</v>
      </c>
      <c r="S3" s="605">
        <v>9.4186125189246295E-2</v>
      </c>
      <c r="T3" s="13"/>
    </row>
    <row r="4" spans="1:20" hidden="1" x14ac:dyDescent="0.2">
      <c r="A4" s="602">
        <v>52893</v>
      </c>
      <c r="B4" s="603" t="s">
        <v>398</v>
      </c>
      <c r="C4" s="603" t="s">
        <v>399</v>
      </c>
      <c r="D4" s="604">
        <v>42665.71428571429</v>
      </c>
      <c r="E4" s="604">
        <v>44578</v>
      </c>
      <c r="F4" s="604">
        <v>41381</v>
      </c>
      <c r="G4" s="605">
        <v>-3.0111163195607138E-2</v>
      </c>
      <c r="H4" s="606">
        <v>221347.59999999998</v>
      </c>
      <c r="I4" s="606">
        <v>74406.82455728903</v>
      </c>
      <c r="J4">
        <v>1.798091504731375</v>
      </c>
      <c r="K4">
        <v>1.453421025198177</v>
      </c>
      <c r="L4" s="605">
        <v>0.1916868405341195</v>
      </c>
      <c r="M4" s="606">
        <v>174637.13661228496</v>
      </c>
      <c r="N4">
        <v>4.2202251422702437</v>
      </c>
      <c r="O4" s="13">
        <v>3.4552755893251961</v>
      </c>
      <c r="P4" s="605">
        <v>0.18125799623418853</v>
      </c>
      <c r="Q4" s="605">
        <v>-0.12512609655389989</v>
      </c>
      <c r="R4" s="605">
        <v>0.26637834219674483</v>
      </c>
      <c r="S4" s="605">
        <v>-0.39150443875064472</v>
      </c>
      <c r="T4" s="13"/>
    </row>
    <row r="5" spans="1:20" hidden="1" x14ac:dyDescent="0.2">
      <c r="A5" s="602">
        <v>29367</v>
      </c>
      <c r="B5" s="603" t="s">
        <v>400</v>
      </c>
      <c r="C5" s="603" t="s">
        <v>401</v>
      </c>
      <c r="D5" s="604">
        <v>41965</v>
      </c>
      <c r="E5" s="604">
        <v>37532</v>
      </c>
      <c r="F5" s="604">
        <v>45826</v>
      </c>
      <c r="G5" s="605">
        <v>9.2005242463958054E-2</v>
      </c>
      <c r="H5" s="606">
        <v>270531.14</v>
      </c>
      <c r="I5" s="606">
        <v>52261.969622926801</v>
      </c>
      <c r="J5">
        <v>1.1404436263895343</v>
      </c>
      <c r="K5">
        <v>1.64</v>
      </c>
      <c r="L5" s="605">
        <v>-0.43803688499008292</v>
      </c>
      <c r="M5" s="606">
        <v>147050.12999679969</v>
      </c>
      <c r="N5">
        <v>3.2088798934403981</v>
      </c>
      <c r="O5" s="13">
        <v>3.33</v>
      </c>
      <c r="P5" s="605">
        <v>-3.77452913732284E-2</v>
      </c>
      <c r="Q5" s="605">
        <v>0.26325634963972544</v>
      </c>
      <c r="R5" s="605">
        <v>0.16670934537458015</v>
      </c>
      <c r="S5" s="605">
        <v>9.6547004265145286E-2</v>
      </c>
      <c r="T5" s="13"/>
    </row>
    <row r="6" spans="1:20" hidden="1" x14ac:dyDescent="0.2">
      <c r="A6" s="602">
        <v>29303</v>
      </c>
      <c r="B6" s="603" t="s">
        <v>402</v>
      </c>
      <c r="C6" s="603" t="s">
        <v>403</v>
      </c>
      <c r="D6" s="604">
        <v>41180</v>
      </c>
      <c r="E6" s="604">
        <v>65693</v>
      </c>
      <c r="F6" s="604">
        <v>62755</v>
      </c>
      <c r="G6" s="605">
        <v>0.52391937833899949</v>
      </c>
      <c r="H6" s="606">
        <v>349403.75</v>
      </c>
      <c r="I6" s="606">
        <v>84169.926092965819</v>
      </c>
      <c r="J6">
        <v>1.3412465316383686</v>
      </c>
      <c r="K6">
        <v>1.4067501820013892</v>
      </c>
      <c r="L6" s="605">
        <v>-4.8837889841926503E-2</v>
      </c>
      <c r="M6" s="606">
        <v>237093.66590756483</v>
      </c>
      <c r="N6">
        <v>3.7780840715092796</v>
      </c>
      <c r="O6" s="13">
        <v>3.635100365910624</v>
      </c>
      <c r="P6" s="605">
        <v>3.7845559519678995E-2</v>
      </c>
      <c r="Q6" s="605">
        <v>8.0537653071752507E-2</v>
      </c>
      <c r="R6" s="605">
        <v>0.21412432781861174</v>
      </c>
      <c r="S6" s="605">
        <v>-0.13358667474685923</v>
      </c>
      <c r="T6" s="13"/>
    </row>
    <row r="7" spans="1:20" hidden="1" x14ac:dyDescent="0.2">
      <c r="A7" s="602">
        <v>29298</v>
      </c>
      <c r="B7" s="603" t="s">
        <v>404</v>
      </c>
      <c r="C7" s="603" t="s">
        <v>405</v>
      </c>
      <c r="D7" s="604">
        <v>40068</v>
      </c>
      <c r="E7" s="604">
        <v>41130</v>
      </c>
      <c r="F7" s="604">
        <v>41205</v>
      </c>
      <c r="G7" s="605">
        <v>2.8376759508834979E-2</v>
      </c>
      <c r="H7" s="606">
        <v>232000.35</v>
      </c>
      <c r="I7" s="606">
        <v>65233.85509310323</v>
      </c>
      <c r="J7">
        <v>1.5831538670817433</v>
      </c>
      <c r="K7">
        <v>1.5470337883596266</v>
      </c>
      <c r="L7" s="605">
        <v>2.2815267342711016E-2</v>
      </c>
      <c r="M7" s="606">
        <v>143375.66509345084</v>
      </c>
      <c r="N7">
        <v>3.4795695933369939</v>
      </c>
      <c r="O7" s="13">
        <v>3.6042543622953769</v>
      </c>
      <c r="P7" s="605">
        <v>-3.5833388473431045E-2</v>
      </c>
      <c r="Q7" s="605">
        <v>0.10082239019659212</v>
      </c>
      <c r="R7" s="605">
        <v>8.8158550643362726E-2</v>
      </c>
      <c r="S7" s="605">
        <v>1.2663839553229389E-2</v>
      </c>
      <c r="T7" s="13"/>
    </row>
    <row r="8" spans="1:20" hidden="1" x14ac:dyDescent="0.2">
      <c r="A8" s="602">
        <v>29317</v>
      </c>
      <c r="B8" s="603" t="s">
        <v>406</v>
      </c>
      <c r="C8" s="603" t="s">
        <v>407</v>
      </c>
      <c r="D8" s="604">
        <v>38340</v>
      </c>
      <c r="E8" s="604">
        <v>37827</v>
      </c>
      <c r="F8" s="604">
        <v>37829</v>
      </c>
      <c r="G8" s="605">
        <v>-1.332811684924361E-2</v>
      </c>
      <c r="H8" s="606">
        <v>202532.27000000002</v>
      </c>
      <c r="I8" s="606">
        <v>41475.726422150961</v>
      </c>
      <c r="J8">
        <v>1.09640028608081</v>
      </c>
      <c r="K8">
        <v>1.2422571779669389</v>
      </c>
      <c r="L8" s="605">
        <v>-0.13303251899678781</v>
      </c>
      <c r="M8" s="606">
        <v>131337.32329592534</v>
      </c>
      <c r="N8">
        <v>3.4718687593096655</v>
      </c>
      <c r="O8" s="13">
        <v>3.54</v>
      </c>
      <c r="P8" s="605">
        <v>-1.9623794968529132E-2</v>
      </c>
      <c r="Q8" s="605">
        <v>0.14673819772979249</v>
      </c>
      <c r="R8" s="605">
        <v>0.1214549430218082</v>
      </c>
      <c r="S8" s="605">
        <v>2.5283254707984287E-2</v>
      </c>
      <c r="T8" s="13"/>
    </row>
    <row r="9" spans="1:20" hidden="1" x14ac:dyDescent="0.2">
      <c r="A9" s="602">
        <v>29372</v>
      </c>
      <c r="B9" s="603" t="s">
        <v>408</v>
      </c>
      <c r="C9" s="603" t="s">
        <v>409</v>
      </c>
      <c r="D9" s="604">
        <v>38340</v>
      </c>
      <c r="E9" s="604">
        <v>39321</v>
      </c>
      <c r="F9" s="604">
        <v>38241</v>
      </c>
      <c r="G9" s="605">
        <v>-2.5821596244131454E-3</v>
      </c>
      <c r="H9" s="606">
        <v>202738.85</v>
      </c>
      <c r="I9" s="606">
        <v>52441.316555020123</v>
      </c>
      <c r="J9">
        <v>1.3713374795381952</v>
      </c>
      <c r="K9">
        <v>1.4406118367888487</v>
      </c>
      <c r="L9" s="605">
        <v>-5.0515907487617161E-2</v>
      </c>
      <c r="M9" s="606">
        <v>112524.10721134862</v>
      </c>
      <c r="N9">
        <v>2.9424990772037503</v>
      </c>
      <c r="O9" s="13">
        <v>3.0351311831550798</v>
      </c>
      <c r="P9" s="605">
        <v>-3.1480759558761728E-2</v>
      </c>
      <c r="Q9" s="605">
        <v>0.18631567769882915</v>
      </c>
      <c r="R9" s="605">
        <v>0.17403924944039847</v>
      </c>
      <c r="S9" s="605">
        <v>1.2276428258430672E-2</v>
      </c>
      <c r="T9" s="13"/>
    </row>
    <row r="10" spans="1:20" hidden="1" x14ac:dyDescent="0.2">
      <c r="A10" s="602">
        <v>29318</v>
      </c>
      <c r="B10" s="603" t="s">
        <v>410</v>
      </c>
      <c r="C10" s="603" t="s">
        <v>411</v>
      </c>
      <c r="D10" s="604">
        <v>38041</v>
      </c>
      <c r="E10" s="604">
        <v>40381</v>
      </c>
      <c r="F10" s="604">
        <v>39992</v>
      </c>
      <c r="G10" s="605">
        <v>5.1286769538129912E-2</v>
      </c>
      <c r="H10" s="606">
        <v>213492.08000000002</v>
      </c>
      <c r="I10" s="606">
        <v>52034.988159266832</v>
      </c>
      <c r="J10">
        <v>1.3011349309678644</v>
      </c>
      <c r="K10">
        <v>1.3931305049773017</v>
      </c>
      <c r="L10" s="605">
        <v>-7.0704099797709211E-2</v>
      </c>
      <c r="M10" s="606">
        <v>123837.69248901405</v>
      </c>
      <c r="N10">
        <v>3.0965616245502612</v>
      </c>
      <c r="O10" s="13">
        <v>2.9956923833554288</v>
      </c>
      <c r="P10" s="605">
        <v>3.257459512354529E-2</v>
      </c>
      <c r="Q10" s="605">
        <v>0.17620981233457997</v>
      </c>
      <c r="R10" s="605">
        <v>0.18072055815676091</v>
      </c>
      <c r="S10" s="605">
        <v>-4.5107458221809449E-3</v>
      </c>
      <c r="T10" s="13"/>
    </row>
    <row r="11" spans="1:20" hidden="1" x14ac:dyDescent="0.2">
      <c r="A11" s="602">
        <v>29350</v>
      </c>
      <c r="B11" s="603" t="s">
        <v>412</v>
      </c>
      <c r="C11" s="603" t="s">
        <v>413</v>
      </c>
      <c r="D11" s="604">
        <v>37823</v>
      </c>
      <c r="E11" s="604">
        <v>38598</v>
      </c>
      <c r="F11" s="604">
        <v>38564</v>
      </c>
      <c r="G11" s="733">
        <v>1.9591253998889564E-2</v>
      </c>
      <c r="H11" s="606">
        <v>215906.64</v>
      </c>
      <c r="I11" s="606">
        <v>47310.714296060163</v>
      </c>
      <c r="J11">
        <v>1.22681034892802</v>
      </c>
      <c r="K11">
        <v>1.3965284884321199</v>
      </c>
      <c r="L11" s="605">
        <v>-0.13834097475000812</v>
      </c>
      <c r="M11" s="606">
        <v>138257.48961631639</v>
      </c>
      <c r="N11">
        <v>3.5851439066568922</v>
      </c>
      <c r="O11" s="13">
        <v>3.6708935274092171</v>
      </c>
      <c r="P11" s="605">
        <v>-2.3918041502631212E-2</v>
      </c>
      <c r="Q11" s="605">
        <v>0.14051645696317377</v>
      </c>
      <c r="R11" s="605">
        <v>0.12310316351084928</v>
      </c>
      <c r="S11" s="605">
        <v>1.7413293452324494E-2</v>
      </c>
      <c r="T11" s="13"/>
    </row>
    <row r="12" spans="1:20" hidden="1" x14ac:dyDescent="0.2">
      <c r="A12" s="602">
        <v>29339</v>
      </c>
      <c r="B12" s="603" t="s">
        <v>414</v>
      </c>
      <c r="C12" s="603" t="s">
        <v>415</v>
      </c>
      <c r="D12" s="604">
        <v>35752</v>
      </c>
      <c r="E12" s="604">
        <v>37800</v>
      </c>
      <c r="F12" s="604">
        <v>37800</v>
      </c>
      <c r="G12" s="605">
        <v>5.728350861490266E-2</v>
      </c>
      <c r="H12" s="606">
        <v>193536.4</v>
      </c>
      <c r="I12" s="606">
        <v>39734.744088463733</v>
      </c>
      <c r="J12">
        <v>1.0511837060440141</v>
      </c>
      <c r="K12">
        <v>1.2460583353404364</v>
      </c>
      <c r="L12" s="605">
        <v>-0.18538589228119437</v>
      </c>
      <c r="M12" s="606">
        <v>108651.81935562298</v>
      </c>
      <c r="N12">
        <v>2.8743867554397613</v>
      </c>
      <c r="O12" s="13">
        <v>3.259444230725713</v>
      </c>
      <c r="P12" s="605">
        <v>-0.1339616092222915</v>
      </c>
      <c r="Q12" s="605">
        <v>0.23328860387975223</v>
      </c>
      <c r="R12" s="605">
        <v>0.19312123725239605</v>
      </c>
      <c r="S12" s="605">
        <v>4.0167366627356177E-2</v>
      </c>
      <c r="T12" s="13"/>
    </row>
    <row r="13" spans="1:20" hidden="1" x14ac:dyDescent="0.2">
      <c r="A13" s="602">
        <v>53755</v>
      </c>
      <c r="B13" s="603" t="s">
        <v>416</v>
      </c>
      <c r="C13" s="603" t="s">
        <v>417</v>
      </c>
      <c r="D13" s="604">
        <v>35425</v>
      </c>
      <c r="E13" s="604">
        <v>38937</v>
      </c>
      <c r="F13" s="604">
        <v>38902</v>
      </c>
      <c r="G13" s="605">
        <v>9.8151023288637965E-2</v>
      </c>
      <c r="H13" s="606">
        <v>195334.36</v>
      </c>
      <c r="I13" s="606">
        <v>51965.560896413561</v>
      </c>
      <c r="J13">
        <v>1.335806922431072</v>
      </c>
      <c r="K13">
        <v>1.36</v>
      </c>
      <c r="L13" s="605">
        <v>-1.8111208410941923E-2</v>
      </c>
      <c r="M13" s="606">
        <v>118625.32594246624</v>
      </c>
      <c r="N13">
        <v>3.0493374618905515</v>
      </c>
      <c r="O13" s="13">
        <v>3</v>
      </c>
      <c r="P13" s="605">
        <v>1.6179731665370657E-2</v>
      </c>
      <c r="Q13" s="605">
        <v>0.12667240500401561</v>
      </c>
      <c r="R13" s="605">
        <v>0.13929425617249877</v>
      </c>
      <c r="S13" s="605">
        <v>-1.2621851168483161E-2</v>
      </c>
      <c r="T13" s="13"/>
    </row>
    <row r="14" spans="1:20" hidden="1" x14ac:dyDescent="0.2">
      <c r="A14" s="602">
        <v>29328</v>
      </c>
      <c r="B14" s="603" t="s">
        <v>418</v>
      </c>
      <c r="C14" s="603" t="s">
        <v>419</v>
      </c>
      <c r="D14" s="604">
        <v>35100</v>
      </c>
      <c r="E14" s="604">
        <v>35663</v>
      </c>
      <c r="F14" s="604">
        <v>35663</v>
      </c>
      <c r="G14" s="605">
        <v>1.6039886039886039E-2</v>
      </c>
      <c r="H14" s="606">
        <v>192839.31</v>
      </c>
      <c r="I14" s="606">
        <v>37178.304337120178</v>
      </c>
      <c r="J14">
        <v>1.042489536413655</v>
      </c>
      <c r="K14">
        <v>1.6301447266029654</v>
      </c>
      <c r="L14" s="605">
        <v>-0.56370368206375121</v>
      </c>
      <c r="M14" s="606">
        <v>123435.4661214759</v>
      </c>
      <c r="N14">
        <v>3.4611632818740965</v>
      </c>
      <c r="O14" s="13">
        <v>3.0045165859453533</v>
      </c>
      <c r="P14" s="605">
        <v>0.13193445634887391</v>
      </c>
      <c r="Q14" s="605">
        <v>0.16711084239724736</v>
      </c>
      <c r="R14" s="605">
        <v>0.13543904969288179</v>
      </c>
      <c r="S14" s="605">
        <v>3.167179270436557E-2</v>
      </c>
      <c r="T14" s="13"/>
    </row>
    <row r="15" spans="1:20" hidden="1" x14ac:dyDescent="0.2">
      <c r="A15" s="602">
        <v>29355</v>
      </c>
      <c r="B15" s="603" t="s">
        <v>420</v>
      </c>
      <c r="C15" s="603" t="s">
        <v>421</v>
      </c>
      <c r="D15" s="604">
        <v>33245</v>
      </c>
      <c r="E15" s="604">
        <v>35055</v>
      </c>
      <c r="F15" s="604">
        <v>35055</v>
      </c>
      <c r="G15" s="605">
        <v>5.4444277334937584E-2</v>
      </c>
      <c r="H15" s="606">
        <v>226680.45</v>
      </c>
      <c r="I15" s="606">
        <v>35613.715357881993</v>
      </c>
      <c r="J15">
        <v>1.0159382501178718</v>
      </c>
      <c r="K15">
        <v>1.0536291355264509</v>
      </c>
      <c r="L15" s="605">
        <v>-3.7099582975841428E-2</v>
      </c>
      <c r="M15" s="606">
        <v>147038.41454265133</v>
      </c>
      <c r="N15">
        <v>4.1945061914891264</v>
      </c>
      <c r="O15" s="13">
        <v>4.093356418591112</v>
      </c>
      <c r="P15" s="605">
        <v>2.4114822646644943E-2</v>
      </c>
      <c r="Q15" s="605">
        <v>0.19423077772903083</v>
      </c>
      <c r="R15" s="605">
        <v>0.19649262400368803</v>
      </c>
      <c r="S15" s="605">
        <v>-2.2618462746571977E-3</v>
      </c>
      <c r="T15" s="13"/>
    </row>
    <row r="16" spans="1:20" hidden="1" x14ac:dyDescent="0.2">
      <c r="A16" s="602">
        <v>29320</v>
      </c>
      <c r="B16" s="603" t="s">
        <v>422</v>
      </c>
      <c r="C16" s="603" t="s">
        <v>423</v>
      </c>
      <c r="D16" s="604">
        <v>32616</v>
      </c>
      <c r="E16" s="604">
        <v>33766</v>
      </c>
      <c r="F16" s="604">
        <v>33753</v>
      </c>
      <c r="G16" s="605">
        <v>3.4860191317144962E-2</v>
      </c>
      <c r="H16" s="606">
        <v>187116</v>
      </c>
      <c r="I16" s="606">
        <v>35433.486898098308</v>
      </c>
      <c r="J16">
        <v>1.0497877788077596</v>
      </c>
      <c r="K16">
        <v>1.1884270207496261</v>
      </c>
      <c r="L16" s="605">
        <v>-0.13206406546218188</v>
      </c>
      <c r="M16" s="606">
        <v>103016.43165221337</v>
      </c>
      <c r="N16">
        <v>3.0520674207392937</v>
      </c>
      <c r="O16" s="13">
        <v>3.26</v>
      </c>
      <c r="P16" s="605">
        <v>-6.8128435776932852E-2</v>
      </c>
      <c r="Q16" s="605">
        <v>0.2600850886599132</v>
      </c>
      <c r="R16" s="605">
        <v>0.22750239012399878</v>
      </c>
      <c r="S16" s="605">
        <v>3.2582698535914417E-2</v>
      </c>
      <c r="T16" s="13"/>
    </row>
    <row r="17" spans="1:20" hidden="1" x14ac:dyDescent="0.2">
      <c r="A17" s="602">
        <v>29311</v>
      </c>
      <c r="B17" s="603" t="s">
        <v>424</v>
      </c>
      <c r="C17" s="603" t="s">
        <v>425</v>
      </c>
      <c r="D17" s="604">
        <v>32508</v>
      </c>
      <c r="E17" s="604">
        <v>32996</v>
      </c>
      <c r="F17" s="604">
        <v>33180</v>
      </c>
      <c r="G17" s="605">
        <v>2.0671834625322998E-2</v>
      </c>
      <c r="H17" s="606">
        <v>203094.7</v>
      </c>
      <c r="I17" s="606">
        <v>38799.458565420297</v>
      </c>
      <c r="J17">
        <v>1.1693628259620343</v>
      </c>
      <c r="K17">
        <v>1.3015831779167708</v>
      </c>
      <c r="L17" s="605">
        <v>-0.11307042520866767</v>
      </c>
      <c r="M17" s="606">
        <v>125053.26971804177</v>
      </c>
      <c r="N17">
        <v>3.768935193431036</v>
      </c>
      <c r="O17" s="13">
        <v>4.0760299625468166</v>
      </c>
      <c r="P17" s="605">
        <v>-8.1480511962907495E-2</v>
      </c>
      <c r="Q17" s="605">
        <v>0.19322006786261747</v>
      </c>
      <c r="R17" s="605">
        <v>0.17611722436576779</v>
      </c>
      <c r="S17" s="605">
        <v>1.7102843496849679E-2</v>
      </c>
      <c r="T17" s="13"/>
    </row>
    <row r="18" spans="1:20" hidden="1" x14ac:dyDescent="0.2">
      <c r="A18" s="602">
        <v>29354</v>
      </c>
      <c r="B18" s="603" t="s">
        <v>426</v>
      </c>
      <c r="C18" s="603" t="s">
        <v>427</v>
      </c>
      <c r="D18" s="604">
        <v>31065</v>
      </c>
      <c r="E18" s="604">
        <v>31262</v>
      </c>
      <c r="F18" s="604">
        <v>30595</v>
      </c>
      <c r="G18" s="605">
        <v>-1.5129567036858201E-2</v>
      </c>
      <c r="H18" s="606">
        <v>169176.45</v>
      </c>
      <c r="I18" s="606">
        <v>38644.874155370475</v>
      </c>
      <c r="J18">
        <v>1.2631107748119128</v>
      </c>
      <c r="K18">
        <v>1.4273440933013588</v>
      </c>
      <c r="L18" s="605">
        <v>-0.13002289408377635</v>
      </c>
      <c r="M18" s="606">
        <v>104538.11915333127</v>
      </c>
      <c r="N18">
        <v>3.4168367103556552</v>
      </c>
      <c r="O18" s="13">
        <v>3.5380365474339031</v>
      </c>
      <c r="P18" s="605">
        <v>-3.5471357677385851E-2</v>
      </c>
      <c r="Q18" s="605">
        <v>0.1536470158305028</v>
      </c>
      <c r="R18" s="605">
        <v>0.10148566497713439</v>
      </c>
      <c r="S18" s="605">
        <v>5.2161350853368413E-2</v>
      </c>
      <c r="T18" s="13"/>
    </row>
    <row r="19" spans="1:20" hidden="1" x14ac:dyDescent="0.2">
      <c r="A19" s="602">
        <v>29326</v>
      </c>
      <c r="B19" s="603" t="s">
        <v>428</v>
      </c>
      <c r="C19" s="603" t="s">
        <v>429</v>
      </c>
      <c r="D19" s="604">
        <v>27250</v>
      </c>
      <c r="E19" s="604">
        <v>27416</v>
      </c>
      <c r="F19" s="604">
        <v>27416</v>
      </c>
      <c r="G19" s="605">
        <v>6.0917431192660547E-3</v>
      </c>
      <c r="H19" s="606">
        <v>148630.92000000001</v>
      </c>
      <c r="I19" s="606">
        <v>29192.725446520191</v>
      </c>
      <c r="J19">
        <v>1.0648061513904359</v>
      </c>
      <c r="K19">
        <v>1.2317155650906331</v>
      </c>
      <c r="L19" s="605">
        <v>-0.1567509855969981</v>
      </c>
      <c r="M19" s="606">
        <v>89528.76611548751</v>
      </c>
      <c r="N19">
        <v>3.2655663158552493</v>
      </c>
      <c r="O19" s="13">
        <v>3.5212910949442859</v>
      </c>
      <c r="P19" s="605">
        <v>-7.8309473565862209E-2</v>
      </c>
      <c r="Q19" s="605">
        <v>0.20123288235040401</v>
      </c>
      <c r="R19" s="605">
        <v>0.13266817198802602</v>
      </c>
      <c r="S19" s="605">
        <v>6.856471036237799E-2</v>
      </c>
      <c r="T19" s="13"/>
    </row>
    <row r="20" spans="1:20" hidden="1" x14ac:dyDescent="0.2">
      <c r="A20" s="602">
        <v>29338</v>
      </c>
      <c r="B20" s="603" t="s">
        <v>430</v>
      </c>
      <c r="C20" s="603" t="s">
        <v>431</v>
      </c>
      <c r="D20" s="604">
        <v>26964</v>
      </c>
      <c r="E20" s="604">
        <v>25971</v>
      </c>
      <c r="F20" s="604">
        <v>26220</v>
      </c>
      <c r="G20" s="605">
        <v>-2.7592345349354695E-2</v>
      </c>
      <c r="H20" s="606">
        <v>169244.39999999997</v>
      </c>
      <c r="I20" s="606">
        <v>30365.37731693004</v>
      </c>
      <c r="J20">
        <v>1.1580998213932128</v>
      </c>
      <c r="K20">
        <v>1.2995541350212558</v>
      </c>
      <c r="L20" s="605">
        <v>-0.12214345517977132</v>
      </c>
      <c r="M20" s="606">
        <v>102572.55372880492</v>
      </c>
      <c r="N20">
        <v>3.9119967097179607</v>
      </c>
      <c r="O20" s="13">
        <v>3.6114720100262589</v>
      </c>
      <c r="P20" s="605">
        <v>7.6821306864894662E-2</v>
      </c>
      <c r="Q20" s="605">
        <v>0.21452094695165694</v>
      </c>
      <c r="R20" s="605">
        <v>0.15787363615300584</v>
      </c>
      <c r="S20" s="605">
        <v>5.6647310798651096E-2</v>
      </c>
      <c r="T20" s="13"/>
    </row>
    <row r="21" spans="1:20" hidden="1" x14ac:dyDescent="0.2">
      <c r="A21" s="602">
        <v>29299</v>
      </c>
      <c r="B21" s="603" t="s">
        <v>432</v>
      </c>
      <c r="C21" s="603" t="s">
        <v>433</v>
      </c>
      <c r="D21" s="604">
        <v>26000</v>
      </c>
      <c r="E21" s="604">
        <v>20496</v>
      </c>
      <c r="F21" s="604">
        <v>9636</v>
      </c>
      <c r="G21" s="605">
        <v>-0.62938461538461543</v>
      </c>
      <c r="H21" s="606">
        <v>51103.25</v>
      </c>
      <c r="I21" s="606">
        <v>15000.63539339998</v>
      </c>
      <c r="J21">
        <v>1.5567284551058509</v>
      </c>
      <c r="K21">
        <v>1.6142888850051131</v>
      </c>
      <c r="L21" s="605">
        <v>-3.6975253911799524E-2</v>
      </c>
      <c r="M21" s="606">
        <v>39221.491405728601</v>
      </c>
      <c r="N21">
        <v>4.0703083650610834</v>
      </c>
      <c r="O21" s="13">
        <v>4.0351263700310813</v>
      </c>
      <c r="P21" s="605">
        <v>8.6435699398107156E-3</v>
      </c>
      <c r="Q21" s="605">
        <v>-6.1030889407788752E-2</v>
      </c>
      <c r="R21" s="605">
        <v>0.1054999978376376</v>
      </c>
      <c r="S21" s="605">
        <v>-0.16653088724542636</v>
      </c>
      <c r="T21" s="13"/>
    </row>
    <row r="22" spans="1:20" hidden="1" x14ac:dyDescent="0.2">
      <c r="A22" s="602">
        <v>29321</v>
      </c>
      <c r="B22" s="603" t="s">
        <v>434</v>
      </c>
      <c r="C22" s="603" t="s">
        <v>435</v>
      </c>
      <c r="D22" s="604">
        <v>25920</v>
      </c>
      <c r="E22" s="604">
        <v>23166</v>
      </c>
      <c r="F22" s="604">
        <v>23166</v>
      </c>
      <c r="G22" s="605">
        <v>-0.10625</v>
      </c>
      <c r="H22" s="606">
        <v>130114.37999999999</v>
      </c>
      <c r="I22" s="606">
        <v>27628.189702810305</v>
      </c>
      <c r="J22">
        <v>1.1926180481226929</v>
      </c>
      <c r="K22">
        <v>1.3345127994495674</v>
      </c>
      <c r="L22" s="605">
        <v>-0.11897753144875832</v>
      </c>
      <c r="M22" s="606">
        <v>81532.612098022393</v>
      </c>
      <c r="N22">
        <v>3.5194946083925749</v>
      </c>
      <c r="O22" s="13">
        <v>3.7</v>
      </c>
      <c r="P22" s="605">
        <v>-5.1287304483147313E-2</v>
      </c>
      <c r="Q22" s="605">
        <v>0.16103968061921592</v>
      </c>
      <c r="R22" s="605">
        <v>9.6075015055980456E-2</v>
      </c>
      <c r="S22" s="605">
        <v>6.4964665563235463E-2</v>
      </c>
      <c r="T22" s="13"/>
    </row>
    <row r="23" spans="1:20" hidden="1" x14ac:dyDescent="0.2">
      <c r="A23" s="602">
        <v>29356</v>
      </c>
      <c r="B23" s="603" t="s">
        <v>436</v>
      </c>
      <c r="C23" s="603" t="s">
        <v>437</v>
      </c>
      <c r="D23" s="604">
        <v>24525</v>
      </c>
      <c r="E23" s="604">
        <v>23895</v>
      </c>
      <c r="F23" s="604">
        <v>23928</v>
      </c>
      <c r="G23" s="605">
        <v>-2.4342507645259939E-2</v>
      </c>
      <c r="H23" s="606">
        <v>137036.56999999998</v>
      </c>
      <c r="I23" s="606">
        <v>24490.401458600551</v>
      </c>
      <c r="J23">
        <v>1.0235039058258337</v>
      </c>
      <c r="K23">
        <v>1.140208703078319</v>
      </c>
      <c r="L23" s="605">
        <v>-0.114024769801264</v>
      </c>
      <c r="M23" s="606">
        <v>84671.426419452007</v>
      </c>
      <c r="N23">
        <v>3.5385918764398197</v>
      </c>
      <c r="O23" s="13">
        <v>3.45</v>
      </c>
      <c r="P23" s="605">
        <v>2.5035912457062395E-2</v>
      </c>
      <c r="Q23" s="605">
        <v>0.20341097359593446</v>
      </c>
      <c r="R23" s="605">
        <v>0.16612441186053478</v>
      </c>
      <c r="S23" s="605">
        <v>3.7286561735399681E-2</v>
      </c>
      <c r="T23" s="13"/>
    </row>
    <row r="24" spans="1:20" hidden="1" x14ac:dyDescent="0.2">
      <c r="A24" s="602">
        <v>29349</v>
      </c>
      <c r="B24" s="603" t="s">
        <v>438</v>
      </c>
      <c r="C24" s="603" t="s">
        <v>439</v>
      </c>
      <c r="D24" s="604">
        <v>23980</v>
      </c>
      <c r="E24" s="604">
        <v>25961</v>
      </c>
      <c r="F24" s="604">
        <v>25970</v>
      </c>
      <c r="G24" s="605">
        <v>8.2985821517931616E-2</v>
      </c>
      <c r="H24" s="606">
        <v>147912.10000000003</v>
      </c>
      <c r="I24" s="606">
        <v>27983.366279251604</v>
      </c>
      <c r="J24">
        <v>1.0775266183770351</v>
      </c>
      <c r="K24">
        <v>1.3891224988774364</v>
      </c>
      <c r="L24" s="605">
        <v>-0.28917696805460397</v>
      </c>
      <c r="M24" s="606">
        <v>92577.922099195071</v>
      </c>
      <c r="N24">
        <v>3.5648025452135181</v>
      </c>
      <c r="O24" s="13">
        <v>3.7377472120211586</v>
      </c>
      <c r="P24" s="605">
        <v>-4.8514515071768634E-2</v>
      </c>
      <c r="Q24" s="605">
        <v>0.18491260432076451</v>
      </c>
      <c r="R24" s="605">
        <v>0.11490539535782811</v>
      </c>
      <c r="S24" s="605">
        <v>7.0007208962936399E-2</v>
      </c>
      <c r="T24" s="13"/>
    </row>
    <row r="25" spans="1:20" hidden="1" x14ac:dyDescent="0.2">
      <c r="A25" s="602">
        <v>53171</v>
      </c>
      <c r="B25" s="603" t="s">
        <v>440</v>
      </c>
      <c r="C25" s="603" t="s">
        <v>441</v>
      </c>
      <c r="D25" s="604">
        <v>21255</v>
      </c>
      <c r="E25" s="604">
        <v>19263</v>
      </c>
      <c r="F25" s="604">
        <v>18979</v>
      </c>
      <c r="G25" s="605">
        <v>-0.10708068689720066</v>
      </c>
      <c r="H25" s="606">
        <v>49642.57</v>
      </c>
      <c r="I25" s="606">
        <v>23244.999950250571</v>
      </c>
      <c r="J25">
        <v>1.2247747484193356</v>
      </c>
      <c r="K25">
        <v>1.2</v>
      </c>
      <c r="L25" s="605">
        <v>2.0228003925872391E-2</v>
      </c>
      <c r="M25" s="606">
        <v>14411.31760394742</v>
      </c>
      <c r="N25">
        <v>0.75932965930488538</v>
      </c>
      <c r="O25" s="13">
        <v>1.1797953700135486</v>
      </c>
      <c r="P25" s="605">
        <v>-0.55373276357145196</v>
      </c>
      <c r="Q25" s="605">
        <v>0.24145108615049563</v>
      </c>
      <c r="R25" s="605">
        <v>0.11422438356568619</v>
      </c>
      <c r="S25" s="605">
        <v>0.12722670258480945</v>
      </c>
      <c r="T25" s="13"/>
    </row>
    <row r="26" spans="1:20" hidden="1" x14ac:dyDescent="0.2">
      <c r="A26" s="602">
        <v>29322</v>
      </c>
      <c r="B26" s="603" t="s">
        <v>442</v>
      </c>
      <c r="C26" s="603" t="s">
        <v>443</v>
      </c>
      <c r="D26" s="604">
        <v>19980</v>
      </c>
      <c r="E26" s="604">
        <v>21003</v>
      </c>
      <c r="F26" s="604">
        <v>21219</v>
      </c>
      <c r="G26" s="605">
        <v>6.2012012012012015E-2</v>
      </c>
      <c r="H26" s="606">
        <v>135477.17000000001</v>
      </c>
      <c r="I26" s="606">
        <v>28477.821661816859</v>
      </c>
      <c r="J26">
        <v>1.3420906575152862</v>
      </c>
      <c r="K26">
        <v>1.6004432150098264</v>
      </c>
      <c r="L26" s="605">
        <v>-0.19250007892376497</v>
      </c>
      <c r="M26" s="606">
        <v>88210.022650703846</v>
      </c>
      <c r="N26">
        <v>4.1571244003347871</v>
      </c>
      <c r="O26" s="13">
        <v>4.408421236329791</v>
      </c>
      <c r="P26" s="605">
        <v>-6.0449679103845459E-2</v>
      </c>
      <c r="Q26" s="605">
        <v>0.13868997770974478</v>
      </c>
      <c r="R26" s="605">
        <v>9.1516167236387738E-2</v>
      </c>
      <c r="S26" s="605">
        <v>4.7173810473357045E-2</v>
      </c>
      <c r="T26" s="13"/>
    </row>
    <row r="27" spans="1:20" hidden="1" x14ac:dyDescent="0.2">
      <c r="A27" s="602">
        <v>29334</v>
      </c>
      <c r="B27" s="603" t="s">
        <v>444</v>
      </c>
      <c r="C27" s="603" t="s">
        <v>445</v>
      </c>
      <c r="D27" s="604">
        <v>18360</v>
      </c>
      <c r="E27" s="604">
        <v>18580</v>
      </c>
      <c r="F27" s="604">
        <v>18840</v>
      </c>
      <c r="G27" s="605">
        <v>2.6143790849673203E-2</v>
      </c>
      <c r="H27" s="606">
        <v>118839.6</v>
      </c>
      <c r="I27" s="606">
        <v>23778.329800900276</v>
      </c>
      <c r="J27">
        <v>1.2621194161836664</v>
      </c>
      <c r="K27">
        <v>1.4351971266294286</v>
      </c>
      <c r="L27" s="605">
        <v>-0.13713259476595793</v>
      </c>
      <c r="M27" s="606">
        <v>81030.987837884313</v>
      </c>
      <c r="N27">
        <v>4.3010078470214603</v>
      </c>
      <c r="O27" s="13">
        <v>3.6879312292859288</v>
      </c>
      <c r="P27" s="605">
        <v>0.14254254805884631</v>
      </c>
      <c r="Q27" s="605">
        <v>0.1180606663201106</v>
      </c>
      <c r="R27" s="605">
        <v>0.232786764317404</v>
      </c>
      <c r="S27" s="605">
        <v>-0.1147260979972934</v>
      </c>
      <c r="T27" s="13"/>
    </row>
    <row r="28" spans="1:20" hidden="1" x14ac:dyDescent="0.2">
      <c r="A28" s="602">
        <v>51142</v>
      </c>
      <c r="B28" s="603" t="s">
        <v>446</v>
      </c>
      <c r="C28" s="603" t="s">
        <v>447</v>
      </c>
      <c r="D28" s="604">
        <v>18040</v>
      </c>
      <c r="E28" s="604">
        <v>20447</v>
      </c>
      <c r="F28" s="604">
        <v>20244</v>
      </c>
      <c r="G28" s="605">
        <v>0.1221729490022173</v>
      </c>
      <c r="H28" s="606">
        <v>113638.99999999999</v>
      </c>
      <c r="I28" s="606">
        <v>20580.327526551067</v>
      </c>
      <c r="J28">
        <v>1.0166136893178752</v>
      </c>
      <c r="K28">
        <v>1.1366347004516262</v>
      </c>
      <c r="L28" s="605">
        <v>-0.11805960552654209</v>
      </c>
      <c r="M28" s="606">
        <v>70461.895299164011</v>
      </c>
      <c r="N28">
        <v>3.4806310659535669</v>
      </c>
      <c r="O28" s="13">
        <v>3.5051325180706456</v>
      </c>
      <c r="P28" s="605">
        <v>-7.0393706350392118E-3</v>
      </c>
      <c r="Q28" s="605">
        <v>0.19884702588270672</v>
      </c>
      <c r="R28" s="605">
        <v>0.19204411180826877</v>
      </c>
      <c r="S28" s="605">
        <v>6.802914074437949E-3</v>
      </c>
      <c r="T28" s="13"/>
    </row>
    <row r="29" spans="1:20" hidden="1" x14ac:dyDescent="0.2">
      <c r="A29" s="602">
        <v>29333</v>
      </c>
      <c r="B29" s="603" t="s">
        <v>448</v>
      </c>
      <c r="C29" s="603" t="s">
        <v>449</v>
      </c>
      <c r="D29" s="604">
        <v>17820</v>
      </c>
      <c r="E29" s="604">
        <v>17191</v>
      </c>
      <c r="F29" s="604">
        <v>17191</v>
      </c>
      <c r="G29" s="605">
        <v>-3.5297418630751962E-2</v>
      </c>
      <c r="H29" s="606">
        <v>108710.80000000002</v>
      </c>
      <c r="I29" s="606">
        <v>20736.363230686777</v>
      </c>
      <c r="J29">
        <v>1.2062336821992192</v>
      </c>
      <c r="K29">
        <v>1.3273728650110324</v>
      </c>
      <c r="L29" s="605">
        <v>-0.10042762409929622</v>
      </c>
      <c r="M29" s="606">
        <v>73165.984624363642</v>
      </c>
      <c r="N29">
        <v>4.2560633252494702</v>
      </c>
      <c r="O29" s="13">
        <v>4.4606534530814494</v>
      </c>
      <c r="P29" s="605">
        <v>-4.8070273442180789E-2</v>
      </c>
      <c r="Q29" s="605">
        <v>0.13621877628487322</v>
      </c>
      <c r="R29" s="605">
        <v>0.10361143491325987</v>
      </c>
      <c r="S29" s="605">
        <v>3.2607341371613349E-2</v>
      </c>
      <c r="T29" s="13"/>
    </row>
    <row r="30" spans="1:20" hidden="1" x14ac:dyDescent="0.2">
      <c r="A30" s="602">
        <v>29353</v>
      </c>
      <c r="B30" s="603" t="s">
        <v>450</v>
      </c>
      <c r="C30" s="603" t="s">
        <v>451</v>
      </c>
      <c r="D30" s="604">
        <v>16568</v>
      </c>
      <c r="E30" s="604">
        <v>16724</v>
      </c>
      <c r="F30" s="604">
        <v>16724</v>
      </c>
      <c r="G30" s="605">
        <v>9.4157411878319653E-3</v>
      </c>
      <c r="H30" s="606">
        <v>91222.56</v>
      </c>
      <c r="I30" s="606">
        <v>19045.523022125901</v>
      </c>
      <c r="J30">
        <v>1.1388138616435004</v>
      </c>
      <c r="K30">
        <v>1.2578169223455005</v>
      </c>
      <c r="L30" s="605">
        <v>-0.10449737635811579</v>
      </c>
      <c r="M30" s="606">
        <v>61222.121152609354</v>
      </c>
      <c r="N30">
        <v>3.6607343430165842</v>
      </c>
      <c r="O30" s="13">
        <v>3.2594181629834247</v>
      </c>
      <c r="P30" s="605">
        <v>0.10962723389058046</v>
      </c>
      <c r="Q30" s="605">
        <v>0.12008998459662548</v>
      </c>
      <c r="R30" s="605">
        <v>0.14021984465288548</v>
      </c>
      <c r="S30" s="605">
        <v>-2.0129860056259996E-2</v>
      </c>
      <c r="T30" s="13"/>
    </row>
    <row r="31" spans="1:20" hidden="1" x14ac:dyDescent="0.2">
      <c r="A31" s="602">
        <v>29315</v>
      </c>
      <c r="B31" s="603" t="s">
        <v>452</v>
      </c>
      <c r="C31" s="603" t="s">
        <v>453</v>
      </c>
      <c r="D31" s="604">
        <v>16200</v>
      </c>
      <c r="E31" s="604">
        <v>17717</v>
      </c>
      <c r="F31" s="604">
        <v>17739</v>
      </c>
      <c r="G31" s="605">
        <v>9.5000000000000001E-2</v>
      </c>
      <c r="H31" s="606">
        <v>90395.98000000001</v>
      </c>
      <c r="I31" s="606">
        <v>14932.587111500543</v>
      </c>
      <c r="J31">
        <v>1.19</v>
      </c>
      <c r="K31">
        <v>1.1457648907710196</v>
      </c>
      <c r="L31" s="605">
        <v>-0.36109859903202879</v>
      </c>
      <c r="M31" s="606">
        <v>52036.199341104148</v>
      </c>
      <c r="N31">
        <v>2.9334347675237695</v>
      </c>
      <c r="O31" s="13">
        <v>3.224115099317967</v>
      </c>
      <c r="P31" s="605">
        <v>-9.909214106696243E-2</v>
      </c>
      <c r="Q31" s="605">
        <v>0.25916189577672943</v>
      </c>
      <c r="R31" s="605">
        <v>0.19348463655663603</v>
      </c>
      <c r="S31" s="605">
        <v>6.5677259220093404E-2</v>
      </c>
      <c r="T31" s="13"/>
    </row>
    <row r="32" spans="1:20" hidden="1" x14ac:dyDescent="0.2">
      <c r="A32" s="602">
        <v>29368</v>
      </c>
      <c r="B32" s="603" t="s">
        <v>454</v>
      </c>
      <c r="C32" s="603" t="s">
        <v>455</v>
      </c>
      <c r="D32" s="604">
        <v>15336</v>
      </c>
      <c r="E32" s="604">
        <v>16721</v>
      </c>
      <c r="F32" s="604">
        <v>16721</v>
      </c>
      <c r="G32" s="605">
        <v>9.0310380803338544E-2</v>
      </c>
      <c r="H32" s="606">
        <v>76010.569999999992</v>
      </c>
      <c r="I32" s="606"/>
      <c r="J32">
        <v>1.32</v>
      </c>
      <c r="K32">
        <v>1.1433265090086069</v>
      </c>
      <c r="L32" s="605"/>
      <c r="M32" s="606">
        <v>42609.43705613671</v>
      </c>
      <c r="N32">
        <v>3.1082588993563012</v>
      </c>
      <c r="O32" s="13">
        <v>2.5921590970025203</v>
      </c>
      <c r="P32" s="605">
        <v>-1.7227526472019212E-2</v>
      </c>
      <c r="Q32" s="605">
        <v>0.43942747625577977</v>
      </c>
      <c r="R32" s="605">
        <v>0.24156499897407957</v>
      </c>
      <c r="S32" s="605">
        <v>0.1978624772817002</v>
      </c>
      <c r="T32" s="13"/>
    </row>
    <row r="33" spans="1:25" hidden="1" x14ac:dyDescent="0.2">
      <c r="A33" s="602">
        <v>53715</v>
      </c>
      <c r="B33" s="603" t="s">
        <v>456</v>
      </c>
      <c r="C33" s="603" t="s">
        <v>457</v>
      </c>
      <c r="D33" s="604">
        <v>14933</v>
      </c>
      <c r="E33" s="604">
        <v>14381</v>
      </c>
      <c r="F33" s="604">
        <v>14167</v>
      </c>
      <c r="G33" s="605">
        <v>-5.1295787852407418E-2</v>
      </c>
      <c r="H33" s="606">
        <v>89698.260000000009</v>
      </c>
      <c r="I33" s="606">
        <v>18638.040132834252</v>
      </c>
      <c r="J33">
        <v>1.3155954071316618</v>
      </c>
      <c r="K33">
        <v>1.5518898904237559</v>
      </c>
      <c r="L33" s="605">
        <v>-0.17961029812902526</v>
      </c>
      <c r="M33" s="606">
        <v>58443.219324879668</v>
      </c>
      <c r="N33">
        <v>4.1253066510114822</v>
      </c>
      <c r="O33" s="13">
        <v>3.8900000000000006</v>
      </c>
      <c r="P33" s="605">
        <v>5.703979629097073E-2</v>
      </c>
      <c r="Q33" s="605">
        <v>0.14066048262570632</v>
      </c>
      <c r="R33" s="605">
        <v>0.12694015818586574</v>
      </c>
      <c r="S33" s="605">
        <v>1.3720324439840587E-2</v>
      </c>
      <c r="T33" s="13"/>
      <c r="V33" s="13"/>
      <c r="W33" s="13"/>
      <c r="X33" s="13"/>
      <c r="Y33" s="13"/>
    </row>
    <row r="34" spans="1:25" hidden="1" x14ac:dyDescent="0.2">
      <c r="A34" s="602">
        <v>51137</v>
      </c>
      <c r="B34" s="603" t="s">
        <v>458</v>
      </c>
      <c r="C34" s="603" t="s">
        <v>459</v>
      </c>
      <c r="D34" s="604">
        <v>14715</v>
      </c>
      <c r="E34" s="604">
        <v>15478</v>
      </c>
      <c r="F34" s="604">
        <v>15364</v>
      </c>
      <c r="G34" s="605">
        <v>4.4104655113829425E-2</v>
      </c>
      <c r="H34" s="606">
        <v>93509.88</v>
      </c>
      <c r="I34" s="606">
        <v>6842.7648339633561</v>
      </c>
      <c r="J34">
        <v>1.19</v>
      </c>
      <c r="K34">
        <v>1.2</v>
      </c>
      <c r="L34" s="605">
        <v>-1.6943494986837553</v>
      </c>
      <c r="M34" s="606">
        <v>48641.180597374056</v>
      </c>
      <c r="N34">
        <v>3.1659190703836275</v>
      </c>
      <c r="O34" s="13">
        <v>2.7170000000000001</v>
      </c>
      <c r="P34" s="605">
        <v>0.141797392922375</v>
      </c>
      <c r="Q34" s="605">
        <v>0.40665151713019615</v>
      </c>
      <c r="R34" s="605">
        <v>0.32327961298309665</v>
      </c>
      <c r="S34" s="605">
        <v>8.3371904147099496E-2</v>
      </c>
      <c r="T34" s="13"/>
      <c r="V34" s="13"/>
      <c r="W34" s="13"/>
      <c r="X34" s="13"/>
      <c r="Y34" s="13"/>
    </row>
    <row r="35" spans="1:25" hidden="1" x14ac:dyDescent="0.2">
      <c r="A35" s="602">
        <v>29329</v>
      </c>
      <c r="B35" s="603" t="s">
        <v>460</v>
      </c>
      <c r="C35" s="603" t="s">
        <v>461</v>
      </c>
      <c r="D35" s="604">
        <v>14170</v>
      </c>
      <c r="E35" s="604">
        <v>14349</v>
      </c>
      <c r="F35" s="604">
        <v>14213</v>
      </c>
      <c r="G35" s="605">
        <v>3.0345800988002825E-3</v>
      </c>
      <c r="H35" s="606">
        <v>81612.010000000009</v>
      </c>
      <c r="I35" s="606">
        <v>19976.369394353449</v>
      </c>
      <c r="J35">
        <v>1.4054998518506614</v>
      </c>
      <c r="K35">
        <v>0.92381562099871961</v>
      </c>
      <c r="L35" s="605">
        <v>0.3427138254178359</v>
      </c>
      <c r="M35" s="606">
        <v>50001.688933248544</v>
      </c>
      <c r="N35">
        <v>3.5180249724371029</v>
      </c>
      <c r="O35" s="13">
        <v>3.4262978698638116</v>
      </c>
      <c r="P35" s="605">
        <v>2.6073465450629701E-2</v>
      </c>
      <c r="Q35" s="605">
        <v>0.14255195616917185</v>
      </c>
      <c r="R35" s="605">
        <v>0.24594022128431489</v>
      </c>
      <c r="S35" s="605">
        <v>-0.10338826511514304</v>
      </c>
      <c r="T35" s="13"/>
      <c r="V35" s="13"/>
      <c r="W35" s="13"/>
      <c r="X35" s="13"/>
      <c r="Y35" s="13"/>
    </row>
    <row r="36" spans="1:25" hidden="1" x14ac:dyDescent="0.2">
      <c r="A36" s="602">
        <v>29358</v>
      </c>
      <c r="B36" s="603" t="s">
        <v>462</v>
      </c>
      <c r="C36" s="603" t="s">
        <v>463</v>
      </c>
      <c r="D36" s="604">
        <v>14148</v>
      </c>
      <c r="E36" s="604">
        <v>12791</v>
      </c>
      <c r="F36" s="604">
        <v>12791</v>
      </c>
      <c r="G36" s="605">
        <v>-9.5914616906983316E-2</v>
      </c>
      <c r="H36" s="606">
        <v>67799.929999999993</v>
      </c>
      <c r="I36" s="606">
        <v>14944.962162209973</v>
      </c>
      <c r="J36">
        <v>1.1683966978508304</v>
      </c>
      <c r="K36">
        <v>1.1966330421418385</v>
      </c>
      <c r="L36" s="605">
        <v>-2.4166744345432083E-2</v>
      </c>
      <c r="M36" s="606">
        <v>42791.563725991706</v>
      </c>
      <c r="N36">
        <v>3.3454431808296228</v>
      </c>
      <c r="O36" s="13">
        <v>2.9530992199337787</v>
      </c>
      <c r="P36" s="605">
        <v>0.11727712583614956</v>
      </c>
      <c r="Q36" s="605">
        <v>0.1484279425037506</v>
      </c>
      <c r="R36" s="605">
        <v>0.23190261030551762</v>
      </c>
      <c r="S36" s="605">
        <v>-8.3474667801767016E-2</v>
      </c>
      <c r="T36" s="13"/>
    </row>
    <row r="37" spans="1:25" hidden="1" x14ac:dyDescent="0.2">
      <c r="A37" s="602">
        <v>29461</v>
      </c>
      <c r="B37" s="603" t="s">
        <v>464</v>
      </c>
      <c r="C37" s="603" t="s">
        <v>465</v>
      </c>
      <c r="D37" s="604">
        <v>13516</v>
      </c>
      <c r="E37" s="604">
        <v>13822</v>
      </c>
      <c r="F37" s="604">
        <v>13822</v>
      </c>
      <c r="G37" s="605">
        <v>2.2639834270494229E-2</v>
      </c>
      <c r="H37" s="606">
        <v>59336.079999999994</v>
      </c>
      <c r="I37" s="606">
        <v>21159.484865849514</v>
      </c>
      <c r="J37">
        <v>1.5308555104796349</v>
      </c>
      <c r="K37">
        <v>1.5277301242362404</v>
      </c>
      <c r="L37" s="605">
        <v>2.0415945345587864E-3</v>
      </c>
      <c r="M37" s="606">
        <v>26254.05200964036</v>
      </c>
      <c r="N37">
        <v>1.8994394450615222</v>
      </c>
      <c r="O37" s="13">
        <v>1.48</v>
      </c>
      <c r="P37" s="605">
        <v>0.22082275176081578</v>
      </c>
      <c r="Q37" s="605">
        <v>0.20093243646210074</v>
      </c>
      <c r="R37" s="605">
        <v>0.18992179444633892</v>
      </c>
      <c r="S37" s="605">
        <v>1.1010642015761823E-2</v>
      </c>
      <c r="T37" s="13"/>
    </row>
    <row r="38" spans="1:25" hidden="1" x14ac:dyDescent="0.2">
      <c r="A38" s="602">
        <v>29301</v>
      </c>
      <c r="B38" s="603" t="s">
        <v>466</v>
      </c>
      <c r="C38" s="603" t="s">
        <v>467</v>
      </c>
      <c r="D38" s="604">
        <v>12535</v>
      </c>
      <c r="E38" s="604">
        <v>12827</v>
      </c>
      <c r="F38" s="604">
        <v>12829</v>
      </c>
      <c r="G38" s="605">
        <v>2.3454327881930595E-2</v>
      </c>
      <c r="H38" s="606">
        <v>70680.570000000007</v>
      </c>
      <c r="I38" s="606">
        <v>16226.429541026528</v>
      </c>
      <c r="J38">
        <v>1.2648241905859012</v>
      </c>
      <c r="K38">
        <v>1.2640037181409294</v>
      </c>
      <c r="L38" s="605">
        <v>6.4868497225040297E-4</v>
      </c>
      <c r="M38" s="606">
        <v>43718.603387410549</v>
      </c>
      <c r="N38">
        <v>3.407795103859268</v>
      </c>
      <c r="O38" s="13">
        <v>3.6</v>
      </c>
      <c r="P38" s="605">
        <v>-5.6401541255536002E-2</v>
      </c>
      <c r="Q38" s="605">
        <v>0.15188809416170426</v>
      </c>
      <c r="R38" s="605">
        <v>0.12607231615894149</v>
      </c>
      <c r="S38" s="605">
        <v>2.5815778002762774E-2</v>
      </c>
      <c r="T38" s="13"/>
    </row>
    <row r="39" spans="1:25" hidden="1" x14ac:dyDescent="0.2">
      <c r="A39" s="602">
        <v>29416</v>
      </c>
      <c r="B39" s="603" t="s">
        <v>426</v>
      </c>
      <c r="C39" s="603" t="s">
        <v>468</v>
      </c>
      <c r="D39" s="604">
        <v>12535</v>
      </c>
      <c r="E39" s="604">
        <v>14686</v>
      </c>
      <c r="F39" s="604">
        <v>14686</v>
      </c>
      <c r="G39" s="605">
        <v>0.17159952134024731</v>
      </c>
      <c r="H39" s="606">
        <v>83486.599999999991</v>
      </c>
      <c r="I39" s="606">
        <v>15607.152289550782</v>
      </c>
      <c r="J39">
        <v>1.0627231573982556</v>
      </c>
      <c r="K39">
        <v>1.2</v>
      </c>
      <c r="L39" s="605">
        <v>-0.12917460360779531</v>
      </c>
      <c r="M39" s="606">
        <v>47964.716591349272</v>
      </c>
      <c r="N39">
        <v>3.2660163823607022</v>
      </c>
      <c r="O39" s="13">
        <v>3.67</v>
      </c>
      <c r="P39" s="605">
        <v>-0.12369307754276945</v>
      </c>
      <c r="Q39" s="605">
        <v>0.23853805423984137</v>
      </c>
      <c r="R39" s="605">
        <v>0.19675865424207678</v>
      </c>
      <c r="S39" s="605">
        <v>4.1779399997764588E-2</v>
      </c>
      <c r="T39" s="13"/>
    </row>
    <row r="40" spans="1:25" hidden="1" x14ac:dyDescent="0.2">
      <c r="A40" s="602">
        <v>29335</v>
      </c>
      <c r="B40" s="603" t="s">
        <v>469</v>
      </c>
      <c r="C40" s="603" t="s">
        <v>470</v>
      </c>
      <c r="D40" s="604">
        <v>11880</v>
      </c>
      <c r="E40" s="604">
        <v>12392</v>
      </c>
      <c r="F40" s="604">
        <v>12197</v>
      </c>
      <c r="G40" s="605">
        <v>2.6683501683501684E-2</v>
      </c>
      <c r="H40" s="606">
        <v>70253.360000000015</v>
      </c>
      <c r="I40" s="606">
        <v>17586.04222865999</v>
      </c>
      <c r="J40">
        <v>1.4418334204033769</v>
      </c>
      <c r="K40">
        <v>1.69</v>
      </c>
      <c r="L40" s="605">
        <v>-0.17211875941063587</v>
      </c>
      <c r="M40" s="606">
        <v>42160.864250702987</v>
      </c>
      <c r="N40">
        <v>3.4566585431420012</v>
      </c>
      <c r="O40" s="13">
        <v>3.3664665757162346</v>
      </c>
      <c r="P40" s="605">
        <v>2.6092240902621716E-2</v>
      </c>
      <c r="Q40" s="605">
        <v>0.14955090433592125</v>
      </c>
      <c r="R40" s="605">
        <v>9.6006577985816577E-2</v>
      </c>
      <c r="S40" s="605">
        <v>5.3544326350104671E-2</v>
      </c>
      <c r="T40" s="13"/>
    </row>
    <row r="41" spans="1:25" hidden="1" x14ac:dyDescent="0.2">
      <c r="A41" s="602">
        <v>29409</v>
      </c>
      <c r="B41" s="603" t="s">
        <v>471</v>
      </c>
      <c r="C41" s="603" t="s">
        <v>472</v>
      </c>
      <c r="D41" s="604">
        <v>11445</v>
      </c>
      <c r="E41" s="604">
        <v>12450</v>
      </c>
      <c r="F41" s="604">
        <v>12450</v>
      </c>
      <c r="G41" s="605">
        <v>8.7811271297509833E-2</v>
      </c>
      <c r="H41" s="606">
        <v>62823.679999999993</v>
      </c>
      <c r="I41" s="606">
        <v>16961.796201055171</v>
      </c>
      <c r="J41">
        <v>1.3623932691610579</v>
      </c>
      <c r="K41">
        <v>1.1112197016806646</v>
      </c>
      <c r="L41" s="605">
        <v>0.18436201438007857</v>
      </c>
      <c r="M41" s="606">
        <v>32785.686107970963</v>
      </c>
      <c r="N41">
        <v>2.6333884424073064</v>
      </c>
      <c r="O41" s="13">
        <v>3.49</v>
      </c>
      <c r="P41" s="605">
        <v>-0.32528872072121051</v>
      </c>
      <c r="Q41" s="605">
        <v>0.20814122463016907</v>
      </c>
      <c r="R41" s="605">
        <v>0.11960968302672351</v>
      </c>
      <c r="S41" s="605">
        <v>8.8531541603445563E-2</v>
      </c>
      <c r="T41" s="13"/>
    </row>
    <row r="42" spans="1:25" hidden="1" x14ac:dyDescent="0.2">
      <c r="A42" s="602">
        <v>29330</v>
      </c>
      <c r="B42" s="603" t="s">
        <v>473</v>
      </c>
      <c r="C42" s="603" t="s">
        <v>474</v>
      </c>
      <c r="D42" s="604">
        <v>10920</v>
      </c>
      <c r="E42" s="604">
        <v>11585</v>
      </c>
      <c r="F42" s="604">
        <v>11913</v>
      </c>
      <c r="G42" s="605">
        <v>9.093406593406593E-2</v>
      </c>
      <c r="H42" s="606">
        <v>67863.42</v>
      </c>
      <c r="I42" s="606">
        <v>11606.443985999993</v>
      </c>
      <c r="J42">
        <v>0.97426710198942268</v>
      </c>
      <c r="K42">
        <v>1.2</v>
      </c>
      <c r="L42" s="605">
        <v>-0.23169508397608604</v>
      </c>
      <c r="M42" s="606">
        <v>40968.695386262465</v>
      </c>
      <c r="N42">
        <v>3.4389906309294438</v>
      </c>
      <c r="O42" s="13">
        <v>4.3</v>
      </c>
      <c r="P42" s="605">
        <v>-0.25036688420341935</v>
      </c>
      <c r="Q42" s="605">
        <v>0.22528013807346492</v>
      </c>
      <c r="R42" s="605">
        <v>0.10114551385562408</v>
      </c>
      <c r="S42" s="605">
        <v>0.12413462421784084</v>
      </c>
      <c r="T42" s="13"/>
    </row>
    <row r="43" spans="1:25" hidden="1" x14ac:dyDescent="0.2">
      <c r="A43" s="602">
        <v>29302</v>
      </c>
      <c r="B43" s="603" t="s">
        <v>475</v>
      </c>
      <c r="C43" s="603" t="s">
        <v>476</v>
      </c>
      <c r="D43" s="604">
        <v>9265</v>
      </c>
      <c r="E43" s="604">
        <v>8672</v>
      </c>
      <c r="F43" s="604">
        <v>8672</v>
      </c>
      <c r="G43" s="605">
        <v>-6.4004317323259577E-2</v>
      </c>
      <c r="H43" s="606">
        <v>51121.8</v>
      </c>
      <c r="I43" s="606">
        <v>10039.740275684469</v>
      </c>
      <c r="J43">
        <v>1.1577191277311427</v>
      </c>
      <c r="K43">
        <v>1.2</v>
      </c>
      <c r="L43" s="605">
        <v>-3.6520837616044063E-2</v>
      </c>
      <c r="M43" s="606">
        <v>33037.919627734533</v>
      </c>
      <c r="N43">
        <v>3.8097232043051812</v>
      </c>
      <c r="O43" s="13">
        <v>3.56</v>
      </c>
      <c r="P43" s="605">
        <v>6.554891022607133E-2</v>
      </c>
      <c r="Q43" s="605">
        <v>0.15735244253099462</v>
      </c>
      <c r="R43" s="605">
        <v>0.14066983455662749</v>
      </c>
      <c r="S43" s="605">
        <v>1.6682607974367131E-2</v>
      </c>
      <c r="T43" s="13"/>
    </row>
    <row r="44" spans="1:25" hidden="1" x14ac:dyDescent="0.2">
      <c r="A44" s="602">
        <v>53754</v>
      </c>
      <c r="B44" s="603" t="s">
        <v>477</v>
      </c>
      <c r="C44" s="603" t="s">
        <v>478</v>
      </c>
      <c r="D44" s="604">
        <v>8720</v>
      </c>
      <c r="E44" s="604">
        <v>7560</v>
      </c>
      <c r="F44" s="604">
        <v>7155</v>
      </c>
      <c r="G44" s="605">
        <v>-0.17947247706422018</v>
      </c>
      <c r="H44" s="606">
        <v>49807.65</v>
      </c>
      <c r="I44" s="606">
        <v>7256.017225033891</v>
      </c>
      <c r="J44">
        <v>1.0141184102073921</v>
      </c>
      <c r="K44">
        <v>1.1567765852671659</v>
      </c>
      <c r="L44" s="605">
        <v>-0.14067210852685286</v>
      </c>
      <c r="M44" s="606">
        <v>42395.223724622585</v>
      </c>
      <c r="N44">
        <v>5.9252583821974261</v>
      </c>
      <c r="O44" s="13">
        <v>4.5199999999999996</v>
      </c>
      <c r="P44" s="605">
        <v>0.23716406805474632</v>
      </c>
      <c r="Q44" s="605">
        <v>3.140261593219625E-3</v>
      </c>
      <c r="R44" s="605">
        <v>7.8906562372598715E-2</v>
      </c>
      <c r="S44" s="605">
        <v>-7.5766300779379084E-2</v>
      </c>
      <c r="T44" s="13"/>
    </row>
    <row r="45" spans="1:25" hidden="1" x14ac:dyDescent="0.2">
      <c r="A45" s="602">
        <v>29331</v>
      </c>
      <c r="B45" s="603" t="s">
        <v>479</v>
      </c>
      <c r="C45" s="603" t="s">
        <v>480</v>
      </c>
      <c r="D45" s="604">
        <v>8424</v>
      </c>
      <c r="E45" s="604">
        <v>8146</v>
      </c>
      <c r="F45" s="604">
        <v>8155</v>
      </c>
      <c r="G45" s="605">
        <v>-3.1932573599240267E-2</v>
      </c>
      <c r="H45" s="606">
        <v>47143.770000000004</v>
      </c>
      <c r="I45" s="606">
        <v>9637.1395819103</v>
      </c>
      <c r="J45">
        <v>1.1817461167271981</v>
      </c>
      <c r="K45">
        <v>1.2059686927862958</v>
      </c>
      <c r="L45" s="605">
        <v>-2.049727578219698E-2</v>
      </c>
      <c r="M45" s="606">
        <v>30283.818750537732</v>
      </c>
      <c r="N45">
        <v>3.7135277437814507</v>
      </c>
      <c r="O45" s="13">
        <v>3.7838647595514159</v>
      </c>
      <c r="P45" s="605">
        <v>-1.8940754081546642E-2</v>
      </c>
      <c r="Q45" s="605">
        <v>0.15320818991675828</v>
      </c>
      <c r="R45" s="605">
        <v>0.15407189588256778</v>
      </c>
      <c r="S45" s="605">
        <v>-8.6370596580950809E-4</v>
      </c>
      <c r="T45" s="13"/>
    </row>
    <row r="46" spans="1:25" hidden="1" x14ac:dyDescent="0.2">
      <c r="A46" s="602">
        <v>29340</v>
      </c>
      <c r="B46" s="603" t="s">
        <v>481</v>
      </c>
      <c r="C46" s="603" t="s">
        <v>482</v>
      </c>
      <c r="D46" s="604">
        <v>8316</v>
      </c>
      <c r="E46" s="604">
        <v>7728</v>
      </c>
      <c r="F46" s="604">
        <v>7728</v>
      </c>
      <c r="G46" s="605">
        <v>-7.0707070707070704E-2</v>
      </c>
      <c r="H46" s="606">
        <v>47878.38</v>
      </c>
      <c r="I46" s="606">
        <v>11270.150570278518</v>
      </c>
      <c r="J46">
        <v>1.4583528170650257</v>
      </c>
      <c r="K46">
        <v>1.4623935334445299</v>
      </c>
      <c r="L46" s="605">
        <v>-2.7707399281034447E-3</v>
      </c>
      <c r="M46" s="606">
        <v>27633.253560622874</v>
      </c>
      <c r="N46">
        <v>3.5757315684035809</v>
      </c>
      <c r="O46" s="13">
        <v>3.1239303238469081</v>
      </c>
      <c r="P46" s="605">
        <v>0.12635211450125261</v>
      </c>
      <c r="Q46" s="605">
        <v>0.18745362456078518</v>
      </c>
      <c r="R46" s="605">
        <v>0.22066617046475709</v>
      </c>
      <c r="S46" s="605">
        <v>-3.3212545903971907E-2</v>
      </c>
      <c r="T46" s="13"/>
    </row>
    <row r="47" spans="1:25" hidden="1" x14ac:dyDescent="0.2">
      <c r="A47" s="602">
        <v>29482</v>
      </c>
      <c r="B47" s="603" t="s">
        <v>442</v>
      </c>
      <c r="C47" s="603" t="s">
        <v>483</v>
      </c>
      <c r="D47" s="604">
        <v>8100</v>
      </c>
      <c r="E47" s="604">
        <v>7593</v>
      </c>
      <c r="F47" s="604">
        <v>7576</v>
      </c>
      <c r="G47" s="605">
        <v>-6.4691358024691364E-2</v>
      </c>
      <c r="H47" s="606">
        <v>47827.759999999995</v>
      </c>
      <c r="I47" s="606">
        <v>8283.7241690003448</v>
      </c>
      <c r="J47">
        <v>1.0934166009768143</v>
      </c>
      <c r="K47">
        <v>1.46</v>
      </c>
      <c r="L47" s="605">
        <v>-0.33526416070114073</v>
      </c>
      <c r="M47" s="606">
        <v>26979.70618582777</v>
      </c>
      <c r="N47">
        <v>3.5612072578970131</v>
      </c>
      <c r="O47" s="13">
        <v>3.56</v>
      </c>
      <c r="P47" s="605">
        <v>3.3900242518486673E-4</v>
      </c>
      <c r="Q47" s="605">
        <v>0.26269952105580274</v>
      </c>
      <c r="R47" s="605">
        <v>0.16328204027833124</v>
      </c>
      <c r="S47" s="605">
        <v>9.9417480777471506E-2</v>
      </c>
      <c r="T47" s="13"/>
    </row>
    <row r="48" spans="1:25" hidden="1" x14ac:dyDescent="0.2">
      <c r="A48" s="602">
        <v>29371</v>
      </c>
      <c r="B48" s="603" t="s">
        <v>484</v>
      </c>
      <c r="C48" s="603" t="s">
        <v>485</v>
      </c>
      <c r="D48" s="604">
        <v>7668</v>
      </c>
      <c r="E48" s="604">
        <v>8230</v>
      </c>
      <c r="F48" s="604">
        <v>8219</v>
      </c>
      <c r="G48" s="605">
        <v>7.1857068335941576E-2</v>
      </c>
      <c r="H48" s="606">
        <v>51577.94</v>
      </c>
      <c r="I48" s="606">
        <v>8443.2964841811463</v>
      </c>
      <c r="J48">
        <v>1.027289996858638</v>
      </c>
      <c r="K48">
        <v>1.256486931132023</v>
      </c>
      <c r="L48" s="605">
        <v>-0.22310830921575117</v>
      </c>
      <c r="M48" s="606">
        <v>34177.613724652641</v>
      </c>
      <c r="N48">
        <v>4.1583664344388174</v>
      </c>
      <c r="O48" s="13">
        <v>4.0933583827265032</v>
      </c>
      <c r="P48" s="605">
        <v>1.5633074366397721E-2</v>
      </c>
      <c r="Q48" s="605">
        <v>0.17366009172072816</v>
      </c>
      <c r="R48" s="605">
        <v>0.13142533990942404</v>
      </c>
      <c r="S48" s="605">
        <v>4.2234751811304122E-2</v>
      </c>
      <c r="T48" s="13"/>
    </row>
    <row r="49" spans="1:20" hidden="1" x14ac:dyDescent="0.2">
      <c r="A49" s="602">
        <v>29336</v>
      </c>
      <c r="B49" s="603" t="s">
        <v>486</v>
      </c>
      <c r="C49" s="603" t="s">
        <v>487</v>
      </c>
      <c r="D49" s="604">
        <v>7452</v>
      </c>
      <c r="E49" s="604">
        <v>8497</v>
      </c>
      <c r="F49" s="604">
        <v>8497</v>
      </c>
      <c r="G49" s="605">
        <v>0.14023081052066561</v>
      </c>
      <c r="H49" s="606">
        <v>49689.83</v>
      </c>
      <c r="I49" s="606">
        <v>10288.016676667505</v>
      </c>
      <c r="J49">
        <v>1.2107822380448987</v>
      </c>
      <c r="K49">
        <v>1.3508966592124598</v>
      </c>
      <c r="L49" s="605">
        <v>-0.11572223044319663</v>
      </c>
      <c r="M49" s="606">
        <v>37665.722953378681</v>
      </c>
      <c r="N49">
        <v>4.4328260507683517</v>
      </c>
      <c r="O49" s="13">
        <v>3.8700000000000006</v>
      </c>
      <c r="P49" s="605">
        <v>0.1269677727757432</v>
      </c>
      <c r="Q49" s="605">
        <v>3.4938545170185041E-2</v>
      </c>
      <c r="R49" s="605">
        <v>0.11946705354602549</v>
      </c>
      <c r="S49" s="605">
        <v>-8.4528508375840444E-2</v>
      </c>
      <c r="T49" s="13"/>
    </row>
    <row r="50" spans="1:20" hidden="1" x14ac:dyDescent="0.2">
      <c r="A50" s="602">
        <v>29359</v>
      </c>
      <c r="B50" s="603" t="s">
        <v>488</v>
      </c>
      <c r="C50" s="603" t="s">
        <v>489</v>
      </c>
      <c r="D50" s="604">
        <v>4859</v>
      </c>
      <c r="E50" s="604">
        <v>5252</v>
      </c>
      <c r="F50" s="604">
        <v>5236</v>
      </c>
      <c r="G50" s="605">
        <v>7.7587981066062975E-2</v>
      </c>
      <c r="H50" s="606">
        <v>31290.240000000002</v>
      </c>
      <c r="I50" s="606">
        <v>9902.3326152729733</v>
      </c>
      <c r="J50">
        <v>1.8912017981804761</v>
      </c>
      <c r="K50">
        <v>1.5300000000000002</v>
      </c>
      <c r="L50" s="605">
        <v>0.19099061693362804</v>
      </c>
      <c r="M50" s="606">
        <v>10622.675029965641</v>
      </c>
      <c r="N50">
        <v>2.028776743690917</v>
      </c>
      <c r="O50" s="13">
        <v>3.22</v>
      </c>
      <c r="P50" s="605">
        <v>-0.58716330419970819</v>
      </c>
      <c r="Q50" s="605">
        <v>0.34404441623846244</v>
      </c>
      <c r="R50" s="605">
        <v>0.13727560718057016</v>
      </c>
      <c r="S50" s="605">
        <v>0.20676880905789227</v>
      </c>
      <c r="T50" s="13"/>
    </row>
    <row r="51" spans="1:20" hidden="1" x14ac:dyDescent="0.2">
      <c r="A51" s="602">
        <v>54263</v>
      </c>
      <c r="B51" s="603" t="s">
        <v>490</v>
      </c>
      <c r="C51" s="603" t="s">
        <v>491</v>
      </c>
      <c r="D51" s="604">
        <v>1278</v>
      </c>
      <c r="E51" s="604">
        <v>23996</v>
      </c>
      <c r="F51" s="604">
        <v>23996</v>
      </c>
      <c r="G51" s="605">
        <v>17.776212832550861</v>
      </c>
      <c r="H51" s="606">
        <v>119980</v>
      </c>
      <c r="I51" s="606">
        <v>69851.791906655693</v>
      </c>
      <c r="J51">
        <v>2.9109764921926859</v>
      </c>
      <c r="K51">
        <v>2.25</v>
      </c>
      <c r="L51" s="605">
        <v>0.22706349363021033</v>
      </c>
      <c r="M51" s="606">
        <v>72890.381525289486</v>
      </c>
      <c r="N51">
        <v>3.0376054978033626</v>
      </c>
      <c r="O51" s="13">
        <v>2.73</v>
      </c>
      <c r="P51" s="605">
        <v>0.10126578254674837</v>
      </c>
      <c r="Q51" s="605">
        <v>-0.1897163979992097</v>
      </c>
      <c r="R51" s="605">
        <v>0.10997547817557625</v>
      </c>
      <c r="S51" s="605">
        <v>-0.29969187617478593</v>
      </c>
      <c r="T51" s="13"/>
    </row>
    <row r="52" spans="1:20" hidden="1" x14ac:dyDescent="0.2">
      <c r="A52" s="602">
        <v>29316</v>
      </c>
      <c r="B52" s="603" t="s">
        <v>492</v>
      </c>
      <c r="C52" s="603" t="s">
        <v>493</v>
      </c>
      <c r="D52" s="604"/>
      <c r="E52" s="604"/>
      <c r="F52" s="604">
        <v>1755</v>
      </c>
      <c r="G52" s="605"/>
      <c r="H52" s="606">
        <v>92741.95</v>
      </c>
      <c r="I52" s="606">
        <v>35591.322415912524</v>
      </c>
      <c r="J52">
        <v>20.279955792542747</v>
      </c>
      <c r="K52">
        <v>3.16</v>
      </c>
      <c r="L52" s="605">
        <v>0.84418111990352662</v>
      </c>
      <c r="M52" s="459"/>
      <c r="N52">
        <v>0.56000000000000005</v>
      </c>
      <c r="O52" s="13">
        <v>4.83</v>
      </c>
      <c r="P52" s="605"/>
      <c r="Q52" s="605">
        <v>0.61623275749633766</v>
      </c>
      <c r="R52" s="605">
        <v>0.35863883093422905</v>
      </c>
      <c r="S52" s="605">
        <v>0.25759392656210861</v>
      </c>
      <c r="T52" s="13"/>
    </row>
    <row r="53" spans="1:20" hidden="1" x14ac:dyDescent="0.2">
      <c r="A53" s="602">
        <v>50261</v>
      </c>
      <c r="B53" s="603" t="s">
        <v>432</v>
      </c>
      <c r="C53" s="603" t="s">
        <v>494</v>
      </c>
      <c r="D53" s="604"/>
      <c r="E53" s="604"/>
      <c r="F53" s="604">
        <v>2080</v>
      </c>
      <c r="G53" s="605"/>
      <c r="H53" s="606">
        <v>18741.07</v>
      </c>
      <c r="I53" s="606"/>
      <c r="J53">
        <v>1.32</v>
      </c>
      <c r="L53" s="605"/>
      <c r="M53" s="459"/>
      <c r="N53">
        <v>0.56000000000000005</v>
      </c>
      <c r="O53" s="13"/>
      <c r="P53" s="605"/>
      <c r="Q53" s="605">
        <v>1</v>
      </c>
      <c r="R53" s="605"/>
      <c r="S53" s="605">
        <v>1</v>
      </c>
      <c r="T53" s="13"/>
    </row>
    <row r="54" spans="1:20" hidden="1" x14ac:dyDescent="0.2">
      <c r="A54" s="602">
        <v>50519</v>
      </c>
      <c r="B54" s="603" t="s">
        <v>402</v>
      </c>
      <c r="C54" s="603" t="s">
        <v>495</v>
      </c>
      <c r="D54" s="604"/>
      <c r="E54" s="604"/>
      <c r="F54" s="604"/>
      <c r="G54" s="605"/>
      <c r="H54" s="606">
        <v>14970</v>
      </c>
      <c r="I54" s="606"/>
      <c r="J54">
        <v>1.32</v>
      </c>
      <c r="L54" s="605"/>
      <c r="M54" s="459"/>
      <c r="N54">
        <v>0.56000000000000005</v>
      </c>
      <c r="O54" s="13"/>
      <c r="P54" s="605"/>
      <c r="Q54" s="605">
        <v>1</v>
      </c>
      <c r="R54" s="605"/>
      <c r="S54" s="605">
        <v>1</v>
      </c>
      <c r="T54" s="13"/>
    </row>
    <row r="55" spans="1:20" hidden="1" x14ac:dyDescent="0.2">
      <c r="A55" s="602">
        <v>53191</v>
      </c>
      <c r="B55" s="603" t="s">
        <v>492</v>
      </c>
      <c r="C55" s="603"/>
      <c r="D55" s="604"/>
      <c r="E55" s="604"/>
      <c r="F55" s="604"/>
      <c r="G55" s="605"/>
      <c r="H55" s="606"/>
      <c r="I55" s="606"/>
      <c r="J55">
        <v>1.32</v>
      </c>
      <c r="L55" s="605"/>
      <c r="M55" s="606">
        <v>42954.615172784499</v>
      </c>
      <c r="N55">
        <v>0.56000000000000005</v>
      </c>
      <c r="O55" s="13"/>
      <c r="P55" s="605"/>
      <c r="Q55" s="605"/>
      <c r="R55" s="605"/>
      <c r="S55" s="605"/>
      <c r="T55" s="13"/>
    </row>
    <row r="56" spans="1:20" hidden="1" x14ac:dyDescent="0.2">
      <c r="A56" s="602">
        <v>29402</v>
      </c>
      <c r="B56" s="603" t="s">
        <v>496</v>
      </c>
      <c r="C56" s="603" t="s">
        <v>497</v>
      </c>
      <c r="D56" s="604">
        <v>26160</v>
      </c>
      <c r="E56" s="604">
        <v>18967</v>
      </c>
      <c r="F56" s="604">
        <v>24990</v>
      </c>
      <c r="G56" s="605">
        <v>-4.4724770642201837E-2</v>
      </c>
      <c r="H56" s="606">
        <v>137605.20000000001</v>
      </c>
      <c r="I56" s="606"/>
      <c r="J56">
        <v>1.2</v>
      </c>
      <c r="K56">
        <v>1.2</v>
      </c>
      <c r="L56" s="605"/>
      <c r="M56" s="606">
        <v>64540.79807152431</v>
      </c>
      <c r="N56">
        <v>3.1426649888565152</v>
      </c>
      <c r="O56" s="13">
        <v>2.6869999999999998</v>
      </c>
      <c r="P56" s="605">
        <v>-4.0398197828081205E-2</v>
      </c>
      <c r="Q56" s="605">
        <v>0.5309712273117273</v>
      </c>
      <c r="R56" s="605">
        <v>0.31904192657130381</v>
      </c>
      <c r="S56" s="605">
        <v>0.21192930074042349</v>
      </c>
      <c r="T56" s="13"/>
    </row>
    <row r="57" spans="1:20" hidden="1" x14ac:dyDescent="0.2">
      <c r="A57" s="602">
        <v>29471</v>
      </c>
      <c r="B57" s="603" t="s">
        <v>498</v>
      </c>
      <c r="C57" s="603" t="s">
        <v>499</v>
      </c>
      <c r="D57" s="604">
        <v>21255</v>
      </c>
      <c r="E57" s="604">
        <v>11440</v>
      </c>
      <c r="F57" s="604">
        <v>20419</v>
      </c>
      <c r="G57" s="605">
        <v>-3.933192190072924E-2</v>
      </c>
      <c r="H57" s="606">
        <v>115118.91999999998</v>
      </c>
      <c r="I57" s="606"/>
      <c r="J57">
        <v>1.2</v>
      </c>
      <c r="K57">
        <v>1.2</v>
      </c>
      <c r="L57" s="605"/>
      <c r="M57" s="606">
        <v>64884.783820410739</v>
      </c>
      <c r="N57">
        <v>3.7376670659880866</v>
      </c>
      <c r="O57" s="13">
        <v>2.0270000000000001</v>
      </c>
      <c r="P57" s="605">
        <v>0.36211064346676286</v>
      </c>
      <c r="Q57" s="605">
        <v>0.43636733370665093</v>
      </c>
      <c r="R57" s="605">
        <v>0.42759998118001313</v>
      </c>
      <c r="S57" s="605">
        <v>8.767352526637795E-3</v>
      </c>
      <c r="T57" s="13"/>
    </row>
    <row r="58" spans="1:20" hidden="1" x14ac:dyDescent="0.2">
      <c r="A58" s="602">
        <v>29503</v>
      </c>
      <c r="B58" s="603" t="s">
        <v>500</v>
      </c>
      <c r="C58" s="603" t="s">
        <v>501</v>
      </c>
      <c r="D58" s="604">
        <v>19685.199999999997</v>
      </c>
      <c r="E58" s="604">
        <v>15116</v>
      </c>
      <c r="F58" s="604">
        <v>15116</v>
      </c>
      <c r="G58" s="605">
        <v>-0.23211346595411769</v>
      </c>
      <c r="H58" s="606">
        <v>44014.559999999998</v>
      </c>
      <c r="I58" s="606"/>
      <c r="J58">
        <v>1.2</v>
      </c>
      <c r="K58">
        <v>1.2</v>
      </c>
      <c r="L58" s="605"/>
      <c r="M58" s="459"/>
      <c r="N58">
        <v>0.56000000000000005</v>
      </c>
      <c r="O58" s="13">
        <v>1.3314762897809196E-4</v>
      </c>
      <c r="P58" s="605"/>
      <c r="Q58" s="605">
        <v>1</v>
      </c>
      <c r="R58" s="605">
        <v>0.58766812781448885</v>
      </c>
      <c r="S58" s="605">
        <v>0.41233187218551115</v>
      </c>
      <c r="T58" s="13"/>
    </row>
    <row r="59" spans="1:20" hidden="1" x14ac:dyDescent="0.2">
      <c r="A59" s="602">
        <v>29401</v>
      </c>
      <c r="B59" s="603" t="s">
        <v>502</v>
      </c>
      <c r="C59" s="603" t="s">
        <v>503</v>
      </c>
      <c r="D59" s="604">
        <v>18530</v>
      </c>
      <c r="E59" s="604">
        <v>20012</v>
      </c>
      <c r="F59" s="604">
        <v>18620</v>
      </c>
      <c r="G59" s="605">
        <v>4.8569886670264432E-3</v>
      </c>
      <c r="H59" s="606">
        <v>58831.399999999994</v>
      </c>
      <c r="I59" s="606"/>
      <c r="J59">
        <v>1.2</v>
      </c>
      <c r="K59">
        <v>1.2</v>
      </c>
      <c r="L59" s="605"/>
      <c r="M59" s="459"/>
      <c r="N59">
        <v>0.56000000000000005</v>
      </c>
      <c r="O59" s="13">
        <v>1.3314762897809196E-4</v>
      </c>
      <c r="P59" s="605"/>
      <c r="Q59" s="605">
        <v>1</v>
      </c>
      <c r="R59" s="605">
        <v>0.57767128127777656</v>
      </c>
      <c r="S59" s="605">
        <v>0.42232871872222344</v>
      </c>
      <c r="T59" s="13"/>
    </row>
    <row r="60" spans="1:20" hidden="1" x14ac:dyDescent="0.2">
      <c r="A60" s="602">
        <v>29390</v>
      </c>
      <c r="B60" s="603" t="s">
        <v>504</v>
      </c>
      <c r="C60" s="603" t="s">
        <v>505</v>
      </c>
      <c r="D60" s="604">
        <v>15876</v>
      </c>
      <c r="E60" s="604">
        <v>18243</v>
      </c>
      <c r="F60" s="604">
        <v>18356</v>
      </c>
      <c r="G60" s="605">
        <v>0.15621063240110858</v>
      </c>
      <c r="H60" s="606">
        <v>51593.759999999995</v>
      </c>
      <c r="I60" s="606"/>
      <c r="J60">
        <v>1.2</v>
      </c>
      <c r="K60">
        <v>1.2</v>
      </c>
      <c r="L60" s="605"/>
      <c r="M60" s="459"/>
      <c r="N60">
        <v>0.56000000000000005</v>
      </c>
      <c r="O60" s="13">
        <v>1.3314762897809196E-4</v>
      </c>
      <c r="P60" s="605"/>
      <c r="Q60" s="605">
        <v>1</v>
      </c>
      <c r="R60" s="605">
        <v>0.5859615249189476</v>
      </c>
      <c r="S60" s="605">
        <v>0.4140384750810524</v>
      </c>
      <c r="T60" s="13"/>
    </row>
    <row r="61" spans="1:20" hidden="1" x14ac:dyDescent="0.2">
      <c r="A61" s="602">
        <v>51166</v>
      </c>
      <c r="B61" s="603" t="s">
        <v>506</v>
      </c>
      <c r="C61" s="603" t="s">
        <v>507</v>
      </c>
      <c r="D61" s="604">
        <v>13625</v>
      </c>
      <c r="E61" s="604">
        <v>7286</v>
      </c>
      <c r="F61" s="604">
        <v>11643</v>
      </c>
      <c r="G61" s="605">
        <v>-0.14546788990825688</v>
      </c>
      <c r="H61" s="606">
        <v>54203.22</v>
      </c>
      <c r="I61" s="606"/>
      <c r="J61">
        <v>1.2</v>
      </c>
      <c r="K61">
        <v>1.2</v>
      </c>
      <c r="L61" s="605"/>
      <c r="M61" s="606">
        <v>18139.66055617352</v>
      </c>
      <c r="N61">
        <v>2.1179885387076802</v>
      </c>
      <c r="O61" s="13">
        <v>0.7370000000000001</v>
      </c>
      <c r="P61" s="605">
        <v>0.52695415807658852</v>
      </c>
      <c r="Q61" s="605">
        <v>0.66533979796452092</v>
      </c>
      <c r="R61" s="605">
        <v>0.56039850482432374</v>
      </c>
      <c r="S61" s="605">
        <v>0.10494129314019718</v>
      </c>
      <c r="T61" s="13"/>
    </row>
    <row r="62" spans="1:20" hidden="1" x14ac:dyDescent="0.2">
      <c r="A62" s="602">
        <v>29419</v>
      </c>
      <c r="B62" s="603" t="s">
        <v>508</v>
      </c>
      <c r="C62" s="603" t="s">
        <v>509</v>
      </c>
      <c r="D62" s="604">
        <v>13500</v>
      </c>
      <c r="E62" s="604">
        <v>14381</v>
      </c>
      <c r="F62" s="604">
        <v>14413</v>
      </c>
      <c r="G62" s="605">
        <v>6.7629629629629623E-2</v>
      </c>
      <c r="H62" s="606">
        <v>87537.389999999985</v>
      </c>
      <c r="I62" s="606"/>
      <c r="J62">
        <v>1.2</v>
      </c>
      <c r="K62">
        <v>1.2</v>
      </c>
      <c r="L62" s="605"/>
      <c r="M62" s="606">
        <v>41745.452960103583</v>
      </c>
      <c r="N62">
        <v>3.4563750059046403</v>
      </c>
      <c r="O62" s="13">
        <v>3.9171243210453852</v>
      </c>
      <c r="P62" s="605">
        <v>-0.35242305055796075</v>
      </c>
      <c r="Q62" s="605">
        <v>0.52311288970229075</v>
      </c>
      <c r="R62" s="605">
        <v>0.24721821502249158</v>
      </c>
      <c r="S62" s="605">
        <v>0.27589467467979917</v>
      </c>
      <c r="T62" s="13"/>
    </row>
    <row r="63" spans="1:20" hidden="1" x14ac:dyDescent="0.2">
      <c r="A63" s="602">
        <v>53824</v>
      </c>
      <c r="B63" s="603" t="s">
        <v>510</v>
      </c>
      <c r="C63" s="603" t="s">
        <v>511</v>
      </c>
      <c r="D63" s="604">
        <v>13500</v>
      </c>
      <c r="E63" s="604">
        <v>8821</v>
      </c>
      <c r="F63" s="604">
        <v>10396</v>
      </c>
      <c r="G63" s="605">
        <v>-0.22992592592592592</v>
      </c>
      <c r="H63" s="606">
        <v>61537.850000000006</v>
      </c>
      <c r="I63" s="606"/>
      <c r="J63">
        <v>1.2</v>
      </c>
      <c r="K63">
        <v>1.63</v>
      </c>
      <c r="L63" s="605"/>
      <c r="M63" s="606">
        <v>27587.326499770632</v>
      </c>
      <c r="N63">
        <v>3.2136481819710112</v>
      </c>
      <c r="O63" s="13">
        <v>0.74</v>
      </c>
      <c r="P63" s="605">
        <v>0.72113861776116794</v>
      </c>
      <c r="Q63" s="605">
        <v>0.55170148941227837</v>
      </c>
      <c r="R63" s="605">
        <v>0.52782876802673229</v>
      </c>
      <c r="S63" s="605">
        <v>2.3872721385546081E-2</v>
      </c>
      <c r="T63" s="13"/>
    </row>
    <row r="64" spans="1:20" x14ac:dyDescent="0.2">
      <c r="A64" s="602">
        <v>52834</v>
      </c>
      <c r="B64" s="603" t="s">
        <v>512</v>
      </c>
      <c r="C64" s="603" t="s">
        <v>513</v>
      </c>
      <c r="D64" s="604">
        <v>12305</v>
      </c>
      <c r="E64" s="604">
        <v>5250</v>
      </c>
      <c r="F64" s="604">
        <v>5250</v>
      </c>
      <c r="G64" s="605">
        <v>-0.57334416903697683</v>
      </c>
      <c r="H64" s="606">
        <v>26001.78</v>
      </c>
      <c r="I64" s="606"/>
      <c r="J64">
        <v>1.2</v>
      </c>
      <c r="K64">
        <v>1.7</v>
      </c>
      <c r="L64" s="605"/>
      <c r="M64" s="606">
        <v>16865.701369299222</v>
      </c>
      <c r="N64">
        <v>3.7725145465331851</v>
      </c>
      <c r="O64" s="13">
        <v>1.5900000000000003</v>
      </c>
      <c r="P64" s="605">
        <v>0.50506060689565946</v>
      </c>
      <c r="Q64" s="605">
        <v>0.35136358475076618</v>
      </c>
      <c r="R64" s="605">
        <v>0.39088086476540929</v>
      </c>
      <c r="S64" s="605">
        <v>-3.9517280014643108E-2</v>
      </c>
      <c r="T64" s="13"/>
    </row>
    <row r="65" spans="1:20" hidden="1" x14ac:dyDescent="0.2">
      <c r="A65" s="602">
        <v>29408</v>
      </c>
      <c r="B65" s="603" t="s">
        <v>514</v>
      </c>
      <c r="C65" s="603" t="s">
        <v>515</v>
      </c>
      <c r="D65" s="604">
        <v>12204</v>
      </c>
      <c r="E65" s="604">
        <v>12149</v>
      </c>
      <c r="F65" s="604">
        <v>12149</v>
      </c>
      <c r="G65" s="605">
        <v>-4.50671910848902E-3</v>
      </c>
      <c r="H65" s="606">
        <v>88317.459999999992</v>
      </c>
      <c r="I65" s="606"/>
      <c r="J65">
        <v>1.2</v>
      </c>
      <c r="K65">
        <v>1.2</v>
      </c>
      <c r="L65" s="605"/>
      <c r="M65" s="606">
        <v>49928.895203672801</v>
      </c>
      <c r="N65">
        <v>4.6697123387663844</v>
      </c>
      <c r="O65" s="13">
        <v>3.8410849862231844</v>
      </c>
      <c r="P65" s="605">
        <v>6.5364028038963323E-2</v>
      </c>
      <c r="Q65" s="605">
        <v>0.43466563459056901</v>
      </c>
      <c r="R65" s="605">
        <v>0.26683506807741153</v>
      </c>
      <c r="S65" s="605">
        <v>0.16783056651315748</v>
      </c>
      <c r="T65" s="13"/>
    </row>
    <row r="66" spans="1:20" hidden="1" x14ac:dyDescent="0.2">
      <c r="A66" s="602">
        <v>29399</v>
      </c>
      <c r="B66" s="603" t="s">
        <v>516</v>
      </c>
      <c r="C66" s="603" t="s">
        <v>517</v>
      </c>
      <c r="D66" s="604">
        <v>11990</v>
      </c>
      <c r="E66" s="604">
        <v>7283</v>
      </c>
      <c r="F66" s="604">
        <v>7379</v>
      </c>
      <c r="G66" s="605">
        <v>-0.38457047539616346</v>
      </c>
      <c r="H66" s="606">
        <v>22319.420000000002</v>
      </c>
      <c r="I66" s="606"/>
      <c r="J66">
        <v>1.2</v>
      </c>
      <c r="K66">
        <v>1.2</v>
      </c>
      <c r="L66" s="605"/>
      <c r="M66" s="459"/>
      <c r="N66">
        <v>0.56000000000000005</v>
      </c>
      <c r="O66" s="13">
        <v>1.3314762897820298E-4</v>
      </c>
      <c r="P66" s="605"/>
      <c r="Q66" s="605">
        <v>1</v>
      </c>
      <c r="R66" s="605">
        <v>0.60853752214396617</v>
      </c>
      <c r="S66" s="605">
        <v>0.39146247785603383</v>
      </c>
      <c r="T66" s="13"/>
    </row>
    <row r="67" spans="1:20" hidden="1" x14ac:dyDescent="0.2">
      <c r="A67" s="602">
        <v>29524</v>
      </c>
      <c r="B67" s="603" t="s">
        <v>518</v>
      </c>
      <c r="C67" s="603" t="s">
        <v>519</v>
      </c>
      <c r="D67" s="604">
        <v>11424</v>
      </c>
      <c r="E67" s="604">
        <v>12635</v>
      </c>
      <c r="F67" s="604">
        <v>12784</v>
      </c>
      <c r="G67" s="605">
        <v>0.11904761904761904</v>
      </c>
      <c r="H67" s="606">
        <v>32459.3</v>
      </c>
      <c r="I67" s="606"/>
      <c r="J67">
        <v>1.2</v>
      </c>
      <c r="K67">
        <v>1.2</v>
      </c>
      <c r="L67" s="605"/>
      <c r="M67" s="459"/>
      <c r="N67">
        <v>0.56000000000000005</v>
      </c>
      <c r="O67" s="13">
        <v>1.3314762897809196E-4</v>
      </c>
      <c r="P67" s="605"/>
      <c r="Q67" s="605">
        <v>1</v>
      </c>
      <c r="R67" s="605">
        <v>0.6111847542313722</v>
      </c>
      <c r="S67" s="605">
        <v>0.3888152457686278</v>
      </c>
      <c r="T67" s="13"/>
    </row>
    <row r="68" spans="1:20" hidden="1" x14ac:dyDescent="0.2">
      <c r="A68" s="602">
        <v>53758</v>
      </c>
      <c r="B68" s="603" t="s">
        <v>520</v>
      </c>
      <c r="C68" s="603" t="s">
        <v>521</v>
      </c>
      <c r="D68" s="604">
        <v>11124</v>
      </c>
      <c r="E68" s="604">
        <v>11569</v>
      </c>
      <c r="F68" s="604">
        <v>11569</v>
      </c>
      <c r="G68" s="605">
        <v>4.0003595828838549E-2</v>
      </c>
      <c r="H68" s="606">
        <v>33684.54</v>
      </c>
      <c r="I68" s="606"/>
      <c r="J68">
        <v>1.2</v>
      </c>
      <c r="K68">
        <v>1.2</v>
      </c>
      <c r="L68" s="605"/>
      <c r="M68" s="459"/>
      <c r="N68">
        <v>0.56000000000000005</v>
      </c>
      <c r="O68" s="13">
        <v>1.3314762897820298E-4</v>
      </c>
      <c r="P68" s="605"/>
      <c r="Q68" s="605">
        <v>1</v>
      </c>
      <c r="R68" s="605">
        <v>0.58037302530455304</v>
      </c>
      <c r="S68" s="605">
        <v>0.41962697469544696</v>
      </c>
      <c r="T68" s="13"/>
    </row>
    <row r="69" spans="1:20" hidden="1" x14ac:dyDescent="0.2">
      <c r="A69" s="602">
        <v>50328</v>
      </c>
      <c r="B69" s="603" t="s">
        <v>522</v>
      </c>
      <c r="C69" s="603" t="s">
        <v>523</v>
      </c>
      <c r="D69" s="604">
        <v>10472</v>
      </c>
      <c r="E69" s="604">
        <v>8131</v>
      </c>
      <c r="F69" s="604">
        <v>8112</v>
      </c>
      <c r="G69" s="605">
        <v>-0.22536287242169595</v>
      </c>
      <c r="H69" s="606">
        <v>41669.880000000005</v>
      </c>
      <c r="I69" s="606"/>
      <c r="J69">
        <v>1.2</v>
      </c>
      <c r="K69">
        <v>1.2</v>
      </c>
      <c r="L69" s="605"/>
      <c r="M69" s="606">
        <v>16971.942529345302</v>
      </c>
      <c r="N69">
        <v>2.6522019883315213</v>
      </c>
      <c r="O69" s="13">
        <v>2.5369999999999999</v>
      </c>
      <c r="P69" s="605">
        <v>-0.21259802550096699</v>
      </c>
      <c r="Q69" s="605">
        <v>0.59270478990231557</v>
      </c>
      <c r="R69" s="605">
        <v>0.36908091637591162</v>
      </c>
      <c r="S69" s="605">
        <v>0.22362387352640395</v>
      </c>
      <c r="T69" s="13"/>
    </row>
    <row r="70" spans="1:20" hidden="1" x14ac:dyDescent="0.2">
      <c r="A70" s="602">
        <v>29511</v>
      </c>
      <c r="B70" s="603" t="s">
        <v>524</v>
      </c>
      <c r="C70" s="603" t="s">
        <v>525</v>
      </c>
      <c r="D70" s="604">
        <v>10355</v>
      </c>
      <c r="E70" s="604">
        <v>9888</v>
      </c>
      <c r="F70" s="604">
        <v>9888</v>
      </c>
      <c r="G70" s="605">
        <v>-4.5098985997102846E-2</v>
      </c>
      <c r="H70" s="606">
        <v>57221.280000000006</v>
      </c>
      <c r="I70" s="606"/>
      <c r="J70">
        <v>1.2</v>
      </c>
      <c r="K70">
        <v>1.2</v>
      </c>
      <c r="L70" s="605"/>
      <c r="M70" s="606">
        <v>32893.539129858742</v>
      </c>
      <c r="N70">
        <v>3.8866119670164587</v>
      </c>
      <c r="O70" s="13">
        <v>2.677</v>
      </c>
      <c r="P70" s="605">
        <v>0.19527734928431603</v>
      </c>
      <c r="Q70" s="605">
        <v>0.42515198664100595</v>
      </c>
      <c r="R70" s="605">
        <v>0.31378988011872483</v>
      </c>
      <c r="S70" s="605">
        <v>0.11136210652228112</v>
      </c>
      <c r="T70" s="13"/>
    </row>
    <row r="71" spans="1:20" hidden="1" x14ac:dyDescent="0.2">
      <c r="A71" s="602">
        <v>29469</v>
      </c>
      <c r="B71" s="603" t="s">
        <v>526</v>
      </c>
      <c r="C71" s="603" t="s">
        <v>527</v>
      </c>
      <c r="D71" s="604">
        <v>10152</v>
      </c>
      <c r="E71" s="604">
        <v>11256</v>
      </c>
      <c r="F71" s="604">
        <v>11301</v>
      </c>
      <c r="G71" s="605">
        <v>0.11317966903073286</v>
      </c>
      <c r="H71" s="606">
        <v>31604.399999999998</v>
      </c>
      <c r="I71" s="606"/>
      <c r="J71">
        <v>1.2</v>
      </c>
      <c r="K71">
        <v>1.2</v>
      </c>
      <c r="L71" s="605"/>
      <c r="M71" s="459"/>
      <c r="N71">
        <v>0.56000000000000005</v>
      </c>
      <c r="O71" s="13">
        <v>1.3314762897809196E-4</v>
      </c>
      <c r="P71" s="605"/>
      <c r="Q71" s="605">
        <v>1</v>
      </c>
      <c r="R71" s="605">
        <v>0.56989824730675975</v>
      </c>
      <c r="S71" s="605">
        <v>0.43010175269324025</v>
      </c>
      <c r="T71" s="13"/>
    </row>
    <row r="72" spans="1:20" hidden="1" x14ac:dyDescent="0.2">
      <c r="A72" s="602">
        <v>29506</v>
      </c>
      <c r="B72" s="603" t="s">
        <v>528</v>
      </c>
      <c r="C72" s="603" t="s">
        <v>529</v>
      </c>
      <c r="D72" s="604">
        <v>9720</v>
      </c>
      <c r="E72" s="604">
        <v>8006</v>
      </c>
      <c r="F72" s="604">
        <v>10338</v>
      </c>
      <c r="G72" s="605">
        <v>6.3580246913580246E-2</v>
      </c>
      <c r="H72" s="606">
        <v>33701.949999999997</v>
      </c>
      <c r="I72" s="606"/>
      <c r="J72">
        <v>1.2</v>
      </c>
      <c r="K72">
        <v>1.2</v>
      </c>
      <c r="L72" s="605"/>
      <c r="M72" s="459"/>
      <c r="N72">
        <v>0.56000000000000005</v>
      </c>
      <c r="O72" s="13">
        <v>1.3314762897809196E-4</v>
      </c>
      <c r="P72" s="605"/>
      <c r="Q72" s="605">
        <v>1</v>
      </c>
      <c r="R72" s="605">
        <v>0.61845786727972252</v>
      </c>
      <c r="S72" s="605">
        <v>0.38154213272027748</v>
      </c>
      <c r="T72" s="13"/>
    </row>
    <row r="73" spans="1:20" hidden="1" x14ac:dyDescent="0.2">
      <c r="A73" s="602">
        <v>29466</v>
      </c>
      <c r="B73" s="603" t="s">
        <v>530</v>
      </c>
      <c r="C73" s="603" t="s">
        <v>531</v>
      </c>
      <c r="D73" s="604">
        <v>9592</v>
      </c>
      <c r="E73" s="604">
        <v>11839</v>
      </c>
      <c r="F73" s="604">
        <v>11839</v>
      </c>
      <c r="G73" s="605">
        <v>0.23425771476230192</v>
      </c>
      <c r="H73" s="606">
        <v>68659.820000000007</v>
      </c>
      <c r="I73" s="606"/>
      <c r="J73">
        <v>1.2</v>
      </c>
      <c r="K73">
        <v>1.2</v>
      </c>
      <c r="L73" s="605"/>
      <c r="M73" s="606">
        <v>33639.34146192058</v>
      </c>
      <c r="N73">
        <v>3.401400579603056</v>
      </c>
      <c r="O73" s="13">
        <v>2.1269999999999998</v>
      </c>
      <c r="P73" s="605">
        <v>0.25142550639686928</v>
      </c>
      <c r="Q73" s="605">
        <v>0.51005782622324702</v>
      </c>
      <c r="R73" s="605">
        <v>0.40760068097457514</v>
      </c>
      <c r="S73" s="605">
        <v>0.10245714524867189</v>
      </c>
      <c r="T73" s="13"/>
    </row>
    <row r="74" spans="1:20" hidden="1" x14ac:dyDescent="0.2">
      <c r="A74" s="602">
        <v>29463</v>
      </c>
      <c r="B74" s="603" t="s">
        <v>532</v>
      </c>
      <c r="C74" s="603" t="s">
        <v>533</v>
      </c>
      <c r="D74" s="604">
        <v>9396</v>
      </c>
      <c r="E74" s="604">
        <v>8996</v>
      </c>
      <c r="F74" s="604">
        <v>8996</v>
      </c>
      <c r="G74" s="605">
        <v>-4.2571306939123033E-2</v>
      </c>
      <c r="H74" s="606">
        <v>52617.04</v>
      </c>
      <c r="I74" s="606"/>
      <c r="J74">
        <v>1.2</v>
      </c>
      <c r="K74">
        <v>1.2</v>
      </c>
      <c r="L74" s="605"/>
      <c r="M74" s="606">
        <v>23602.824238783734</v>
      </c>
      <c r="N74">
        <v>3.1837021163610197</v>
      </c>
      <c r="O74" s="13">
        <v>2.5870000000000002</v>
      </c>
      <c r="P74" s="605">
        <v>1.398867506038529E-2</v>
      </c>
      <c r="Q74" s="605">
        <v>0.55142242439362354</v>
      </c>
      <c r="R74" s="605">
        <v>0.35821750987398904</v>
      </c>
      <c r="S74" s="605">
        <v>0.19320491451963451</v>
      </c>
      <c r="T74" s="13"/>
    </row>
    <row r="75" spans="1:20" hidden="1" x14ac:dyDescent="0.2">
      <c r="A75" s="602">
        <v>29485</v>
      </c>
      <c r="B75" s="603" t="s">
        <v>534</v>
      </c>
      <c r="C75" s="603" t="s">
        <v>535</v>
      </c>
      <c r="D75" s="604">
        <v>9374</v>
      </c>
      <c r="E75" s="604">
        <v>9283</v>
      </c>
      <c r="F75" s="604">
        <v>9299</v>
      </c>
      <c r="G75" s="605">
        <v>-8.0008534243652656E-3</v>
      </c>
      <c r="H75" s="606">
        <v>45339.31</v>
      </c>
      <c r="I75" s="606"/>
      <c r="J75">
        <v>1.2</v>
      </c>
      <c r="K75">
        <v>1.1999999999999997</v>
      </c>
      <c r="L75" s="605"/>
      <c r="M75" s="606">
        <v>13562.91152474971</v>
      </c>
      <c r="N75">
        <v>2.0185344149639435</v>
      </c>
      <c r="O75" s="13">
        <v>1.167</v>
      </c>
      <c r="P75" s="605">
        <v>0.1998817525132929</v>
      </c>
      <c r="Q75" s="605">
        <v>0.70085756654104991</v>
      </c>
      <c r="R75" s="605">
        <v>0.41786567217515314</v>
      </c>
      <c r="S75" s="605">
        <v>0.28299189436589678</v>
      </c>
      <c r="T75" s="13"/>
    </row>
    <row r="76" spans="1:20" hidden="1" x14ac:dyDescent="0.2">
      <c r="A76" s="602">
        <v>54245</v>
      </c>
      <c r="B76" s="603" t="s">
        <v>536</v>
      </c>
      <c r="C76" s="603" t="s">
        <v>537</v>
      </c>
      <c r="D76" s="604">
        <v>9180</v>
      </c>
      <c r="E76" s="604">
        <v>7392</v>
      </c>
      <c r="F76" s="604">
        <v>7756</v>
      </c>
      <c r="G76" s="605">
        <v>-0.15511982570806102</v>
      </c>
      <c r="H76" s="606">
        <v>47499.679999999993</v>
      </c>
      <c r="I76" s="606"/>
      <c r="J76">
        <v>1.2</v>
      </c>
      <c r="K76">
        <v>1.4015983772819474</v>
      </c>
      <c r="L76" s="605"/>
      <c r="M76" s="606">
        <v>22439.260324063769</v>
      </c>
      <c r="N76">
        <v>3.4531485719525232</v>
      </c>
      <c r="O76" s="13">
        <v>2.6685983772819473</v>
      </c>
      <c r="P76" s="605">
        <v>7.7614470562440516E-2</v>
      </c>
      <c r="Q76" s="605">
        <v>0.52759133695082217</v>
      </c>
      <c r="R76" s="605">
        <v>0.30764999289634676</v>
      </c>
      <c r="S76" s="605">
        <v>0.21994134405447541</v>
      </c>
      <c r="T76" s="13"/>
    </row>
    <row r="77" spans="1:20" hidden="1" x14ac:dyDescent="0.2">
      <c r="A77" s="602">
        <v>52792</v>
      </c>
      <c r="B77" s="603" t="s">
        <v>538</v>
      </c>
      <c r="C77" s="603" t="s">
        <v>539</v>
      </c>
      <c r="D77" s="604">
        <v>8325</v>
      </c>
      <c r="E77" s="604">
        <v>8035</v>
      </c>
      <c r="F77" s="604"/>
      <c r="G77" s="605">
        <v>-1</v>
      </c>
      <c r="H77" s="606"/>
      <c r="I77" s="606"/>
      <c r="J77">
        <v>1.2</v>
      </c>
      <c r="K77">
        <v>2.44</v>
      </c>
      <c r="L77" s="605"/>
      <c r="M77" s="606"/>
      <c r="N77">
        <v>0.56000000000000005</v>
      </c>
      <c r="O77" s="13">
        <v>1.5</v>
      </c>
      <c r="P77" s="605"/>
      <c r="Q77" s="605"/>
      <c r="R77" s="605">
        <v>0.41870556749217835</v>
      </c>
      <c r="S77" s="605">
        <v>-0.41870556749217835</v>
      </c>
      <c r="T77" s="13"/>
    </row>
    <row r="78" spans="1:20" hidden="1" x14ac:dyDescent="0.2">
      <c r="A78" s="602">
        <v>29433</v>
      </c>
      <c r="B78" s="603" t="s">
        <v>540</v>
      </c>
      <c r="C78" s="603" t="s">
        <v>541</v>
      </c>
      <c r="D78" s="604">
        <v>7560</v>
      </c>
      <c r="E78" s="604">
        <v>7620</v>
      </c>
      <c r="F78" s="604">
        <v>7620</v>
      </c>
      <c r="G78" s="605">
        <v>7.9365079365079361E-3</v>
      </c>
      <c r="H78" s="606">
        <v>43871.400000000009</v>
      </c>
      <c r="I78" s="606"/>
      <c r="J78">
        <v>1.2</v>
      </c>
      <c r="K78">
        <v>1.2</v>
      </c>
      <c r="L78" s="605"/>
      <c r="M78" s="606">
        <v>21303.657069707144</v>
      </c>
      <c r="N78">
        <v>3.3557555209589429</v>
      </c>
      <c r="O78" s="13">
        <v>3.2869999999999999</v>
      </c>
      <c r="P78" s="605">
        <v>-0.17571081425337234</v>
      </c>
      <c r="Q78" s="605">
        <v>0.51440671896253276</v>
      </c>
      <c r="R78" s="605">
        <v>0.3129147526033727</v>
      </c>
      <c r="S78" s="605">
        <v>0.20149196635916006</v>
      </c>
      <c r="T78" s="13"/>
    </row>
    <row r="79" spans="1:20" hidden="1" x14ac:dyDescent="0.2">
      <c r="A79" s="602">
        <v>29487</v>
      </c>
      <c r="B79" s="603" t="s">
        <v>542</v>
      </c>
      <c r="C79" s="603" t="s">
        <v>543</v>
      </c>
      <c r="D79" s="604">
        <v>7412</v>
      </c>
      <c r="E79" s="604">
        <v>7970</v>
      </c>
      <c r="F79" s="604">
        <v>8010</v>
      </c>
      <c r="G79" s="605">
        <v>8.0679978413383702E-2</v>
      </c>
      <c r="H79" s="606">
        <v>51112.800000000003</v>
      </c>
      <c r="I79" s="606"/>
      <c r="J79">
        <v>1.2</v>
      </c>
      <c r="K79">
        <v>1.2</v>
      </c>
      <c r="L79" s="605"/>
      <c r="M79" s="606">
        <v>24512.129569634621</v>
      </c>
      <c r="N79">
        <v>3.6201909575074431</v>
      </c>
      <c r="O79" s="13">
        <v>2.1070000000000002</v>
      </c>
      <c r="P79" s="605">
        <v>0.31148087512938299</v>
      </c>
      <c r="Q79" s="605">
        <v>0.52043070288392301</v>
      </c>
      <c r="R79" s="605">
        <v>0.42700360209561739</v>
      </c>
      <c r="S79" s="605">
        <v>9.3427100788305628E-2</v>
      </c>
      <c r="T79" s="13"/>
    </row>
    <row r="80" spans="1:20" hidden="1" x14ac:dyDescent="0.2">
      <c r="A80" s="602">
        <v>29422</v>
      </c>
      <c r="B80" s="603" t="s">
        <v>544</v>
      </c>
      <c r="C80" s="603" t="s">
        <v>545</v>
      </c>
      <c r="D80" s="604">
        <v>7276</v>
      </c>
      <c r="E80" s="604">
        <v>4500</v>
      </c>
      <c r="F80" s="604">
        <v>4607</v>
      </c>
      <c r="G80" s="605">
        <v>-0.36682242990654207</v>
      </c>
      <c r="H80" s="606">
        <v>14316.21</v>
      </c>
      <c r="I80" s="606"/>
      <c r="J80">
        <v>1.2</v>
      </c>
      <c r="K80">
        <v>1.3446409736308316</v>
      </c>
      <c r="L80" s="605"/>
      <c r="M80" s="459"/>
      <c r="N80">
        <v>0.56000000000000005</v>
      </c>
      <c r="O80" s="13">
        <v>0</v>
      </c>
      <c r="P80" s="605"/>
      <c r="Q80" s="605">
        <v>1</v>
      </c>
      <c r="R80" s="605">
        <v>0.56284289941195198</v>
      </c>
      <c r="S80" s="605">
        <v>0.43715710058804802</v>
      </c>
      <c r="T80" s="13"/>
    </row>
    <row r="81" spans="1:20" hidden="1" x14ac:dyDescent="0.2">
      <c r="A81" s="602">
        <v>29483</v>
      </c>
      <c r="B81" s="603" t="s">
        <v>546</v>
      </c>
      <c r="C81" s="603" t="s">
        <v>547</v>
      </c>
      <c r="D81" s="604">
        <v>6480</v>
      </c>
      <c r="E81" s="604">
        <v>5244</v>
      </c>
      <c r="F81" s="604">
        <v>4347</v>
      </c>
      <c r="G81" s="605">
        <v>-0.32916666666666666</v>
      </c>
      <c r="H81" s="606">
        <v>39244.290000000008</v>
      </c>
      <c r="I81" s="606"/>
      <c r="J81">
        <v>1.2</v>
      </c>
      <c r="K81">
        <v>1.2</v>
      </c>
      <c r="L81" s="605"/>
      <c r="M81" s="606">
        <v>23199.695145124679</v>
      </c>
      <c r="N81">
        <v>5.8969439027201922</v>
      </c>
      <c r="O81" s="13">
        <v>2.7297807472203983</v>
      </c>
      <c r="P81" s="605">
        <v>0.48851237768696548</v>
      </c>
      <c r="Q81" s="605">
        <v>0.4088389637033904</v>
      </c>
      <c r="R81" s="605">
        <v>0.43606550818431916</v>
      </c>
      <c r="S81" s="605">
        <v>-2.722654448092876E-2</v>
      </c>
      <c r="T81" s="13"/>
    </row>
    <row r="82" spans="1:20" hidden="1" x14ac:dyDescent="0.2">
      <c r="A82" s="602">
        <v>52751</v>
      </c>
      <c r="B82" s="603" t="s">
        <v>548</v>
      </c>
      <c r="C82" s="603" t="s">
        <v>549</v>
      </c>
      <c r="D82" s="604">
        <v>6313</v>
      </c>
      <c r="E82" s="604">
        <v>2524</v>
      </c>
      <c r="F82" s="604">
        <v>2524</v>
      </c>
      <c r="G82" s="605">
        <v>-0.60019008395374629</v>
      </c>
      <c r="H82" s="606">
        <v>14657.600000000002</v>
      </c>
      <c r="I82" s="606"/>
      <c r="J82">
        <v>1.2</v>
      </c>
      <c r="K82">
        <v>1.2</v>
      </c>
      <c r="L82" s="605"/>
      <c r="M82" s="606">
        <v>11144.971180571036</v>
      </c>
      <c r="N82">
        <v>4.9755987244734694</v>
      </c>
      <c r="O82" s="13">
        <v>1.6869999999999998</v>
      </c>
      <c r="P82" s="605">
        <v>0.61794535571137899</v>
      </c>
      <c r="Q82" s="605">
        <v>0.23964556403701601</v>
      </c>
      <c r="R82" s="605">
        <v>0.54208872115721563</v>
      </c>
      <c r="S82" s="605">
        <v>-0.30244315712019965</v>
      </c>
      <c r="T82" s="13"/>
    </row>
    <row r="83" spans="1:20" hidden="1" x14ac:dyDescent="0.2">
      <c r="A83" s="602">
        <v>53756</v>
      </c>
      <c r="B83" s="603" t="s">
        <v>550</v>
      </c>
      <c r="C83" s="603" t="s">
        <v>551</v>
      </c>
      <c r="D83" s="604">
        <v>5800</v>
      </c>
      <c r="E83" s="604">
        <v>5722</v>
      </c>
      <c r="F83" s="604">
        <v>5722</v>
      </c>
      <c r="G83" s="605">
        <v>-1.3448275862068966E-2</v>
      </c>
      <c r="H83" s="606">
        <v>26778.959999999999</v>
      </c>
      <c r="I83" s="606"/>
      <c r="J83">
        <v>1.2</v>
      </c>
      <c r="K83">
        <v>2.17</v>
      </c>
      <c r="L83" s="605"/>
      <c r="M83" s="606"/>
      <c r="N83">
        <v>0.56000000000000005</v>
      </c>
      <c r="O83" s="13">
        <v>0</v>
      </c>
      <c r="P83" s="605"/>
      <c r="Q83" s="605">
        <v>1</v>
      </c>
      <c r="R83" s="605">
        <v>0.53594799195928322</v>
      </c>
      <c r="S83" s="605">
        <v>0.46405200804071678</v>
      </c>
      <c r="T83" s="13"/>
    </row>
    <row r="84" spans="1:20" hidden="1" x14ac:dyDescent="0.2">
      <c r="A84" s="602">
        <v>29398</v>
      </c>
      <c r="B84" s="603" t="s">
        <v>552</v>
      </c>
      <c r="C84" s="603" t="s">
        <v>553</v>
      </c>
      <c r="D84" s="604">
        <v>5184</v>
      </c>
      <c r="E84" s="604">
        <v>5027</v>
      </c>
      <c r="F84" s="604">
        <v>6652</v>
      </c>
      <c r="G84" s="605">
        <v>0.28317901234567899</v>
      </c>
      <c r="H84" s="606">
        <v>24830.880000000001</v>
      </c>
      <c r="I84" s="606"/>
      <c r="J84">
        <v>1.2</v>
      </c>
      <c r="K84">
        <v>1.6900000000000002</v>
      </c>
      <c r="L84" s="605"/>
      <c r="M84" s="606">
        <v>10442.608672969962</v>
      </c>
      <c r="N84">
        <v>2.1298449598571798</v>
      </c>
      <c r="O84" s="13">
        <v>1</v>
      </c>
      <c r="P84" s="605">
        <v>0.36299441946739941</v>
      </c>
      <c r="Q84" s="605">
        <v>0.57945072132079245</v>
      </c>
      <c r="R84" s="605">
        <v>0.4229756186538578</v>
      </c>
      <c r="S84" s="605">
        <v>0.15647510266693465</v>
      </c>
      <c r="T84" s="13"/>
    </row>
    <row r="85" spans="1:20" hidden="1" x14ac:dyDescent="0.2">
      <c r="A85" s="602">
        <v>29395</v>
      </c>
      <c r="B85" s="603" t="s">
        <v>554</v>
      </c>
      <c r="C85" s="603" t="s">
        <v>555</v>
      </c>
      <c r="D85" s="604">
        <v>4770</v>
      </c>
      <c r="E85" s="604">
        <v>4747</v>
      </c>
      <c r="F85" s="604">
        <v>4949</v>
      </c>
      <c r="G85" s="605">
        <v>3.7526205450733756E-2</v>
      </c>
      <c r="H85" s="606">
        <v>23633.34</v>
      </c>
      <c r="I85" s="606"/>
      <c r="J85">
        <v>1.2</v>
      </c>
      <c r="K85">
        <v>1.2</v>
      </c>
      <c r="L85" s="605"/>
      <c r="M85" s="606">
        <v>4578.9760063033027</v>
      </c>
      <c r="N85">
        <v>1.4852325735104674</v>
      </c>
      <c r="O85" s="13">
        <v>0.77157471197640892</v>
      </c>
      <c r="P85" s="605">
        <v>0.16607485072759384</v>
      </c>
      <c r="Q85" s="605">
        <v>0.80624930685619123</v>
      </c>
      <c r="R85" s="605">
        <v>0.53805885471557635</v>
      </c>
      <c r="S85" s="605">
        <v>0.26819045214061488</v>
      </c>
      <c r="T85" s="13"/>
    </row>
    <row r="86" spans="1:20" hidden="1" x14ac:dyDescent="0.2">
      <c r="A86" s="602">
        <v>53366</v>
      </c>
      <c r="B86" s="603" t="s">
        <v>556</v>
      </c>
      <c r="C86" s="603" t="s">
        <v>557</v>
      </c>
      <c r="D86" s="604">
        <v>4752</v>
      </c>
      <c r="E86" s="604">
        <v>4264</v>
      </c>
      <c r="F86" s="604">
        <v>4264</v>
      </c>
      <c r="G86" s="605">
        <v>-0.1026936026936027</v>
      </c>
      <c r="H86" s="606">
        <v>12536.16</v>
      </c>
      <c r="I86" s="606"/>
      <c r="J86">
        <v>1.2</v>
      </c>
      <c r="K86">
        <v>1.2</v>
      </c>
      <c r="L86" s="605"/>
      <c r="M86" s="459"/>
      <c r="N86">
        <v>0.56000000000000005</v>
      </c>
      <c r="O86" s="13">
        <v>1.3314762897809196E-4</v>
      </c>
      <c r="P86" s="605"/>
      <c r="Q86" s="605">
        <v>1</v>
      </c>
      <c r="R86" s="605">
        <v>0.5919579941421943</v>
      </c>
      <c r="S86" s="605">
        <v>0.4080420058578057</v>
      </c>
      <c r="T86" s="13"/>
    </row>
    <row r="87" spans="1:20" hidden="1" x14ac:dyDescent="0.2">
      <c r="A87" s="602">
        <v>54164</v>
      </c>
      <c r="B87" s="603" t="s">
        <v>558</v>
      </c>
      <c r="C87" s="603" t="s">
        <v>559</v>
      </c>
      <c r="D87" s="604">
        <v>4366</v>
      </c>
      <c r="E87" s="604">
        <v>7193</v>
      </c>
      <c r="F87" s="604">
        <v>3056</v>
      </c>
      <c r="G87" s="605">
        <v>-0.30004580852038482</v>
      </c>
      <c r="H87" s="606">
        <v>20732.91</v>
      </c>
      <c r="I87" s="606"/>
      <c r="J87">
        <v>1.2</v>
      </c>
      <c r="K87">
        <v>1.75</v>
      </c>
      <c r="L87" s="605"/>
      <c r="M87" s="606">
        <v>5637.7768594734989</v>
      </c>
      <c r="N87">
        <v>2.4048222707701239</v>
      </c>
      <c r="O87" s="13">
        <v>2.2999999999999998</v>
      </c>
      <c r="P87" s="605">
        <v>-0.24673256412925951</v>
      </c>
      <c r="Q87" s="605">
        <v>0.72807594980764889</v>
      </c>
      <c r="R87" s="605">
        <v>0.38937555388915401</v>
      </c>
      <c r="S87" s="605">
        <v>0.33870039591849488</v>
      </c>
      <c r="T87" s="13"/>
    </row>
    <row r="88" spans="1:20" hidden="1" x14ac:dyDescent="0.2">
      <c r="A88" s="602">
        <v>53470</v>
      </c>
      <c r="B88" s="603" t="s">
        <v>560</v>
      </c>
      <c r="C88" s="603" t="s">
        <v>561</v>
      </c>
      <c r="D88" s="604">
        <v>4320</v>
      </c>
      <c r="E88" s="604">
        <v>4760</v>
      </c>
      <c r="F88" s="604">
        <v>4760</v>
      </c>
      <c r="G88" s="605">
        <v>0.10185185185185185</v>
      </c>
      <c r="H88" s="606">
        <v>15858</v>
      </c>
      <c r="I88" s="606"/>
      <c r="J88">
        <v>1.2</v>
      </c>
      <c r="K88">
        <v>1.2</v>
      </c>
      <c r="L88" s="605"/>
      <c r="M88" s="459"/>
      <c r="N88">
        <v>0.56000000000000005</v>
      </c>
      <c r="O88" s="13">
        <v>1.3314762897820298E-4</v>
      </c>
      <c r="P88" s="605"/>
      <c r="Q88" s="605">
        <v>1</v>
      </c>
      <c r="R88" s="605">
        <v>0.63632328859727927</v>
      </c>
      <c r="S88" s="605">
        <v>0.36367671140272073</v>
      </c>
      <c r="T88" s="13"/>
    </row>
    <row r="89" spans="1:20" hidden="1" x14ac:dyDescent="0.2">
      <c r="A89" s="602">
        <v>29418</v>
      </c>
      <c r="B89" s="603" t="s">
        <v>562</v>
      </c>
      <c r="C89" s="603" t="s">
        <v>563</v>
      </c>
      <c r="D89" s="604">
        <v>4290</v>
      </c>
      <c r="E89" s="604">
        <v>4234</v>
      </c>
      <c r="F89" s="604">
        <v>4284</v>
      </c>
      <c r="G89" s="605">
        <v>-1.3986013986013986E-3</v>
      </c>
      <c r="H89" s="606">
        <v>14726.76</v>
      </c>
      <c r="I89" s="606"/>
      <c r="J89">
        <v>1.2</v>
      </c>
      <c r="K89">
        <v>1.1000000000000001</v>
      </c>
      <c r="L89" s="605"/>
      <c r="M89" s="606"/>
      <c r="N89">
        <v>0.56000000000000005</v>
      </c>
      <c r="O89" s="13">
        <v>1.444740378313103E-3</v>
      </c>
      <c r="P89" s="605"/>
      <c r="Q89" s="605">
        <v>1</v>
      </c>
      <c r="R89" s="605">
        <v>0.69938917967718306</v>
      </c>
      <c r="S89" s="605">
        <v>0.30061082032281694</v>
      </c>
      <c r="T89" s="13"/>
    </row>
    <row r="90" spans="1:20" hidden="1" x14ac:dyDescent="0.2">
      <c r="A90" s="602">
        <v>29537</v>
      </c>
      <c r="B90" s="603" t="s">
        <v>564</v>
      </c>
      <c r="C90" s="603" t="s">
        <v>565</v>
      </c>
      <c r="D90" s="604">
        <v>4200</v>
      </c>
      <c r="E90" s="604">
        <v>2978</v>
      </c>
      <c r="F90" s="604">
        <v>4241</v>
      </c>
      <c r="G90" s="605">
        <v>9.7619047619047616E-3</v>
      </c>
      <c r="H90" s="606">
        <v>15166.580000000002</v>
      </c>
      <c r="I90" s="606"/>
      <c r="J90">
        <v>1.2</v>
      </c>
      <c r="K90">
        <v>1.2</v>
      </c>
      <c r="L90" s="605"/>
      <c r="M90" s="459"/>
      <c r="N90">
        <v>0.56000000000000005</v>
      </c>
      <c r="O90" s="13">
        <v>1.3314762897820298E-4</v>
      </c>
      <c r="P90" s="605"/>
      <c r="Q90" s="605">
        <v>1</v>
      </c>
      <c r="R90" s="605">
        <v>0.65308262414635532</v>
      </c>
      <c r="S90" s="605">
        <v>0.34691737585364468</v>
      </c>
      <c r="T90" s="13"/>
    </row>
    <row r="91" spans="1:20" hidden="1" x14ac:dyDescent="0.2">
      <c r="A91" s="602">
        <v>29530</v>
      </c>
      <c r="B91" s="603" t="s">
        <v>566</v>
      </c>
      <c r="C91" s="603" t="s">
        <v>567</v>
      </c>
      <c r="D91" s="604">
        <v>4060</v>
      </c>
      <c r="E91" s="604">
        <v>709</v>
      </c>
      <c r="F91" s="604">
        <v>709</v>
      </c>
      <c r="G91" s="605">
        <v>-0.82536945812807883</v>
      </c>
      <c r="H91" s="606">
        <v>3768.26</v>
      </c>
      <c r="I91" s="606"/>
      <c r="J91">
        <v>1.2</v>
      </c>
      <c r="K91">
        <v>1.2</v>
      </c>
      <c r="L91" s="605"/>
      <c r="M91" s="459"/>
      <c r="N91">
        <v>0.56000000000000005</v>
      </c>
      <c r="O91" s="13">
        <v>1.3314762897809196E-4</v>
      </c>
      <c r="P91" s="605"/>
      <c r="Q91" s="605">
        <v>1</v>
      </c>
      <c r="R91" s="605">
        <v>0.75693505870805511</v>
      </c>
      <c r="S91" s="605">
        <v>0.24306494129194489</v>
      </c>
      <c r="T91" s="13"/>
    </row>
    <row r="92" spans="1:20" hidden="1" x14ac:dyDescent="0.2">
      <c r="A92" s="602">
        <v>51179</v>
      </c>
      <c r="B92" s="603" t="s">
        <v>568</v>
      </c>
      <c r="C92" s="603" t="s">
        <v>569</v>
      </c>
      <c r="D92" s="604">
        <v>4048</v>
      </c>
      <c r="E92" s="604">
        <v>3031</v>
      </c>
      <c r="F92" s="604">
        <v>1996</v>
      </c>
      <c r="G92" s="605">
        <v>-0.50691699604743079</v>
      </c>
      <c r="H92" s="606">
        <v>8783.9399999999987</v>
      </c>
      <c r="I92" s="606"/>
      <c r="J92">
        <v>1.2</v>
      </c>
      <c r="K92">
        <v>1.2</v>
      </c>
      <c r="L92" s="605"/>
      <c r="M92" s="606">
        <v>5755.07173007045</v>
      </c>
      <c r="N92">
        <v>3.4433024699751753</v>
      </c>
      <c r="O92" s="13">
        <v>0.95552422394678482</v>
      </c>
      <c r="P92" s="605">
        <v>0.66860076807862212</v>
      </c>
      <c r="Q92" s="605">
        <v>0.34481887056714289</v>
      </c>
      <c r="R92" s="605">
        <v>0.61656179527102528</v>
      </c>
      <c r="S92" s="605">
        <v>-0.27174292470388239</v>
      </c>
      <c r="T92" s="13"/>
    </row>
    <row r="93" spans="1:20" hidden="1" x14ac:dyDescent="0.2">
      <c r="A93" s="602">
        <v>29442</v>
      </c>
      <c r="B93" s="603" t="s">
        <v>570</v>
      </c>
      <c r="C93" s="603" t="s">
        <v>571</v>
      </c>
      <c r="D93" s="604">
        <v>3815</v>
      </c>
      <c r="E93" s="604">
        <v>4230</v>
      </c>
      <c r="F93" s="604">
        <v>4230</v>
      </c>
      <c r="G93" s="605">
        <v>0.10878112712975098</v>
      </c>
      <c r="H93" s="606">
        <v>18142.2</v>
      </c>
      <c r="I93" s="606"/>
      <c r="J93">
        <v>1.2</v>
      </c>
      <c r="K93">
        <v>1.2</v>
      </c>
      <c r="M93" s="606">
        <v>4996.1443829586824</v>
      </c>
      <c r="N93">
        <v>1.7411216035363315</v>
      </c>
      <c r="O93" s="13">
        <v>1.0725304079029505</v>
      </c>
      <c r="P93">
        <v>9.1939047857776873E-2</v>
      </c>
      <c r="Q93" s="605">
        <v>0.72461198846012709</v>
      </c>
      <c r="R93" s="605">
        <v>0.48627059541701717</v>
      </c>
      <c r="S93" s="605">
        <v>0.23834139304310992</v>
      </c>
      <c r="T93" s="13"/>
    </row>
    <row r="94" spans="1:20" hidden="1" x14ac:dyDescent="0.2">
      <c r="A94" s="602">
        <v>54003</v>
      </c>
      <c r="B94" s="603" t="s">
        <v>572</v>
      </c>
      <c r="C94" s="603" t="s">
        <v>573</v>
      </c>
      <c r="D94" s="604">
        <v>3534</v>
      </c>
      <c r="E94" s="604">
        <v>3319</v>
      </c>
      <c r="F94" s="604">
        <v>3319</v>
      </c>
      <c r="G94" s="605">
        <v>-6.0837577815506506E-2</v>
      </c>
      <c r="H94" s="606">
        <v>11118.65</v>
      </c>
      <c r="I94" s="606"/>
      <c r="J94">
        <v>1.2</v>
      </c>
      <c r="K94">
        <v>1.28</v>
      </c>
      <c r="M94" s="459"/>
      <c r="N94">
        <v>0.56000000000000005</v>
      </c>
      <c r="O94" s="13">
        <v>0</v>
      </c>
      <c r="Q94" s="605">
        <v>1</v>
      </c>
      <c r="R94" s="605">
        <v>0.61791367514148154</v>
      </c>
      <c r="S94" s="605">
        <v>0.38208632485851846</v>
      </c>
      <c r="T94" s="13"/>
    </row>
    <row r="95" spans="1:20" hidden="1" x14ac:dyDescent="0.2">
      <c r="A95" s="602">
        <v>29502</v>
      </c>
      <c r="B95" s="603" t="s">
        <v>574</v>
      </c>
      <c r="C95" s="603" t="s">
        <v>575</v>
      </c>
      <c r="D95" s="604">
        <v>3441</v>
      </c>
      <c r="E95" s="604">
        <v>3441</v>
      </c>
      <c r="F95" s="604">
        <v>3441</v>
      </c>
      <c r="G95" s="605">
        <v>0</v>
      </c>
      <c r="H95" s="606">
        <v>13381.68</v>
      </c>
      <c r="I95" s="606"/>
      <c r="J95">
        <v>1.2</v>
      </c>
      <c r="K95">
        <v>1.6489736070381231</v>
      </c>
      <c r="L95" s="605"/>
      <c r="M95" s="606"/>
      <c r="N95">
        <v>0.56000000000000005</v>
      </c>
      <c r="O95" s="13">
        <v>0</v>
      </c>
      <c r="P95" s="605"/>
      <c r="Q95" s="605">
        <v>1</v>
      </c>
      <c r="R95" s="605">
        <v>0.54561616161616167</v>
      </c>
      <c r="S95" s="605">
        <v>0.45438383838383833</v>
      </c>
      <c r="T95" s="13"/>
    </row>
    <row r="96" spans="1:20" hidden="1" x14ac:dyDescent="0.2">
      <c r="A96" s="602">
        <v>29464</v>
      </c>
      <c r="B96" s="603" t="s">
        <v>576</v>
      </c>
      <c r="C96" s="603" t="s">
        <v>577</v>
      </c>
      <c r="D96" s="604">
        <v>3410</v>
      </c>
      <c r="E96" s="604">
        <v>3385</v>
      </c>
      <c r="F96" s="604">
        <v>3478</v>
      </c>
      <c r="G96" s="605">
        <v>1.994134897360704E-2</v>
      </c>
      <c r="H96" s="606">
        <v>11929.54</v>
      </c>
      <c r="I96" s="606"/>
      <c r="J96">
        <v>1.2</v>
      </c>
      <c r="K96">
        <v>1.95</v>
      </c>
      <c r="L96" s="605"/>
      <c r="M96" s="606"/>
      <c r="N96">
        <v>0.56000000000000005</v>
      </c>
      <c r="O96" s="13">
        <v>0</v>
      </c>
      <c r="P96" s="605"/>
      <c r="Q96" s="605">
        <v>1</v>
      </c>
      <c r="R96" s="605">
        <v>0.43221189461178278</v>
      </c>
      <c r="S96" s="605">
        <v>0.56778810538821722</v>
      </c>
      <c r="T96" s="13"/>
    </row>
    <row r="97" spans="1:20" hidden="1" x14ac:dyDescent="0.2">
      <c r="A97" s="602">
        <v>51869</v>
      </c>
      <c r="B97" s="603" t="s">
        <v>578</v>
      </c>
      <c r="C97" s="603" t="s">
        <v>579</v>
      </c>
      <c r="D97" s="604">
        <v>3393</v>
      </c>
      <c r="E97" s="604">
        <v>3205</v>
      </c>
      <c r="F97" s="604">
        <v>3172</v>
      </c>
      <c r="G97" s="605">
        <v>-6.5134099616858232E-2</v>
      </c>
      <c r="H97" s="606">
        <v>22232.799999999999</v>
      </c>
      <c r="I97" s="606"/>
      <c r="J97">
        <v>1.2</v>
      </c>
      <c r="K97">
        <v>1.2</v>
      </c>
      <c r="M97" s="606">
        <v>4893.8220426399557</v>
      </c>
      <c r="N97">
        <v>2.1028190550567327</v>
      </c>
      <c r="O97" s="13">
        <v>1.7519419471944317</v>
      </c>
      <c r="P97">
        <v>-0.1355459614348678</v>
      </c>
      <c r="Q97" s="605">
        <v>0.7798827838760769</v>
      </c>
      <c r="R97" s="605">
        <v>0.56356622637004328</v>
      </c>
      <c r="S97" s="605">
        <v>0.21631655750603362</v>
      </c>
      <c r="T97" s="13"/>
    </row>
    <row r="98" spans="1:20" hidden="1" x14ac:dyDescent="0.2">
      <c r="A98" s="602">
        <v>29519</v>
      </c>
      <c r="B98" s="603" t="s">
        <v>580</v>
      </c>
      <c r="C98" s="603" t="s">
        <v>581</v>
      </c>
      <c r="D98" s="604">
        <v>3330</v>
      </c>
      <c r="E98" s="604">
        <v>6166</v>
      </c>
      <c r="F98" s="604">
        <v>4162</v>
      </c>
      <c r="G98" s="605">
        <v>0.24984984984984984</v>
      </c>
      <c r="H98" s="606">
        <v>16032.360000000002</v>
      </c>
      <c r="I98" s="606"/>
      <c r="J98">
        <v>1.2</v>
      </c>
      <c r="K98">
        <v>1.2</v>
      </c>
      <c r="L98" s="605"/>
      <c r="M98" s="459"/>
      <c r="N98">
        <v>0.56000000000000005</v>
      </c>
      <c r="O98" s="13">
        <v>1.3314762897809196E-4</v>
      </c>
      <c r="P98" s="605"/>
      <c r="Q98" s="605">
        <v>1</v>
      </c>
      <c r="R98" s="605">
        <v>0.68965985308712252</v>
      </c>
      <c r="S98" s="605">
        <v>0.31034014691287748</v>
      </c>
      <c r="T98" s="13"/>
    </row>
    <row r="99" spans="1:20" hidden="1" x14ac:dyDescent="0.2">
      <c r="A99" s="602">
        <v>53953</v>
      </c>
      <c r="B99" s="603" t="s">
        <v>582</v>
      </c>
      <c r="C99" s="603" t="s">
        <v>583</v>
      </c>
      <c r="D99" s="604">
        <v>3162</v>
      </c>
      <c r="E99" s="604">
        <v>2623</v>
      </c>
      <c r="F99" s="604">
        <v>2141</v>
      </c>
      <c r="G99" s="605">
        <v>-0.32289690069576216</v>
      </c>
      <c r="H99" s="606">
        <v>6958.25</v>
      </c>
      <c r="I99" s="606"/>
      <c r="J99">
        <v>1.2</v>
      </c>
      <c r="K99">
        <v>1.28</v>
      </c>
      <c r="L99" s="605"/>
      <c r="M99" s="606"/>
      <c r="N99">
        <v>0.56000000000000005</v>
      </c>
      <c r="O99" s="13">
        <v>0</v>
      </c>
      <c r="P99" s="605"/>
      <c r="Q99" s="605">
        <v>1</v>
      </c>
      <c r="R99" s="605">
        <v>0.60615384615384615</v>
      </c>
      <c r="S99" s="605">
        <v>0.39384615384615385</v>
      </c>
      <c r="T99" s="13"/>
    </row>
    <row r="100" spans="1:20" hidden="1" x14ac:dyDescent="0.2">
      <c r="A100" s="602">
        <v>51136</v>
      </c>
      <c r="B100" s="603" t="s">
        <v>584</v>
      </c>
      <c r="C100" s="603" t="s">
        <v>585</v>
      </c>
      <c r="D100" s="604">
        <v>3074</v>
      </c>
      <c r="E100" s="604">
        <v>3451</v>
      </c>
      <c r="F100" s="604">
        <v>3527</v>
      </c>
      <c r="G100" s="605">
        <v>0.14736499674690956</v>
      </c>
      <c r="H100" s="606">
        <v>18316.920000000002</v>
      </c>
      <c r="I100" s="606"/>
      <c r="J100">
        <v>1.2</v>
      </c>
      <c r="K100">
        <v>1.76</v>
      </c>
      <c r="L100" s="605"/>
      <c r="M100" s="606">
        <v>1819.5561290322564</v>
      </c>
      <c r="N100">
        <v>1.0758934304032484</v>
      </c>
      <c r="O100" s="13">
        <v>1.144163305139883</v>
      </c>
      <c r="P100" s="605">
        <v>-1.2178287950779825</v>
      </c>
      <c r="Q100" s="605">
        <v>0.90066254976097215</v>
      </c>
      <c r="R100" s="605">
        <v>0.44763448412488471</v>
      </c>
      <c r="S100" s="605">
        <v>0.45302806563608744</v>
      </c>
      <c r="T100" s="13"/>
    </row>
    <row r="101" spans="1:20" hidden="1" x14ac:dyDescent="0.2">
      <c r="A101" s="602">
        <v>52743</v>
      </c>
      <c r="B101" s="603" t="s">
        <v>586</v>
      </c>
      <c r="C101" s="603" t="s">
        <v>587</v>
      </c>
      <c r="D101" s="604">
        <v>2628</v>
      </c>
      <c r="E101" s="604">
        <v>7915</v>
      </c>
      <c r="F101" s="604">
        <v>2326</v>
      </c>
      <c r="G101" s="605">
        <v>-0.11491628614916286</v>
      </c>
      <c r="H101" s="606">
        <v>12675.42</v>
      </c>
      <c r="I101" s="606"/>
      <c r="J101">
        <v>1.2</v>
      </c>
      <c r="K101">
        <v>2.1846153846153844</v>
      </c>
      <c r="L101" s="605"/>
      <c r="M101" s="606">
        <v>5072.5291394141523</v>
      </c>
      <c r="N101">
        <v>2.7407949868504526</v>
      </c>
      <c r="O101" s="13">
        <v>1.1384615384615384</v>
      </c>
      <c r="P101" s="605">
        <v>0.47796031019599544</v>
      </c>
      <c r="Q101" s="605">
        <v>0.5998137229839996</v>
      </c>
      <c r="R101" s="605">
        <v>0.38357923575240438</v>
      </c>
      <c r="S101" s="605">
        <v>0.21623448723159522</v>
      </c>
      <c r="T101" s="13"/>
    </row>
    <row r="102" spans="1:20" hidden="1" x14ac:dyDescent="0.2">
      <c r="A102" s="602">
        <v>29445</v>
      </c>
      <c r="B102" s="603" t="s">
        <v>588</v>
      </c>
      <c r="C102" t="s">
        <v>589</v>
      </c>
      <c r="D102" s="604">
        <v>2616</v>
      </c>
      <c r="E102" s="604">
        <v>3313</v>
      </c>
      <c r="F102" s="604">
        <v>3313</v>
      </c>
      <c r="G102" s="605">
        <v>0.26643730886850153</v>
      </c>
      <c r="H102" s="606">
        <v>22802.989999999998</v>
      </c>
      <c r="I102" s="606"/>
      <c r="J102">
        <v>1.2</v>
      </c>
      <c r="K102">
        <v>1.2</v>
      </c>
      <c r="L102" s="605"/>
      <c r="M102" s="606">
        <v>9787.5598917315619</v>
      </c>
      <c r="N102">
        <v>3.5142891312199103</v>
      </c>
      <c r="O102" s="13">
        <v>3.7133354810646551</v>
      </c>
      <c r="P102">
        <v>-0.25693028546982905</v>
      </c>
      <c r="Q102" s="605">
        <v>0.57077734578967221</v>
      </c>
      <c r="R102" s="605">
        <v>0.37566274098787289</v>
      </c>
      <c r="S102" s="605">
        <v>0.19511460480179932</v>
      </c>
      <c r="T102" s="13"/>
    </row>
    <row r="103" spans="1:20" hidden="1" x14ac:dyDescent="0.2">
      <c r="A103" s="602">
        <v>51767</v>
      </c>
      <c r="B103" s="603" t="s">
        <v>590</v>
      </c>
      <c r="C103" s="603" t="s">
        <v>591</v>
      </c>
      <c r="D103" s="604">
        <v>2592</v>
      </c>
      <c r="E103" s="604">
        <v>2682</v>
      </c>
      <c r="F103" s="604">
        <v>2827</v>
      </c>
      <c r="G103" s="605">
        <v>9.066358024691358E-2</v>
      </c>
      <c r="H103" s="606">
        <v>15358.92</v>
      </c>
      <c r="I103" s="606"/>
      <c r="J103">
        <v>1.2</v>
      </c>
      <c r="K103">
        <v>1.68</v>
      </c>
      <c r="L103" s="605"/>
      <c r="M103" s="606">
        <v>5952.8876648127325</v>
      </c>
      <c r="N103">
        <v>2.6657260929652398</v>
      </c>
      <c r="O103" s="13">
        <v>1.34</v>
      </c>
      <c r="P103" s="605">
        <v>0.36363993186167914</v>
      </c>
      <c r="Q103" s="605">
        <v>0.61241495724876938</v>
      </c>
      <c r="R103" s="605">
        <v>0.44630317555422405</v>
      </c>
      <c r="S103" s="605">
        <v>0.16611178169454532</v>
      </c>
      <c r="T103" s="13"/>
    </row>
    <row r="104" spans="1:20" hidden="1" x14ac:dyDescent="0.2">
      <c r="A104" s="602">
        <v>54226</v>
      </c>
      <c r="B104" s="603" t="s">
        <v>592</v>
      </c>
      <c r="C104" s="603" t="s">
        <v>593</v>
      </c>
      <c r="D104" s="604">
        <v>2240</v>
      </c>
      <c r="E104" s="604">
        <v>2239</v>
      </c>
      <c r="F104" s="604">
        <v>2239</v>
      </c>
      <c r="G104" s="605">
        <v>-4.4642857142857141E-4</v>
      </c>
      <c r="H104" s="606">
        <v>10244.799999999999</v>
      </c>
      <c r="I104" s="606"/>
      <c r="J104">
        <v>1.2</v>
      </c>
      <c r="K104">
        <v>1.0121570776255708</v>
      </c>
      <c r="M104" s="459"/>
      <c r="N104">
        <v>0.56000000000000005</v>
      </c>
      <c r="O104" s="13">
        <v>0</v>
      </c>
      <c r="Q104" s="605">
        <v>1</v>
      </c>
      <c r="R104" s="605">
        <v>0.77876348030042175</v>
      </c>
      <c r="S104" s="605">
        <v>0.22123651969957825</v>
      </c>
      <c r="T104" s="13"/>
    </row>
    <row r="105" spans="1:20" hidden="1" x14ac:dyDescent="0.2">
      <c r="A105" s="602">
        <v>29462</v>
      </c>
      <c r="B105" s="603" t="s">
        <v>594</v>
      </c>
      <c r="C105" t="s">
        <v>595</v>
      </c>
      <c r="D105" s="604">
        <v>1740</v>
      </c>
      <c r="E105" s="604">
        <v>1387</v>
      </c>
      <c r="F105" s="604">
        <v>1433</v>
      </c>
      <c r="G105" s="605">
        <v>-0.1764367816091954</v>
      </c>
      <c r="H105" s="606">
        <v>10082.82</v>
      </c>
      <c r="I105" s="606"/>
      <c r="J105">
        <v>1.2</v>
      </c>
      <c r="K105">
        <v>2</v>
      </c>
      <c r="M105" s="606"/>
      <c r="N105">
        <v>0.56000000000000005</v>
      </c>
      <c r="O105" s="13">
        <v>0</v>
      </c>
      <c r="Q105" s="605">
        <v>1</v>
      </c>
      <c r="R105" s="605">
        <v>0.68977769679300294</v>
      </c>
      <c r="S105" s="605">
        <v>0.31022230320699706</v>
      </c>
      <c r="T105" s="13"/>
    </row>
    <row r="106" spans="1:20" hidden="1" x14ac:dyDescent="0.2">
      <c r="A106" s="602">
        <v>51193</v>
      </c>
      <c r="B106" s="603" t="s">
        <v>596</v>
      </c>
      <c r="C106" s="603" t="s">
        <v>597</v>
      </c>
      <c r="D106" s="604">
        <v>1696</v>
      </c>
      <c r="E106" s="604">
        <v>1307</v>
      </c>
      <c r="F106" s="604">
        <v>1377</v>
      </c>
      <c r="G106" s="605">
        <v>-0.18808962264150944</v>
      </c>
      <c r="H106" s="606">
        <v>6746.82</v>
      </c>
      <c r="I106" s="606"/>
      <c r="J106">
        <v>1.2</v>
      </c>
      <c r="K106">
        <v>1.67</v>
      </c>
      <c r="L106" s="605"/>
      <c r="M106" s="459"/>
      <c r="N106">
        <v>0.56000000000000005</v>
      </c>
      <c r="O106" s="13">
        <v>1.3314762897809196E-4</v>
      </c>
      <c r="P106" s="605"/>
      <c r="Q106" s="605">
        <v>1</v>
      </c>
      <c r="R106" s="605">
        <v>0.65919544657777285</v>
      </c>
      <c r="S106" s="605">
        <v>0.34080455342222715</v>
      </c>
      <c r="T106" s="13"/>
    </row>
    <row r="107" spans="1:20" hidden="1" x14ac:dyDescent="0.2">
      <c r="A107" s="602">
        <v>53218</v>
      </c>
      <c r="B107" s="603" t="s">
        <v>542</v>
      </c>
      <c r="C107" t="s">
        <v>598</v>
      </c>
      <c r="D107" s="604">
        <v>872</v>
      </c>
      <c r="E107" s="604">
        <v>509</v>
      </c>
      <c r="F107" s="604">
        <v>507</v>
      </c>
      <c r="G107" s="605">
        <v>-0.41857798165137616</v>
      </c>
      <c r="H107" s="606">
        <v>2344.86</v>
      </c>
      <c r="I107" s="606"/>
      <c r="J107">
        <v>1.2</v>
      </c>
      <c r="K107">
        <v>1.31</v>
      </c>
      <c r="M107" s="606"/>
      <c r="N107">
        <v>0.56000000000000005</v>
      </c>
      <c r="O107" s="13">
        <v>0.76</v>
      </c>
      <c r="Q107" s="605">
        <v>1</v>
      </c>
      <c r="R107" s="605">
        <v>0.47491799693855241</v>
      </c>
      <c r="S107" s="605">
        <v>0.52508200306144759</v>
      </c>
      <c r="T107" s="13"/>
    </row>
    <row r="108" spans="1:20" hidden="1" x14ac:dyDescent="0.2">
      <c r="A108" s="602">
        <v>29413</v>
      </c>
      <c r="B108" s="603" t="s">
        <v>500</v>
      </c>
      <c r="C108" s="603" t="s">
        <v>599</v>
      </c>
      <c r="D108" s="604"/>
      <c r="E108" s="604">
        <v>4059</v>
      </c>
      <c r="F108" s="604">
        <v>4059</v>
      </c>
      <c r="G108" s="605"/>
      <c r="H108" s="606">
        <v>11811.69</v>
      </c>
      <c r="I108" s="606"/>
      <c r="J108">
        <v>1.2</v>
      </c>
      <c r="M108" s="459"/>
      <c r="N108">
        <v>0.56000000000000005</v>
      </c>
      <c r="O108" s="13"/>
      <c r="Q108" s="605">
        <v>1</v>
      </c>
      <c r="R108" s="605"/>
      <c r="S108" s="605">
        <v>1</v>
      </c>
      <c r="T108" s="13"/>
    </row>
    <row r="109" spans="1:20" hidden="1" x14ac:dyDescent="0.2">
      <c r="A109" s="602">
        <v>29486</v>
      </c>
      <c r="B109" s="603" t="s">
        <v>600</v>
      </c>
      <c r="C109" t="s">
        <v>601</v>
      </c>
      <c r="D109" s="604"/>
      <c r="E109" s="604">
        <v>2547</v>
      </c>
      <c r="F109" s="604">
        <v>2547</v>
      </c>
      <c r="G109" s="605"/>
      <c r="H109" s="606">
        <v>11503.86</v>
      </c>
      <c r="I109" s="606"/>
      <c r="J109">
        <v>1.2</v>
      </c>
      <c r="L109" s="605"/>
      <c r="M109" s="606">
        <v>2424.9899999999971</v>
      </c>
      <c r="N109">
        <v>1.5120965842167244</v>
      </c>
      <c r="O109" s="13"/>
      <c r="P109" s="605">
        <v>1</v>
      </c>
      <c r="Q109" s="605">
        <v>0.78920205913493402</v>
      </c>
      <c r="R109" s="605"/>
      <c r="S109" s="605">
        <v>0.78920205913493402</v>
      </c>
      <c r="T109" s="13"/>
    </row>
    <row r="110" spans="1:20" hidden="1" x14ac:dyDescent="0.2">
      <c r="A110" s="602">
        <v>29490</v>
      </c>
      <c r="B110" s="603" t="s">
        <v>548</v>
      </c>
      <c r="C110" t="s">
        <v>602</v>
      </c>
      <c r="D110" s="604"/>
      <c r="E110" s="604">
        <v>1616</v>
      </c>
      <c r="F110" s="604">
        <v>1616</v>
      </c>
      <c r="G110" s="605"/>
      <c r="H110" s="606">
        <v>11352.16</v>
      </c>
      <c r="I110" s="606"/>
      <c r="J110">
        <v>1.2</v>
      </c>
      <c r="L110" s="605"/>
      <c r="M110" s="459"/>
      <c r="N110">
        <v>0.56000000000000005</v>
      </c>
      <c r="O110" s="13"/>
      <c r="P110" s="605"/>
      <c r="Q110" s="605">
        <v>1</v>
      </c>
      <c r="R110" s="605"/>
      <c r="S110" s="605">
        <v>1</v>
      </c>
      <c r="T110" s="13"/>
    </row>
    <row r="111" spans="1:20" hidden="1" x14ac:dyDescent="0.2">
      <c r="A111" s="602">
        <v>29505</v>
      </c>
      <c r="B111" s="603" t="s">
        <v>528</v>
      </c>
      <c r="C111" s="603" t="s">
        <v>603</v>
      </c>
      <c r="D111" s="604"/>
      <c r="E111" s="604">
        <v>2547</v>
      </c>
      <c r="F111" s="604"/>
      <c r="G111" s="605"/>
      <c r="H111" s="606"/>
      <c r="I111" s="606"/>
      <c r="J111">
        <v>1.2</v>
      </c>
      <c r="M111" s="459"/>
      <c r="N111">
        <v>0.56000000000000005</v>
      </c>
      <c r="O111" s="13"/>
      <c r="Q111" s="605"/>
      <c r="R111" s="605"/>
      <c r="S111" s="605"/>
      <c r="T111" s="13"/>
    </row>
    <row r="112" spans="1:20" hidden="1" x14ac:dyDescent="0.2">
      <c r="A112" s="602">
        <v>29523</v>
      </c>
      <c r="B112" s="603" t="s">
        <v>566</v>
      </c>
      <c r="C112" s="603" t="s">
        <v>604</v>
      </c>
      <c r="D112" s="604"/>
      <c r="E112" s="604">
        <v>1066</v>
      </c>
      <c r="F112" s="604">
        <v>1066</v>
      </c>
      <c r="G112" s="605"/>
      <c r="H112" s="606">
        <v>5531.84</v>
      </c>
      <c r="I112" s="606"/>
      <c r="J112">
        <v>1.2</v>
      </c>
      <c r="M112" s="459"/>
      <c r="N112">
        <v>0.56000000000000005</v>
      </c>
      <c r="O112" s="13"/>
      <c r="P112" s="605"/>
      <c r="Q112" s="605">
        <v>1</v>
      </c>
      <c r="R112" s="605"/>
      <c r="S112" s="605">
        <v>1</v>
      </c>
      <c r="T112" s="13"/>
    </row>
    <row r="113" spans="1:20" hidden="1" x14ac:dyDescent="0.2">
      <c r="A113" s="602">
        <v>29535</v>
      </c>
      <c r="B113" s="603" t="s">
        <v>500</v>
      </c>
      <c r="C113" s="603" t="s">
        <v>605</v>
      </c>
      <c r="D113" s="604"/>
      <c r="E113" s="604">
        <v>1945</v>
      </c>
      <c r="F113" s="604">
        <v>1945</v>
      </c>
      <c r="G113" s="605"/>
      <c r="H113" s="606">
        <v>5659.9500000000007</v>
      </c>
      <c r="I113" s="606"/>
      <c r="J113">
        <v>1.2</v>
      </c>
      <c r="M113" s="459"/>
      <c r="N113">
        <v>0.56000000000000005</v>
      </c>
      <c r="O113" s="13"/>
      <c r="Q113" s="605">
        <v>1</v>
      </c>
      <c r="R113" s="605"/>
      <c r="S113" s="605">
        <v>1</v>
      </c>
      <c r="T113" s="13"/>
    </row>
    <row r="114" spans="1:20" hidden="1" x14ac:dyDescent="0.2">
      <c r="A114" s="671">
        <v>29536</v>
      </c>
      <c r="B114" s="603" t="s">
        <v>566</v>
      </c>
      <c r="C114" s="603" t="s">
        <v>606</v>
      </c>
      <c r="D114" s="604"/>
      <c r="E114" s="604">
        <v>1989</v>
      </c>
      <c r="F114" s="604">
        <v>1987</v>
      </c>
      <c r="G114" s="605"/>
      <c r="H114" s="606">
        <v>10081.579999999998</v>
      </c>
      <c r="I114" s="459"/>
      <c r="J114">
        <v>1.2</v>
      </c>
      <c r="L114" s="605"/>
      <c r="M114" s="459"/>
      <c r="N114">
        <v>0.56000000000000005</v>
      </c>
      <c r="O114" s="13"/>
      <c r="P114" s="605"/>
      <c r="Q114" s="605">
        <v>1</v>
      </c>
      <c r="R114" s="605"/>
      <c r="S114" s="605">
        <v>1</v>
      </c>
      <c r="T114" s="13"/>
    </row>
    <row r="115" spans="1:20" x14ac:dyDescent="0.2">
      <c r="A115" s="671">
        <v>29539</v>
      </c>
      <c r="B115" s="603" t="s">
        <v>512</v>
      </c>
      <c r="C115" s="603" t="s">
        <v>607</v>
      </c>
      <c r="D115" s="604"/>
      <c r="E115" s="604">
        <v>3393</v>
      </c>
      <c r="F115" s="604">
        <v>3456</v>
      </c>
      <c r="G115" s="605"/>
      <c r="H115" s="606">
        <v>17987.43</v>
      </c>
      <c r="I115" s="459"/>
      <c r="J115">
        <v>1.2</v>
      </c>
      <c r="L115" s="605"/>
      <c r="M115" s="606"/>
      <c r="N115">
        <v>0.56000000000000005</v>
      </c>
      <c r="O115" s="13"/>
      <c r="P115" s="605"/>
      <c r="Q115" s="605">
        <v>1</v>
      </c>
      <c r="R115" s="605"/>
      <c r="S115" s="605">
        <v>1</v>
      </c>
      <c r="T115" s="13"/>
    </row>
    <row r="116" spans="1:20" x14ac:dyDescent="0.2">
      <c r="A116" s="671">
        <v>29540</v>
      </c>
      <c r="B116" s="603" t="s">
        <v>512</v>
      </c>
      <c r="C116" s="603" t="s">
        <v>608</v>
      </c>
      <c r="D116" s="604"/>
      <c r="E116" s="604">
        <v>4398</v>
      </c>
      <c r="F116" s="604">
        <v>4506</v>
      </c>
      <c r="G116" s="605"/>
      <c r="H116" s="606">
        <v>25042.38</v>
      </c>
      <c r="I116" s="459"/>
      <c r="J116">
        <v>1.2</v>
      </c>
      <c r="L116" s="605"/>
      <c r="M116" s="606"/>
      <c r="N116">
        <v>0.56000000000000005</v>
      </c>
      <c r="O116" s="13"/>
      <c r="P116" s="605"/>
      <c r="Q116" s="605">
        <v>1</v>
      </c>
      <c r="R116" s="605"/>
      <c r="S116" s="605">
        <v>1</v>
      </c>
      <c r="T116" s="13"/>
    </row>
    <row r="117" spans="1:20" hidden="1" x14ac:dyDescent="0.2">
      <c r="A117" s="671">
        <v>29541</v>
      </c>
      <c r="B117" s="603" t="s">
        <v>609</v>
      </c>
      <c r="C117" s="603" t="s">
        <v>610</v>
      </c>
      <c r="D117" s="604"/>
      <c r="E117" s="604"/>
      <c r="F117" s="604"/>
      <c r="G117" s="605"/>
      <c r="H117" s="606"/>
      <c r="I117" s="459"/>
      <c r="J117">
        <v>1.2</v>
      </c>
      <c r="K117">
        <v>1.2</v>
      </c>
      <c r="L117" s="605"/>
      <c r="M117" s="459"/>
      <c r="N117">
        <v>0.56000000000000005</v>
      </c>
      <c r="O117" s="13">
        <v>1.3314762897809196E-4</v>
      </c>
      <c r="P117" s="605"/>
      <c r="Q117" s="605"/>
      <c r="R117" s="605">
        <v>0.63829621831555827</v>
      </c>
      <c r="S117" s="605">
        <v>-0.63829621831555827</v>
      </c>
      <c r="T117" s="13"/>
    </row>
    <row r="118" spans="1:20" hidden="1" x14ac:dyDescent="0.2">
      <c r="A118" s="671">
        <v>51884</v>
      </c>
      <c r="B118" s="603" t="s">
        <v>506</v>
      </c>
      <c r="C118" s="603" t="s">
        <v>611</v>
      </c>
      <c r="D118" s="604"/>
      <c r="E118" s="604">
        <v>4312</v>
      </c>
      <c r="F118" s="604"/>
      <c r="G118" s="605"/>
      <c r="H118" s="606"/>
      <c r="I118" s="459"/>
      <c r="J118">
        <v>1.2</v>
      </c>
      <c r="L118" s="605"/>
      <c r="M118" s="459"/>
      <c r="N118">
        <v>0.56000000000000005</v>
      </c>
      <c r="O118" s="13"/>
      <c r="P118" s="605"/>
      <c r="Q118" s="605"/>
      <c r="R118" s="605"/>
      <c r="S118" s="605"/>
      <c r="T118" s="13"/>
    </row>
    <row r="119" spans="1:20" hidden="1" x14ac:dyDescent="0.2">
      <c r="A119" s="671">
        <v>52030</v>
      </c>
      <c r="B119" s="603" t="s">
        <v>612</v>
      </c>
      <c r="C119" s="603" t="s">
        <v>613</v>
      </c>
      <c r="D119" s="604"/>
      <c r="E119" s="604"/>
      <c r="F119" s="604">
        <v>4876</v>
      </c>
      <c r="G119" s="605"/>
      <c r="H119" s="606">
        <v>17358.560000000001</v>
      </c>
      <c r="I119" s="459"/>
      <c r="J119">
        <v>1.2</v>
      </c>
      <c r="K119">
        <v>1.2</v>
      </c>
      <c r="L119" s="605"/>
      <c r="M119" s="606"/>
      <c r="N119">
        <v>0.39</v>
      </c>
      <c r="O119" s="13">
        <v>1.3314762897809196E-4</v>
      </c>
      <c r="Q119" s="605">
        <v>1</v>
      </c>
      <c r="R119" s="605">
        <v>0.66283659288411911</v>
      </c>
      <c r="S119" s="605">
        <v>0.33716340711588089</v>
      </c>
      <c r="T119" s="13"/>
    </row>
    <row r="120" spans="1:20" hidden="1" x14ac:dyDescent="0.2">
      <c r="A120" s="671">
        <v>52031</v>
      </c>
      <c r="B120" s="603" t="s">
        <v>612</v>
      </c>
      <c r="C120" s="603" t="s">
        <v>614</v>
      </c>
      <c r="D120" s="604"/>
      <c r="E120" s="604"/>
      <c r="F120" s="604">
        <v>3302</v>
      </c>
      <c r="G120" s="605"/>
      <c r="H120" s="606">
        <v>11755.12</v>
      </c>
      <c r="I120" s="459"/>
      <c r="J120">
        <v>1.2</v>
      </c>
      <c r="L120" s="605"/>
      <c r="M120" s="606"/>
      <c r="N120">
        <v>0.39</v>
      </c>
      <c r="O120" s="13"/>
      <c r="P120" s="605"/>
      <c r="Q120" s="605">
        <v>1</v>
      </c>
      <c r="R120" s="605"/>
      <c r="S120" s="605">
        <v>1</v>
      </c>
      <c r="T120" s="13"/>
    </row>
    <row r="121" spans="1:20" hidden="1" x14ac:dyDescent="0.2">
      <c r="A121" s="671">
        <v>52032</v>
      </c>
      <c r="B121" s="603" t="s">
        <v>612</v>
      </c>
      <c r="C121" s="603" t="s">
        <v>615</v>
      </c>
      <c r="D121" s="604"/>
      <c r="E121" s="604">
        <v>10975</v>
      </c>
      <c r="F121" s="604">
        <v>2206</v>
      </c>
      <c r="G121" s="605"/>
      <c r="H121" s="606">
        <v>7853.3599999999988</v>
      </c>
      <c r="I121" s="459"/>
      <c r="J121">
        <v>1.2</v>
      </c>
      <c r="L121" s="605"/>
      <c r="M121" s="606"/>
      <c r="N121">
        <v>0.39</v>
      </c>
      <c r="O121" s="13"/>
      <c r="P121" s="605"/>
      <c r="Q121" s="605">
        <v>1</v>
      </c>
      <c r="R121" s="605"/>
      <c r="S121" s="605">
        <v>1</v>
      </c>
      <c r="T121" s="13"/>
    </row>
    <row r="122" spans="1:20" hidden="1" x14ac:dyDescent="0.2">
      <c r="A122" s="671">
        <v>52643</v>
      </c>
      <c r="B122" s="603" t="s">
        <v>548</v>
      </c>
      <c r="C122" s="603" t="s">
        <v>616</v>
      </c>
      <c r="D122" s="604"/>
      <c r="E122" s="604">
        <v>1350</v>
      </c>
      <c r="F122" s="604">
        <v>1356</v>
      </c>
      <c r="G122" s="605"/>
      <c r="H122" s="606">
        <v>7759.41</v>
      </c>
      <c r="I122" s="459"/>
      <c r="J122">
        <v>1.2</v>
      </c>
      <c r="L122" s="605"/>
      <c r="M122" s="459"/>
      <c r="N122">
        <v>0.56000000000000005</v>
      </c>
      <c r="O122" s="13"/>
      <c r="P122" s="605"/>
      <c r="Q122" s="605">
        <v>1</v>
      </c>
      <c r="R122" s="605"/>
      <c r="S122" s="605">
        <v>1</v>
      </c>
      <c r="T122" s="13"/>
    </row>
    <row r="123" spans="1:20" hidden="1" x14ac:dyDescent="0.2">
      <c r="A123" s="671">
        <v>52703</v>
      </c>
      <c r="B123" s="603" t="s">
        <v>516</v>
      </c>
      <c r="C123" s="603" t="s">
        <v>617</v>
      </c>
      <c r="D123" s="604"/>
      <c r="E123" s="604">
        <v>2158</v>
      </c>
      <c r="F123" s="604">
        <v>2158</v>
      </c>
      <c r="G123" s="605"/>
      <c r="H123" s="606">
        <v>6430.84</v>
      </c>
      <c r="I123" s="459"/>
      <c r="J123">
        <v>1.2</v>
      </c>
      <c r="L123" s="605"/>
      <c r="M123" s="459"/>
      <c r="N123">
        <v>0.56000000000000005</v>
      </c>
      <c r="O123" s="13"/>
      <c r="P123" s="605"/>
      <c r="Q123" s="605">
        <v>1</v>
      </c>
      <c r="R123" s="605"/>
      <c r="S123" s="605">
        <v>1</v>
      </c>
      <c r="T123" s="13"/>
    </row>
    <row r="124" spans="1:20" hidden="1" x14ac:dyDescent="0.2">
      <c r="A124" s="671">
        <v>52719</v>
      </c>
      <c r="B124" s="603" t="s">
        <v>498</v>
      </c>
      <c r="C124" s="603" t="s">
        <v>618</v>
      </c>
      <c r="D124" s="604"/>
      <c r="E124" s="604">
        <v>8965</v>
      </c>
      <c r="F124" s="604"/>
      <c r="G124" s="605"/>
      <c r="H124" s="606"/>
      <c r="I124" s="459"/>
      <c r="J124">
        <v>1.2</v>
      </c>
      <c r="L124" s="605"/>
      <c r="M124" s="459"/>
      <c r="N124">
        <v>0.56000000000000005</v>
      </c>
      <c r="O124" s="13"/>
      <c r="P124" s="605"/>
      <c r="Q124" s="605"/>
      <c r="R124" s="605"/>
      <c r="S124" s="605"/>
      <c r="T124" s="13"/>
    </row>
    <row r="125" spans="1:20" hidden="1" x14ac:dyDescent="0.2">
      <c r="A125" s="671">
        <v>52729</v>
      </c>
      <c r="B125" s="603" t="s">
        <v>496</v>
      </c>
      <c r="C125" s="603" t="s">
        <v>619</v>
      </c>
      <c r="D125" s="604"/>
      <c r="E125" s="604">
        <v>5855</v>
      </c>
      <c r="F125" s="604"/>
      <c r="G125" s="605"/>
      <c r="H125" s="606"/>
      <c r="I125" s="459"/>
      <c r="J125">
        <v>1.2</v>
      </c>
      <c r="L125" s="605"/>
      <c r="M125" s="459"/>
      <c r="N125">
        <v>0.56000000000000005</v>
      </c>
      <c r="O125" s="13"/>
      <c r="P125" s="605"/>
      <c r="Q125" s="605"/>
      <c r="R125" s="605"/>
      <c r="S125" s="605"/>
      <c r="T125" s="13"/>
    </row>
    <row r="126" spans="1:20" hidden="1" x14ac:dyDescent="0.2">
      <c r="A126" s="671">
        <v>53930</v>
      </c>
      <c r="B126" s="603" t="s">
        <v>538</v>
      </c>
      <c r="C126" s="603" t="s">
        <v>620</v>
      </c>
      <c r="D126" s="604"/>
      <c r="E126" s="604">
        <v>2723</v>
      </c>
      <c r="F126" s="604">
        <v>2723</v>
      </c>
      <c r="G126" s="605"/>
      <c r="H126" s="606">
        <v>18296.849999999999</v>
      </c>
      <c r="I126" s="459"/>
      <c r="J126">
        <v>1.2</v>
      </c>
      <c r="L126" s="605"/>
      <c r="M126" s="606">
        <v>9349.9242583038613</v>
      </c>
      <c r="N126">
        <v>3.8236850012133168</v>
      </c>
      <c r="O126" s="13"/>
      <c r="P126" s="605">
        <v>1</v>
      </c>
      <c r="Q126" s="605">
        <v>0.48898721592493449</v>
      </c>
      <c r="R126" s="605"/>
      <c r="S126" s="605">
        <v>0.48898721592493449</v>
      </c>
      <c r="T126" s="13"/>
    </row>
    <row r="127" spans="1:20" hidden="1" x14ac:dyDescent="0.2">
      <c r="A127" s="671">
        <v>54157</v>
      </c>
      <c r="B127" s="603" t="s">
        <v>510</v>
      </c>
      <c r="C127" s="603" t="s">
        <v>621</v>
      </c>
      <c r="D127" s="604"/>
      <c r="E127" s="604">
        <v>5177</v>
      </c>
      <c r="F127" s="604">
        <v>6550</v>
      </c>
      <c r="G127" s="605"/>
      <c r="H127" s="606">
        <v>37856.639999999999</v>
      </c>
      <c r="I127" s="459"/>
      <c r="J127">
        <v>1.2</v>
      </c>
      <c r="L127" s="605"/>
      <c r="M127" s="459"/>
      <c r="N127">
        <v>0.56000000000000005</v>
      </c>
      <c r="O127" s="13"/>
      <c r="P127" s="605"/>
      <c r="Q127" s="605">
        <v>1</v>
      </c>
      <c r="R127" s="605"/>
      <c r="S127" s="605">
        <v>1</v>
      </c>
      <c r="T127" s="13"/>
    </row>
    <row r="128" spans="1:20" hidden="1" x14ac:dyDescent="0.2">
      <c r="A128" s="671">
        <v>54177</v>
      </c>
      <c r="B128" s="603" t="s">
        <v>622</v>
      </c>
      <c r="C128" s="603" t="s">
        <v>623</v>
      </c>
      <c r="D128" s="604"/>
      <c r="E128" s="604"/>
      <c r="F128" s="604"/>
      <c r="G128" s="605"/>
      <c r="H128" s="606"/>
      <c r="I128" s="459"/>
      <c r="J128">
        <v>1.2</v>
      </c>
      <c r="K128">
        <v>3.24</v>
      </c>
      <c r="L128" s="605"/>
      <c r="M128" s="606"/>
      <c r="N128">
        <v>0.39</v>
      </c>
      <c r="O128" s="13">
        <v>0</v>
      </c>
      <c r="P128" s="605"/>
      <c r="Q128" s="605"/>
      <c r="R128" s="605">
        <v>0.41667637995010581</v>
      </c>
      <c r="S128" s="605">
        <v>-0.41667637995010581</v>
      </c>
      <c r="T128" s="13"/>
    </row>
    <row r="129" spans="1:20" hidden="1" x14ac:dyDescent="0.2">
      <c r="A129" s="671">
        <v>53476</v>
      </c>
      <c r="B129" s="603" t="s">
        <v>624</v>
      </c>
      <c r="C129" s="603"/>
      <c r="D129" s="604"/>
      <c r="E129" s="604"/>
      <c r="F129" s="604"/>
      <c r="G129" s="605"/>
      <c r="H129" s="606">
        <v>40947.550000000003</v>
      </c>
      <c r="I129" s="459">
        <v>20531.817582177187</v>
      </c>
      <c r="L129" s="605"/>
      <c r="M129" s="606">
        <v>12828.81105969596</v>
      </c>
      <c r="N129">
        <v>0</v>
      </c>
      <c r="O129" s="13">
        <v>26806</v>
      </c>
      <c r="P129" s="605"/>
      <c r="Q129" s="605">
        <v>0.18528389019921473</v>
      </c>
      <c r="R129" s="605">
        <v>-65.85001416504069</v>
      </c>
      <c r="S129" s="605">
        <v>66.035298055239906</v>
      </c>
      <c r="T129" s="13"/>
    </row>
    <row r="130" spans="1:20" hidden="1" x14ac:dyDescent="0.2">
      <c r="A130" s="671">
        <v>53554</v>
      </c>
      <c r="B130" s="603" t="s">
        <v>625</v>
      </c>
      <c r="C130" s="603" t="s">
        <v>626</v>
      </c>
      <c r="D130" s="604"/>
      <c r="E130" s="604"/>
      <c r="F130" s="604"/>
      <c r="G130" s="605"/>
      <c r="H130" s="606"/>
      <c r="I130" s="459">
        <v>9769.0918984326636</v>
      </c>
      <c r="L130" s="605"/>
      <c r="M130" s="606">
        <v>12850.685985197264</v>
      </c>
      <c r="N130">
        <v>0</v>
      </c>
      <c r="O130" s="13"/>
      <c r="P130" s="605"/>
      <c r="Q130" s="605"/>
      <c r="R130" s="605">
        <v>1</v>
      </c>
      <c r="S130" s="605">
        <v>-1</v>
      </c>
      <c r="T130" s="13"/>
    </row>
    <row r="131" spans="1:20" hidden="1" x14ac:dyDescent="0.2">
      <c r="A131" s="671">
        <v>53713</v>
      </c>
      <c r="B131" s="603" t="s">
        <v>627</v>
      </c>
      <c r="C131" s="603"/>
      <c r="D131" s="604"/>
      <c r="E131" s="604"/>
      <c r="F131" s="604">
        <v>2150</v>
      </c>
      <c r="G131" s="605"/>
      <c r="H131" s="606">
        <v>17501</v>
      </c>
      <c r="I131" s="459">
        <v>40291.604433552224</v>
      </c>
      <c r="J131">
        <v>18.740281131884757</v>
      </c>
      <c r="L131" s="605">
        <v>1</v>
      </c>
      <c r="M131" s="606">
        <v>54230.03294117644</v>
      </c>
      <c r="N131">
        <v>25.223271135430902</v>
      </c>
      <c r="O131" s="13"/>
      <c r="P131" s="605">
        <v>1</v>
      </c>
      <c r="Q131" s="605">
        <v>-4.4009277969675251</v>
      </c>
      <c r="R131" s="605">
        <v>1</v>
      </c>
      <c r="S131" s="605">
        <v>-5.4009277969675251</v>
      </c>
      <c r="T131" s="13"/>
    </row>
    <row r="132" spans="1:20" hidden="1" x14ac:dyDescent="0.2">
      <c r="A132" s="671">
        <v>53807</v>
      </c>
      <c r="B132" s="603" t="s">
        <v>628</v>
      </c>
      <c r="C132" s="603"/>
      <c r="D132" s="604"/>
      <c r="E132" s="604"/>
      <c r="F132" s="604">
        <v>668</v>
      </c>
      <c r="G132" s="605"/>
      <c r="H132" s="606">
        <v>8152.64</v>
      </c>
      <c r="I132" s="459"/>
      <c r="L132" s="605"/>
      <c r="M132" s="606">
        <v>11730.520709677416</v>
      </c>
      <c r="N132">
        <v>17.950659745026073</v>
      </c>
      <c r="O132" s="13"/>
      <c r="P132" s="605">
        <v>1</v>
      </c>
      <c r="Q132" s="605">
        <v>-0.4388616092060259</v>
      </c>
      <c r="R132" s="605">
        <v>1</v>
      </c>
      <c r="S132" s="605">
        <v>-1.4388616092060258</v>
      </c>
      <c r="T132" s="13"/>
    </row>
    <row r="133" spans="1:20" hidden="1" x14ac:dyDescent="0.2">
      <c r="A133" s="671">
        <v>53988</v>
      </c>
      <c r="B133" s="603" t="s">
        <v>629</v>
      </c>
      <c r="C133" s="603" t="s">
        <v>630</v>
      </c>
      <c r="D133" s="604"/>
      <c r="E133" s="604"/>
      <c r="F133" s="604"/>
      <c r="G133" s="605"/>
      <c r="H133" s="606">
        <v>51054.11</v>
      </c>
      <c r="I133" s="459">
        <v>33414.28280787963</v>
      </c>
      <c r="L133" s="605"/>
      <c r="M133" s="606">
        <v>18863.906508211774</v>
      </c>
      <c r="N133">
        <v>0</v>
      </c>
      <c r="O133" s="13"/>
      <c r="P133" s="605"/>
      <c r="Q133" s="605">
        <v>-2.3976117027432339E-2</v>
      </c>
      <c r="R133" s="605">
        <v>1</v>
      </c>
      <c r="S133" s="605">
        <v>-1.0239761170274324</v>
      </c>
      <c r="T133" s="13"/>
    </row>
    <row r="134" spans="1:20" hidden="1" x14ac:dyDescent="0.2">
      <c r="A134" s="671">
        <v>29672</v>
      </c>
      <c r="B134" s="603" t="s">
        <v>631</v>
      </c>
      <c r="C134" s="603" t="s">
        <v>632</v>
      </c>
      <c r="D134" s="604">
        <v>46620</v>
      </c>
      <c r="E134" s="604">
        <v>49944</v>
      </c>
      <c r="F134" s="604">
        <v>50204</v>
      </c>
      <c r="G134" s="605">
        <v>7.6876876876876873E-2</v>
      </c>
      <c r="H134" s="606">
        <v>263182.93</v>
      </c>
      <c r="I134" s="459">
        <v>52774.359438957625</v>
      </c>
      <c r="J134">
        <v>1.0511982997163098</v>
      </c>
      <c r="K134">
        <v>1.1592113342581427</v>
      </c>
      <c r="L134" s="605">
        <v>-0.10275229190437492</v>
      </c>
      <c r="M134" s="606">
        <v>162779.75322087205</v>
      </c>
      <c r="N134">
        <v>3.2423662102795006</v>
      </c>
      <c r="O134" s="13">
        <v>3.9514506342110693</v>
      </c>
      <c r="P134" s="605">
        <v>-0.21869350281393532</v>
      </c>
      <c r="Q134" s="605">
        <v>0.18097228927487932</v>
      </c>
      <c r="R134" s="605">
        <v>0.13261422083637328</v>
      </c>
      <c r="S134" s="605">
        <v>4.8358068438506041E-2</v>
      </c>
      <c r="T134" s="13"/>
    </row>
    <row r="135" spans="1:20" hidden="1" x14ac:dyDescent="0.2">
      <c r="A135" s="671">
        <v>29685</v>
      </c>
      <c r="B135" s="603" t="s">
        <v>633</v>
      </c>
      <c r="C135" s="603" t="s">
        <v>634</v>
      </c>
      <c r="D135" s="604">
        <v>40875</v>
      </c>
      <c r="E135" s="604">
        <v>41348</v>
      </c>
      <c r="F135" s="604">
        <v>41260</v>
      </c>
      <c r="G135" s="605">
        <v>9.4189602446483178E-3</v>
      </c>
      <c r="H135" s="606">
        <v>213178.98</v>
      </c>
      <c r="I135" s="459">
        <v>49122.060384353543</v>
      </c>
      <c r="J135">
        <v>1.1905492095092958</v>
      </c>
      <c r="K135">
        <v>1.3661040118056418</v>
      </c>
      <c r="L135" s="605">
        <v>-0.14745698950881986</v>
      </c>
      <c r="M135" s="606">
        <v>131908.03013403335</v>
      </c>
      <c r="N135">
        <v>3.1969953983042498</v>
      </c>
      <c r="O135" s="13">
        <v>3.82</v>
      </c>
      <c r="P135" s="605">
        <v>-0.19487191067782084</v>
      </c>
      <c r="Q135" s="605">
        <v>0.15080703304619017</v>
      </c>
      <c r="R135" s="605">
        <v>0.11759677263812951</v>
      </c>
      <c r="S135" s="605">
        <v>3.321026040806066E-2</v>
      </c>
      <c r="T135" s="13"/>
    </row>
    <row r="136" spans="1:20" hidden="1" x14ac:dyDescent="0.2">
      <c r="A136" s="671">
        <v>29691</v>
      </c>
      <c r="B136" s="603" t="s">
        <v>635</v>
      </c>
      <c r="C136" s="603" t="s">
        <v>636</v>
      </c>
      <c r="D136" s="604">
        <v>38295</v>
      </c>
      <c r="E136" s="604">
        <v>41303</v>
      </c>
      <c r="F136" s="604">
        <v>41769</v>
      </c>
      <c r="G136" s="605">
        <v>9.0716803760282017E-2</v>
      </c>
      <c r="H136" s="606">
        <v>217046.23</v>
      </c>
      <c r="I136" s="459">
        <v>37927.256713194656</v>
      </c>
      <c r="J136">
        <v>0.90802405403994968</v>
      </c>
      <c r="K136">
        <v>0.97098446754570078</v>
      </c>
      <c r="L136" s="605">
        <v>-6.9337825606744424E-2</v>
      </c>
      <c r="M136" s="606">
        <v>127957.32994660854</v>
      </c>
      <c r="N136">
        <v>3.0634520804091201</v>
      </c>
      <c r="O136" s="13">
        <v>3.3164251131790743</v>
      </c>
      <c r="P136" s="605">
        <v>-8.2577767214876752E-2</v>
      </c>
      <c r="Q136" s="605">
        <v>0.23571772400836821</v>
      </c>
      <c r="R136" s="605">
        <v>0.20720424645518434</v>
      </c>
      <c r="S136" s="605">
        <v>2.8513477553183869E-2</v>
      </c>
      <c r="T136" s="13"/>
    </row>
    <row r="137" spans="1:20" hidden="1" x14ac:dyDescent="0.2">
      <c r="A137" s="671">
        <v>50591</v>
      </c>
      <c r="B137" s="603" t="s">
        <v>637</v>
      </c>
      <c r="C137" s="603" t="s">
        <v>638</v>
      </c>
      <c r="D137" s="604">
        <v>29160</v>
      </c>
      <c r="E137" s="604">
        <v>29105</v>
      </c>
      <c r="F137" s="604">
        <v>29216</v>
      </c>
      <c r="G137" s="605">
        <v>1.9204389574759945E-3</v>
      </c>
      <c r="H137" s="606">
        <v>152339.24</v>
      </c>
      <c r="I137" s="459">
        <v>35974.925617933346</v>
      </c>
      <c r="J137">
        <v>1.2313432919610263</v>
      </c>
      <c r="K137">
        <v>1.3250846487867176</v>
      </c>
      <c r="L137" s="605">
        <v>-7.6129343813129191E-2</v>
      </c>
      <c r="M137" s="606">
        <v>94276.73606149503</v>
      </c>
      <c r="N137">
        <v>3.2268871872088933</v>
      </c>
      <c r="O137" s="13">
        <v>3.3250846487867176</v>
      </c>
      <c r="P137" s="605">
        <v>-3.0431017845021256E-2</v>
      </c>
      <c r="Q137" s="605">
        <v>0.14498942177059315</v>
      </c>
      <c r="R137" s="605">
        <v>0.15930005827102972</v>
      </c>
      <c r="S137" s="605">
        <v>-1.4310636500436569E-2</v>
      </c>
      <c r="T137" s="13"/>
    </row>
    <row r="138" spans="1:20" hidden="1" x14ac:dyDescent="0.2">
      <c r="A138" s="671">
        <v>54235</v>
      </c>
      <c r="B138" s="603" t="s">
        <v>639</v>
      </c>
      <c r="C138" s="603" t="s">
        <v>640</v>
      </c>
      <c r="D138" s="604">
        <v>28080</v>
      </c>
      <c r="E138" s="604">
        <v>27116</v>
      </c>
      <c r="F138" s="604">
        <v>27303</v>
      </c>
      <c r="G138" s="605">
        <v>-2.767094017094017E-2</v>
      </c>
      <c r="H138" s="606">
        <v>138536.03</v>
      </c>
      <c r="I138" s="459">
        <v>31983.196818511216</v>
      </c>
      <c r="J138">
        <v>1.1714169438710478</v>
      </c>
      <c r="K138">
        <v>1.4555782493368701</v>
      </c>
      <c r="L138" s="605">
        <v>-0.24257913200980932</v>
      </c>
      <c r="M138" s="606">
        <v>83508.88644571192</v>
      </c>
      <c r="N138">
        <v>3.0585974598290266</v>
      </c>
      <c r="O138" s="13">
        <v>3.0855782493368702</v>
      </c>
      <c r="P138" s="605">
        <v>-8.8212946823514847E-3</v>
      </c>
      <c r="Q138" s="605">
        <v>0.16633901473701002</v>
      </c>
      <c r="R138" s="605">
        <v>0.10432572104506217</v>
      </c>
      <c r="S138" s="605">
        <v>6.2013293691947843E-2</v>
      </c>
      <c r="T138" s="13"/>
    </row>
    <row r="139" spans="1:20" hidden="1" x14ac:dyDescent="0.2">
      <c r="A139" s="671">
        <v>29689</v>
      </c>
      <c r="B139" s="603" t="s">
        <v>641</v>
      </c>
      <c r="C139" s="603" t="s">
        <v>642</v>
      </c>
      <c r="D139" s="604">
        <v>27250</v>
      </c>
      <c r="E139" s="604">
        <v>25998</v>
      </c>
      <c r="F139" s="604">
        <v>25984</v>
      </c>
      <c r="G139" s="605">
        <v>-4.6458715596330274E-2</v>
      </c>
      <c r="H139" s="606">
        <v>139011.20000000001</v>
      </c>
      <c r="I139" s="459">
        <v>39125.609898277355</v>
      </c>
      <c r="J139">
        <v>1.5057577700999598</v>
      </c>
      <c r="K139">
        <v>1.5991944366400841</v>
      </c>
      <c r="L139" s="605">
        <v>-6.2052920061585658E-2</v>
      </c>
      <c r="M139" s="606">
        <v>83404.551083518687</v>
      </c>
      <c r="N139">
        <v>3.2098426371428066</v>
      </c>
      <c r="O139" s="13">
        <v>3.1797417547323197</v>
      </c>
      <c r="P139" s="605">
        <v>9.3776816539768958E-3</v>
      </c>
      <c r="Q139" s="605">
        <v>0.11855907306896113</v>
      </c>
      <c r="R139" s="605">
        <v>0.11118987931523654</v>
      </c>
      <c r="S139" s="605">
        <v>7.3691937537245927E-3</v>
      </c>
      <c r="T139" s="13"/>
    </row>
    <row r="140" spans="1:20" hidden="1" x14ac:dyDescent="0.2">
      <c r="A140" s="671">
        <v>53745</v>
      </c>
      <c r="B140" s="603" t="s">
        <v>643</v>
      </c>
      <c r="C140" s="603" t="s">
        <v>644</v>
      </c>
      <c r="D140" s="604">
        <v>26705</v>
      </c>
      <c r="E140" s="604">
        <v>28799</v>
      </c>
      <c r="F140" s="604">
        <v>28620</v>
      </c>
      <c r="G140" s="605">
        <v>7.1709417712038939E-2</v>
      </c>
      <c r="H140" s="606">
        <v>157784.25</v>
      </c>
      <c r="I140" s="459">
        <v>35399.682244342468</v>
      </c>
      <c r="J140">
        <v>1.2368861720594853</v>
      </c>
      <c r="K140">
        <v>1.3018612231170716</v>
      </c>
      <c r="L140" s="605">
        <v>-5.2531148399370703E-2</v>
      </c>
      <c r="M140" s="606">
        <v>100609.67890722453</v>
      </c>
      <c r="N140">
        <v>3.5153626452559235</v>
      </c>
      <c r="O140" s="13">
        <v>3.62</v>
      </c>
      <c r="P140" s="605">
        <v>-2.9765735516729001E-2</v>
      </c>
      <c r="Q140" s="605">
        <v>0.13800419781082715</v>
      </c>
      <c r="R140" s="605">
        <v>0.12085039335585172</v>
      </c>
      <c r="S140" s="605">
        <v>1.7153804454975427E-2</v>
      </c>
      <c r="T140" s="13"/>
    </row>
    <row r="141" spans="1:20" hidden="1" x14ac:dyDescent="0.2">
      <c r="A141" s="671">
        <v>52007</v>
      </c>
      <c r="B141" s="603" t="s">
        <v>631</v>
      </c>
      <c r="C141" s="603" t="s">
        <v>645</v>
      </c>
      <c r="D141" s="604">
        <v>26320</v>
      </c>
      <c r="E141" s="604">
        <v>26963</v>
      </c>
      <c r="F141" s="604">
        <v>26829</v>
      </c>
      <c r="G141" s="605">
        <v>1.9338905775075989E-2</v>
      </c>
      <c r="H141" s="606">
        <v>143200.35999999999</v>
      </c>
      <c r="I141" s="459">
        <v>29627.993865065295</v>
      </c>
      <c r="J141">
        <v>1.104327178242398</v>
      </c>
      <c r="K141">
        <v>1.2045669009464475</v>
      </c>
      <c r="L141" s="605">
        <v>-9.0769949955942314E-2</v>
      </c>
      <c r="M141" s="606">
        <v>85122.182863004011</v>
      </c>
      <c r="N141">
        <v>3.1727676343883116</v>
      </c>
      <c r="O141" s="13">
        <v>3.3970773410555086</v>
      </c>
      <c r="P141" s="605">
        <v>-7.0698435093700926E-2</v>
      </c>
      <c r="Q141" s="605">
        <v>0.19867396472977222</v>
      </c>
      <c r="R141" s="605">
        <v>0.15509559182211405</v>
      </c>
      <c r="S141" s="605">
        <v>4.3578372907658175E-2</v>
      </c>
      <c r="T141" s="13"/>
    </row>
    <row r="142" spans="1:20" hidden="1" x14ac:dyDescent="0.2">
      <c r="A142" s="671">
        <v>49504</v>
      </c>
      <c r="B142" s="603" t="s">
        <v>646</v>
      </c>
      <c r="C142" s="603" t="s">
        <v>647</v>
      </c>
      <c r="D142" s="604">
        <v>26100</v>
      </c>
      <c r="E142" s="604">
        <v>34192</v>
      </c>
      <c r="F142" s="604">
        <v>35771</v>
      </c>
      <c r="G142" s="605">
        <v>0.37053639846743297</v>
      </c>
      <c r="H142" s="606">
        <v>197302.93</v>
      </c>
      <c r="I142" s="459">
        <v>31204.190777978387</v>
      </c>
      <c r="J142">
        <v>0.87233207844282767</v>
      </c>
      <c r="K142">
        <v>1.2207417931034481</v>
      </c>
      <c r="L142" s="605">
        <v>-0.39940032387958901</v>
      </c>
      <c r="M142" s="606">
        <v>101817.62354497412</v>
      </c>
      <c r="N142">
        <v>2.8463734182710612</v>
      </c>
      <c r="O142" s="13">
        <v>2.7867417931034479</v>
      </c>
      <c r="P142" s="605">
        <v>2.0950035854337957E-2</v>
      </c>
      <c r="Q142" s="605">
        <v>0.32579909318654054</v>
      </c>
      <c r="R142" s="605">
        <v>0.32797150368925465</v>
      </c>
      <c r="S142" s="605">
        <v>-2.1724105027141061E-3</v>
      </c>
      <c r="T142" s="13"/>
    </row>
    <row r="143" spans="1:20" hidden="1" x14ac:dyDescent="0.2">
      <c r="A143" s="671">
        <v>53747</v>
      </c>
      <c r="B143" s="603" t="s">
        <v>648</v>
      </c>
      <c r="C143" s="603" t="s">
        <v>649</v>
      </c>
      <c r="D143" s="604">
        <v>25760</v>
      </c>
      <c r="E143" s="604">
        <v>24881</v>
      </c>
      <c r="F143" s="604">
        <v>24828</v>
      </c>
      <c r="G143" s="605">
        <v>-3.6180124223602485E-2</v>
      </c>
      <c r="H143" s="606">
        <v>137308.41</v>
      </c>
      <c r="I143" s="459">
        <v>26733.538406323103</v>
      </c>
      <c r="J143">
        <v>1.0767495733173476</v>
      </c>
      <c r="K143">
        <v>1.2088320946385804</v>
      </c>
      <c r="L143" s="605">
        <v>-0.12266781858505975</v>
      </c>
      <c r="M143" s="606">
        <v>87832.113923499695</v>
      </c>
      <c r="N143">
        <v>3.5376234059730827</v>
      </c>
      <c r="O143" s="13">
        <v>3.3676490236382319</v>
      </c>
      <c r="P143" s="605">
        <v>4.8047619214599928E-2</v>
      </c>
      <c r="Q143" s="605">
        <v>0.16563266350675246</v>
      </c>
      <c r="R143" s="605">
        <v>0.17933769080022149</v>
      </c>
      <c r="S143" s="605">
        <v>-1.3705027293469035E-2</v>
      </c>
      <c r="T143" s="13"/>
    </row>
    <row r="144" spans="1:20" hidden="1" x14ac:dyDescent="0.2">
      <c r="A144" s="671">
        <v>29688</v>
      </c>
      <c r="B144" s="603" t="s">
        <v>650</v>
      </c>
      <c r="C144" s="603" t="s">
        <v>651</v>
      </c>
      <c r="D144" s="604">
        <v>25070</v>
      </c>
      <c r="E144" s="604">
        <v>25957</v>
      </c>
      <c r="F144" s="604">
        <v>25941</v>
      </c>
      <c r="G144" s="605">
        <v>3.4742720382927805E-2</v>
      </c>
      <c r="H144" s="606">
        <v>122838.29000000001</v>
      </c>
      <c r="I144" s="459">
        <v>36019.459813442219</v>
      </c>
      <c r="J144">
        <v>1.3885146992576316</v>
      </c>
      <c r="K144">
        <v>1.3491863751468012</v>
      </c>
      <c r="L144" s="605">
        <v>2.8324024320273516E-2</v>
      </c>
      <c r="M144" s="606">
        <v>80456.249022977645</v>
      </c>
      <c r="N144">
        <v>3.1015091562768453</v>
      </c>
      <c r="O144" s="13">
        <v>3.1899999999999995</v>
      </c>
      <c r="P144" s="605">
        <v>-2.8531543601625714E-2</v>
      </c>
      <c r="Q144" s="605">
        <v>5.1796399669680714E-2</v>
      </c>
      <c r="R144" s="605">
        <v>0.11684344197453005</v>
      </c>
      <c r="S144" s="605">
        <v>-6.504704230484934E-2</v>
      </c>
      <c r="T144" s="13"/>
    </row>
    <row r="145" spans="1:20" hidden="1" x14ac:dyDescent="0.2">
      <c r="A145" s="671">
        <v>29671</v>
      </c>
      <c r="B145" s="603" t="s">
        <v>652</v>
      </c>
      <c r="C145" s="603" t="s">
        <v>653</v>
      </c>
      <c r="D145" s="604">
        <v>24634</v>
      </c>
      <c r="E145" s="604">
        <v>24687</v>
      </c>
      <c r="F145" s="604">
        <v>25057</v>
      </c>
      <c r="G145" s="605">
        <v>1.7171389136965171E-2</v>
      </c>
      <c r="H145" s="606">
        <v>146348.14000000001</v>
      </c>
      <c r="I145" s="459">
        <v>31428.27121527788</v>
      </c>
      <c r="J145">
        <v>1.2542711104792226</v>
      </c>
      <c r="K145">
        <v>1.4789395473454305</v>
      </c>
      <c r="L145" s="605">
        <v>-0.17912270719555068</v>
      </c>
      <c r="M145" s="606">
        <v>86827.082244530553</v>
      </c>
      <c r="N145">
        <v>3.4651826732861299</v>
      </c>
      <c r="O145" s="13">
        <v>3.45</v>
      </c>
      <c r="P145" s="605">
        <v>4.3814929017094535E-3</v>
      </c>
      <c r="Q145" s="605">
        <v>0.1919586168993441</v>
      </c>
      <c r="R145" s="605">
        <v>0.13949710069450599</v>
      </c>
      <c r="S145" s="605">
        <v>5.2461516204838105E-2</v>
      </c>
      <c r="T145" s="13"/>
    </row>
    <row r="146" spans="1:20" hidden="1" x14ac:dyDescent="0.2">
      <c r="A146" s="671">
        <v>29687</v>
      </c>
      <c r="B146" s="603" t="s">
        <v>654</v>
      </c>
      <c r="C146" s="603" t="s">
        <v>655</v>
      </c>
      <c r="D146" s="604">
        <v>21600</v>
      </c>
      <c r="E146" s="604">
        <v>22480</v>
      </c>
      <c r="F146" s="604">
        <v>22646</v>
      </c>
      <c r="G146" s="605">
        <v>4.8425925925925928E-2</v>
      </c>
      <c r="H146" s="606">
        <v>131276.56</v>
      </c>
      <c r="I146" s="459">
        <v>25916.440775920029</v>
      </c>
      <c r="J146">
        <v>1.1444158251311503</v>
      </c>
      <c r="K146">
        <v>1.3705907938027659</v>
      </c>
      <c r="L146" s="605">
        <v>-0.1976335556577051</v>
      </c>
      <c r="M146" s="606">
        <v>88729.333949139778</v>
      </c>
      <c r="N146">
        <v>3.9181018258915383</v>
      </c>
      <c r="O146" s="13">
        <v>3.5913297501559232</v>
      </c>
      <c r="P146" s="605">
        <v>8.340060831912155E-2</v>
      </c>
      <c r="Q146" s="605">
        <v>0.12668510871202132</v>
      </c>
      <c r="R146" s="605">
        <v>8.6157454894338986E-2</v>
      </c>
      <c r="S146" s="605">
        <v>4.0527653817682335E-2</v>
      </c>
      <c r="T146" s="13"/>
    </row>
    <row r="147" spans="1:20" hidden="1" x14ac:dyDescent="0.2">
      <c r="A147" s="671">
        <v>29694</v>
      </c>
      <c r="B147" s="603" t="s">
        <v>656</v>
      </c>
      <c r="C147" s="603" t="s">
        <v>657</v>
      </c>
      <c r="D147" s="604">
        <v>21255</v>
      </c>
      <c r="E147" s="604">
        <v>22290</v>
      </c>
      <c r="F147" s="604">
        <v>22256</v>
      </c>
      <c r="G147" s="605">
        <v>4.7094801223241591E-2</v>
      </c>
      <c r="H147" s="606">
        <v>120467.92</v>
      </c>
      <c r="I147" s="459">
        <v>28172.495447611207</v>
      </c>
      <c r="J147">
        <v>1.2658382210465136</v>
      </c>
      <c r="K147">
        <v>1.3013406953245976</v>
      </c>
      <c r="L147" s="605">
        <v>-2.8046612661713519E-2</v>
      </c>
      <c r="M147" s="606">
        <v>70913.279247645391</v>
      </c>
      <c r="N147">
        <v>3.1862544593658066</v>
      </c>
      <c r="O147" s="13">
        <v>3.6619351100811124</v>
      </c>
      <c r="P147" s="605">
        <v>-0.14929148214043941</v>
      </c>
      <c r="Q147" s="605">
        <v>0.17749244201064815</v>
      </c>
      <c r="R147" s="605">
        <v>0.10734215280461661</v>
      </c>
      <c r="S147" s="605">
        <v>7.0150289206031544E-2</v>
      </c>
      <c r="T147" s="13"/>
    </row>
    <row r="148" spans="1:20" hidden="1" x14ac:dyDescent="0.2">
      <c r="A148" s="671">
        <v>53748</v>
      </c>
      <c r="B148" s="603" t="s">
        <v>658</v>
      </c>
      <c r="C148" s="603" t="s">
        <v>659</v>
      </c>
      <c r="D148" s="604">
        <v>19980</v>
      </c>
      <c r="E148" s="604">
        <v>22782</v>
      </c>
      <c r="F148" s="604">
        <v>23312</v>
      </c>
      <c r="G148" s="605">
        <v>0.16676676676676677</v>
      </c>
      <c r="H148" s="606">
        <v>117521.28</v>
      </c>
      <c r="I148" s="459">
        <v>22134.311461925256</v>
      </c>
      <c r="J148">
        <v>0.94948144568999893</v>
      </c>
      <c r="K148">
        <v>0.93224657513091391</v>
      </c>
      <c r="L148" s="605">
        <v>1.815187715075384E-2</v>
      </c>
      <c r="M148" s="606">
        <v>64847.777746608132</v>
      </c>
      <c r="N148">
        <v>2.7817337743054278</v>
      </c>
      <c r="O148" s="13">
        <v>2.5836921525736551</v>
      </c>
      <c r="P148" s="605">
        <v>7.1193592845246928E-2</v>
      </c>
      <c r="Q148" s="605">
        <v>0.25986094426019368</v>
      </c>
      <c r="R148" s="605">
        <v>0.28066993266391183</v>
      </c>
      <c r="S148" s="605">
        <v>-2.0808988403718143E-2</v>
      </c>
      <c r="T148" s="13"/>
    </row>
    <row r="149" spans="1:20" hidden="1" x14ac:dyDescent="0.2">
      <c r="A149" s="671">
        <v>29640</v>
      </c>
      <c r="B149" s="603" t="s">
        <v>660</v>
      </c>
      <c r="C149" s="603" t="s">
        <v>661</v>
      </c>
      <c r="D149" s="604">
        <v>19947</v>
      </c>
      <c r="E149" s="604">
        <v>19818</v>
      </c>
      <c r="F149" s="604">
        <v>19915</v>
      </c>
      <c r="G149" s="605">
        <v>-1.6042512658545145E-3</v>
      </c>
      <c r="H149" s="606">
        <v>100712.7</v>
      </c>
      <c r="I149" s="459">
        <v>27623.328832869371</v>
      </c>
      <c r="J149">
        <v>1.3870614528179448</v>
      </c>
      <c r="K149">
        <v>1.3878288923654074</v>
      </c>
      <c r="L149" s="605">
        <v>-5.5328446039898708E-4</v>
      </c>
      <c r="M149" s="606">
        <v>60449.946064029034</v>
      </c>
      <c r="N149">
        <v>3.035397743611802</v>
      </c>
      <c r="O149" s="13">
        <v>3.07</v>
      </c>
      <c r="P149" s="605">
        <v>-1.1399579004438734E-2</v>
      </c>
      <c r="Q149" s="605">
        <v>0.12549981385765244</v>
      </c>
      <c r="R149" s="605">
        <v>0.14145444081680059</v>
      </c>
      <c r="S149" s="605">
        <v>-1.5954626959148149E-2</v>
      </c>
      <c r="T149" s="13"/>
    </row>
    <row r="150" spans="1:20" hidden="1" x14ac:dyDescent="0.2">
      <c r="A150" s="671">
        <v>29676</v>
      </c>
      <c r="B150" s="603" t="s">
        <v>662</v>
      </c>
      <c r="C150" s="603" t="s">
        <v>663</v>
      </c>
      <c r="D150" s="604">
        <v>18810</v>
      </c>
      <c r="E150" s="604">
        <v>20585</v>
      </c>
      <c r="F150" s="604">
        <v>20715</v>
      </c>
      <c r="G150" s="605">
        <v>0.10127591706539076</v>
      </c>
      <c r="H150" s="606">
        <v>110704.34999999999</v>
      </c>
      <c r="I150" s="459">
        <v>31274.860899295709</v>
      </c>
      <c r="J150">
        <v>1.5097688100070339</v>
      </c>
      <c r="K150">
        <v>1.5276287769927734</v>
      </c>
      <c r="L150" s="605">
        <v>-1.1829603888595594E-2</v>
      </c>
      <c r="M150" s="606">
        <v>66442.236687340323</v>
      </c>
      <c r="N150">
        <v>3.2074456522973844</v>
      </c>
      <c r="O150" s="13">
        <v>3.1799999999999997</v>
      </c>
      <c r="P150" s="605">
        <v>8.5568565371408004E-3</v>
      </c>
      <c r="Q150" s="605">
        <v>0.11731474339864659</v>
      </c>
      <c r="R150" s="605">
        <v>0.11934893626195933</v>
      </c>
      <c r="S150" s="605">
        <v>-2.0341928633127448E-3</v>
      </c>
      <c r="T150" s="13"/>
    </row>
    <row r="151" spans="1:20" hidden="1" x14ac:dyDescent="0.2">
      <c r="A151" s="671">
        <v>53753</v>
      </c>
      <c r="B151" s="603" t="s">
        <v>664</v>
      </c>
      <c r="C151" s="603" t="s">
        <v>665</v>
      </c>
      <c r="D151" s="604">
        <v>16308</v>
      </c>
      <c r="E151" s="604">
        <v>16310</v>
      </c>
      <c r="F151" s="604">
        <v>18000</v>
      </c>
      <c r="G151" s="605">
        <v>0.10375275938189846</v>
      </c>
      <c r="H151" s="606">
        <v>90379.549999999988</v>
      </c>
      <c r="I151" s="459">
        <v>21191.364579469369</v>
      </c>
      <c r="J151">
        <v>1.1772980321927426</v>
      </c>
      <c r="K151">
        <v>1.35</v>
      </c>
      <c r="L151" s="605">
        <v>-0.14669349908416676</v>
      </c>
      <c r="M151" s="606">
        <v>52495.451450601431</v>
      </c>
      <c r="N151">
        <v>2.9164139694778575</v>
      </c>
      <c r="O151" s="13">
        <v>3.19</v>
      </c>
      <c r="P151" s="605">
        <v>-9.3809052276321442E-2</v>
      </c>
      <c r="Q151" s="605">
        <v>0.18469591815769376</v>
      </c>
      <c r="R151" s="605">
        <v>0.1694579787434668</v>
      </c>
      <c r="S151" s="605">
        <v>1.5237939414226964E-2</v>
      </c>
      <c r="T151" s="13"/>
    </row>
    <row r="152" spans="1:20" hidden="1" x14ac:dyDescent="0.2">
      <c r="A152" s="671">
        <v>54232</v>
      </c>
      <c r="B152" s="603" t="s">
        <v>666</v>
      </c>
      <c r="C152" s="603" t="s">
        <v>667</v>
      </c>
      <c r="D152" s="604">
        <v>15400</v>
      </c>
      <c r="E152" s="604">
        <v>16343</v>
      </c>
      <c r="F152" s="604">
        <v>16190</v>
      </c>
      <c r="G152" s="605">
        <v>5.1298701298701302E-2</v>
      </c>
      <c r="H152" s="606">
        <v>74695.199999999983</v>
      </c>
      <c r="I152" s="459">
        <v>23526.376651537761</v>
      </c>
      <c r="J152">
        <v>1.45314247384421</v>
      </c>
      <c r="K152">
        <v>1.6165862068965517</v>
      </c>
      <c r="L152" s="605">
        <v>-0.11247605516612569</v>
      </c>
      <c r="M152" s="606">
        <v>40835.309871338635</v>
      </c>
      <c r="N152">
        <v>2.5222550877911449</v>
      </c>
      <c r="O152" s="13">
        <v>2.666586206896552</v>
      </c>
      <c r="P152" s="605">
        <v>-5.7223046076518964E-2</v>
      </c>
      <c r="Q152" s="605">
        <v>0.13834240322167407</v>
      </c>
      <c r="R152" s="605">
        <v>8.9774297558728677E-2</v>
      </c>
      <c r="S152" s="605">
        <v>4.8568105662945393E-2</v>
      </c>
      <c r="T152" s="13"/>
    </row>
    <row r="153" spans="1:20" hidden="1" x14ac:dyDescent="0.2">
      <c r="A153" s="671">
        <v>29697</v>
      </c>
      <c r="B153" s="603" t="s">
        <v>668</v>
      </c>
      <c r="C153" s="603" t="s">
        <v>669</v>
      </c>
      <c r="D153" s="604">
        <v>15290</v>
      </c>
      <c r="E153" s="604">
        <v>17298</v>
      </c>
      <c r="F153" s="604">
        <v>17104</v>
      </c>
      <c r="G153" s="605">
        <v>0.11863963374754742</v>
      </c>
      <c r="H153" s="606">
        <v>87183.81</v>
      </c>
      <c r="I153" s="459">
        <v>21354.947238175024</v>
      </c>
      <c r="J153">
        <v>1.2485352688362386</v>
      </c>
      <c r="K153">
        <v>1.6425692802612031</v>
      </c>
      <c r="L153" s="605">
        <v>-0.31559702097341963</v>
      </c>
      <c r="M153" s="606">
        <v>53679.343177975672</v>
      </c>
      <c r="N153">
        <v>3.1384087452043774</v>
      </c>
      <c r="O153" s="13">
        <v>3.4998338607594941</v>
      </c>
      <c r="P153" s="605">
        <v>-0.11516190047182022</v>
      </c>
      <c r="Q153" s="605">
        <v>0.13935522643308779</v>
      </c>
      <c r="R153" s="605">
        <v>8.2131465153008412E-2</v>
      </c>
      <c r="S153" s="605">
        <v>5.7223761280079374E-2</v>
      </c>
      <c r="T153" s="13"/>
    </row>
    <row r="154" spans="1:20" hidden="1" x14ac:dyDescent="0.2">
      <c r="A154" s="671">
        <v>29695</v>
      </c>
      <c r="B154" s="603" t="s">
        <v>670</v>
      </c>
      <c r="C154" s="603" t="s">
        <v>671</v>
      </c>
      <c r="D154" s="604">
        <v>15120</v>
      </c>
      <c r="E154" s="604">
        <v>15155</v>
      </c>
      <c r="F154" s="604">
        <v>15261</v>
      </c>
      <c r="G154" s="605">
        <v>9.3253968253968252E-3</v>
      </c>
      <c r="H154" s="606">
        <v>85044.42</v>
      </c>
      <c r="I154" s="459">
        <v>19331.322832660258</v>
      </c>
      <c r="J154">
        <v>1.2667140313649341</v>
      </c>
      <c r="K154">
        <v>1.3165960192945703</v>
      </c>
      <c r="L154" s="605">
        <v>-3.9379044278751982E-2</v>
      </c>
      <c r="M154" s="606">
        <v>49208.041779831554</v>
      </c>
      <c r="N154">
        <v>3.2244310189261225</v>
      </c>
      <c r="O154" s="13">
        <v>3.4289013651521469</v>
      </c>
      <c r="P154" s="605">
        <v>-6.3412845561237052E-2</v>
      </c>
      <c r="Q154" s="605">
        <v>0.1940757005281262</v>
      </c>
      <c r="R154" s="605">
        <v>0.16901849896755397</v>
      </c>
      <c r="S154" s="605">
        <v>2.5057201560572229E-2</v>
      </c>
      <c r="T154" s="13"/>
    </row>
    <row r="155" spans="1:20" hidden="1" x14ac:dyDescent="0.2">
      <c r="A155" s="671">
        <v>29693</v>
      </c>
      <c r="B155" s="603" t="s">
        <v>672</v>
      </c>
      <c r="C155" s="603" t="s">
        <v>673</v>
      </c>
      <c r="D155" s="604">
        <v>12992</v>
      </c>
      <c r="E155" s="604">
        <v>12794</v>
      </c>
      <c r="F155" s="604">
        <v>12760</v>
      </c>
      <c r="G155" s="605">
        <v>-1.7857142857142856E-2</v>
      </c>
      <c r="H155" s="606">
        <v>69750</v>
      </c>
      <c r="I155" s="459">
        <v>19098.827788423918</v>
      </c>
      <c r="J155">
        <v>1.4967733376507772</v>
      </c>
      <c r="K155">
        <v>1.4544761034076514</v>
      </c>
      <c r="L155" s="605">
        <v>2.8258944209623861E-2</v>
      </c>
      <c r="M155" s="606">
        <v>45676.334302362193</v>
      </c>
      <c r="N155">
        <v>3.5796500236960966</v>
      </c>
      <c r="O155" s="13">
        <v>3.4400000000000004</v>
      </c>
      <c r="P155" s="605">
        <v>3.901220029099476E-2</v>
      </c>
      <c r="Q155" s="605">
        <v>7.1323840992313828E-2</v>
      </c>
      <c r="R155" s="605">
        <v>9.6183147723581428E-2</v>
      </c>
      <c r="S155" s="605">
        <v>-2.48593067312676E-2</v>
      </c>
      <c r="T155" s="13"/>
    </row>
    <row r="156" spans="1:20" hidden="1" x14ac:dyDescent="0.2">
      <c r="A156" s="671">
        <v>29644</v>
      </c>
      <c r="B156" s="603" t="s">
        <v>674</v>
      </c>
      <c r="C156" s="603" t="s">
        <v>675</v>
      </c>
      <c r="D156" s="604">
        <v>11235</v>
      </c>
      <c r="E156" s="604">
        <v>10583</v>
      </c>
      <c r="F156" s="604">
        <v>11767</v>
      </c>
      <c r="G156" s="605">
        <v>4.7352024922118381E-2</v>
      </c>
      <c r="H156" s="606">
        <v>59765.710000000006</v>
      </c>
      <c r="I156" s="459">
        <v>13239.13001200056</v>
      </c>
      <c r="J156">
        <v>1.1251066552222793</v>
      </c>
      <c r="K156">
        <v>1.4480891837301493</v>
      </c>
      <c r="L156" s="605">
        <v>-0.28706836548225795</v>
      </c>
      <c r="M156" s="606">
        <v>37464.792013718994</v>
      </c>
      <c r="N156">
        <v>3.18388646330577</v>
      </c>
      <c r="O156" s="13">
        <v>3.4146063712925665</v>
      </c>
      <c r="P156" s="605">
        <v>-7.2464866648305148E-2</v>
      </c>
      <c r="Q156" s="605">
        <v>0.15162185765517472</v>
      </c>
      <c r="R156" s="605">
        <v>0.15229362528766402</v>
      </c>
      <c r="S156" s="605">
        <v>-6.7176763248930071E-4</v>
      </c>
      <c r="T156" s="13"/>
    </row>
    <row r="157" spans="1:20" hidden="1" x14ac:dyDescent="0.2">
      <c r="A157" s="671">
        <v>29696</v>
      </c>
      <c r="B157" s="603" t="s">
        <v>676</v>
      </c>
      <c r="C157" s="603" t="s">
        <v>677</v>
      </c>
      <c r="D157" s="604">
        <v>10355</v>
      </c>
      <c r="E157" s="604">
        <v>12344</v>
      </c>
      <c r="F157" s="604">
        <v>12292</v>
      </c>
      <c r="G157" s="605">
        <v>0.18705939159826171</v>
      </c>
      <c r="H157" s="606">
        <v>68826.55</v>
      </c>
      <c r="I157" s="459">
        <v>13917.000923766984</v>
      </c>
      <c r="J157">
        <v>1.1321998799029436</v>
      </c>
      <c r="K157">
        <v>1.4391525559910665</v>
      </c>
      <c r="L157" s="605">
        <v>-0.2711117370145244</v>
      </c>
      <c r="M157" s="606">
        <v>34659.30193474226</v>
      </c>
      <c r="N157">
        <v>2.819663352972849</v>
      </c>
      <c r="O157" s="13">
        <v>3.9758978544776116</v>
      </c>
      <c r="P157" s="605">
        <v>-0.41006118701571681</v>
      </c>
      <c r="Q157" s="605">
        <v>0.29422144712310522</v>
      </c>
      <c r="R157" s="605">
        <v>0.13889493486078899</v>
      </c>
      <c r="S157" s="605">
        <v>0.15532651226231622</v>
      </c>
      <c r="T157" s="13"/>
    </row>
    <row r="158" spans="1:20" hidden="1" x14ac:dyDescent="0.2">
      <c r="A158" s="671">
        <v>53750</v>
      </c>
      <c r="B158" s="603" t="s">
        <v>434</v>
      </c>
      <c r="C158" s="603" t="s">
        <v>678</v>
      </c>
      <c r="D158" s="604">
        <v>7452</v>
      </c>
      <c r="E158" s="604">
        <v>5987</v>
      </c>
      <c r="F158" s="604">
        <v>6025</v>
      </c>
      <c r="G158" s="605">
        <v>-0.19149221685453569</v>
      </c>
      <c r="H158" s="606">
        <v>45633.399999999994</v>
      </c>
      <c r="I158" s="459">
        <v>11137.890740900008</v>
      </c>
      <c r="J158">
        <v>1.8486125711037358</v>
      </c>
      <c r="K158">
        <v>1.8</v>
      </c>
      <c r="L158" s="605">
        <v>2.6296787041056976E-2</v>
      </c>
      <c r="M158" s="606">
        <v>32233.128050898267</v>
      </c>
      <c r="N158">
        <v>5.3498967719333228</v>
      </c>
      <c r="O158" s="13">
        <v>4.5599999999999996</v>
      </c>
      <c r="P158" s="605">
        <v>0.14764710528197234</v>
      </c>
      <c r="Q158" s="605">
        <v>4.9577309781907983E-2</v>
      </c>
      <c r="R158" s="605">
        <v>0.13542575306729718</v>
      </c>
      <c r="S158" s="605">
        <v>-8.5848443285389195E-2</v>
      </c>
      <c r="T158" s="13"/>
    </row>
    <row r="159" spans="1:20" hidden="1" x14ac:dyDescent="0.2">
      <c r="A159" s="671">
        <v>29692</v>
      </c>
      <c r="B159" s="603" t="s">
        <v>679</v>
      </c>
      <c r="C159" s="603" t="s">
        <v>680</v>
      </c>
      <c r="D159" s="604">
        <v>1320</v>
      </c>
      <c r="E159" s="604">
        <v>12251</v>
      </c>
      <c r="F159" s="604">
        <v>39382</v>
      </c>
      <c r="G159" s="605">
        <v>28.834848484848486</v>
      </c>
      <c r="H159" s="606">
        <v>106508.36000000002</v>
      </c>
      <c r="I159" s="459">
        <v>47496.667504309793</v>
      </c>
      <c r="J159">
        <v>1.2060501626202274</v>
      </c>
      <c r="K159">
        <v>1.127251691878981</v>
      </c>
      <c r="L159" s="605">
        <v>6.533598119173685E-2</v>
      </c>
      <c r="M159" s="606">
        <v>27773.637719321701</v>
      </c>
      <c r="N159">
        <v>0.70523685235187905</v>
      </c>
      <c r="O159" s="13">
        <v>0.61304488455414008</v>
      </c>
      <c r="P159" s="605">
        <v>0.13072483023297773</v>
      </c>
      <c r="Q159" s="605">
        <v>0.29329204558560956</v>
      </c>
      <c r="R159" s="605">
        <v>0.32227793522757542</v>
      </c>
      <c r="S159" s="605">
        <v>-2.8985889641965856E-2</v>
      </c>
      <c r="T159" s="13"/>
    </row>
    <row r="160" spans="1:20" hidden="1" x14ac:dyDescent="0.2">
      <c r="A160" s="671">
        <v>29684</v>
      </c>
      <c r="B160" s="603" t="s">
        <v>681</v>
      </c>
      <c r="C160" s="603" t="s">
        <v>682</v>
      </c>
      <c r="D160" s="604">
        <v>498</v>
      </c>
      <c r="E160" s="604">
        <v>13204</v>
      </c>
      <c r="F160" s="604"/>
      <c r="G160" s="605">
        <v>-1</v>
      </c>
      <c r="H160" s="606">
        <v>64633.700000000004</v>
      </c>
      <c r="I160" s="459">
        <v>26688.663408724176</v>
      </c>
      <c r="K160">
        <v>2.0499999999999998</v>
      </c>
      <c r="L160" s="605"/>
      <c r="M160" s="606">
        <v>33094.512499443699</v>
      </c>
      <c r="N160">
        <v>0</v>
      </c>
      <c r="O160" s="13">
        <v>2.2599999999999998</v>
      </c>
      <c r="P160" s="605"/>
      <c r="Q160" s="605">
        <v>7.5046362684360143E-2</v>
      </c>
      <c r="R160" s="605">
        <v>6.3859937168607092E-2</v>
      </c>
      <c r="S160" s="605">
        <v>1.1186425515753051E-2</v>
      </c>
      <c r="T160" s="13"/>
    </row>
    <row r="161" spans="1:20" hidden="1" x14ac:dyDescent="0.2">
      <c r="A161" s="671">
        <v>29638</v>
      </c>
      <c r="B161" s="603" t="s">
        <v>660</v>
      </c>
      <c r="C161" s="603" t="s">
        <v>683</v>
      </c>
      <c r="D161" s="604"/>
      <c r="E161" s="604"/>
      <c r="F161" s="604">
        <v>1989</v>
      </c>
      <c r="G161" s="605"/>
      <c r="H161" s="606">
        <v>5967</v>
      </c>
      <c r="I161" s="459"/>
      <c r="L161" s="605"/>
      <c r="M161" s="606"/>
      <c r="N161">
        <v>0.56000000000000005</v>
      </c>
      <c r="O161" s="13"/>
      <c r="P161" s="605"/>
      <c r="Q161" s="605">
        <v>1</v>
      </c>
      <c r="R161" s="605"/>
      <c r="S161" s="605">
        <v>1</v>
      </c>
      <c r="T161" s="13"/>
    </row>
    <row r="162" spans="1:20" hidden="1" x14ac:dyDescent="0.2">
      <c r="A162" s="671">
        <v>29663</v>
      </c>
      <c r="B162" s="603" t="s">
        <v>684</v>
      </c>
      <c r="C162" s="603" t="s">
        <v>685</v>
      </c>
      <c r="D162" s="604">
        <v>39072</v>
      </c>
      <c r="E162" s="604">
        <v>39144</v>
      </c>
      <c r="F162" s="604">
        <v>39146</v>
      </c>
      <c r="G162" s="605">
        <v>1.893939393939394E-3</v>
      </c>
      <c r="H162" s="606">
        <v>234049.54000000004</v>
      </c>
      <c r="I162" s="459"/>
      <c r="J162">
        <v>1.36</v>
      </c>
      <c r="K162">
        <v>1.1000000000000001</v>
      </c>
      <c r="L162" s="605"/>
      <c r="M162" s="606">
        <v>123343.69780437085</v>
      </c>
      <c r="N162">
        <v>3.5408633782345795</v>
      </c>
      <c r="O162" s="13">
        <v>2.7100337294107808</v>
      </c>
      <c r="P162" s="605">
        <v>0.13990757322864134</v>
      </c>
      <c r="Q162" s="605">
        <v>0.47300175080724005</v>
      </c>
      <c r="R162" s="605">
        <v>0.34086206083950049</v>
      </c>
      <c r="S162" s="605">
        <v>0.13213968996773956</v>
      </c>
      <c r="T162" s="13"/>
    </row>
    <row r="163" spans="1:20" hidden="1" x14ac:dyDescent="0.2">
      <c r="A163" s="671">
        <v>53709</v>
      </c>
      <c r="B163" s="603" t="s">
        <v>686</v>
      </c>
      <c r="C163" s="603" t="s">
        <v>687</v>
      </c>
      <c r="D163" s="604">
        <v>38500</v>
      </c>
      <c r="E163" s="604">
        <v>35351</v>
      </c>
      <c r="F163" s="604">
        <v>64204</v>
      </c>
      <c r="G163" s="605">
        <v>0.66763636363636358</v>
      </c>
      <c r="H163" s="606">
        <v>355815.93</v>
      </c>
      <c r="I163" s="459"/>
      <c r="J163">
        <v>1.36</v>
      </c>
      <c r="K163">
        <v>1.1000000000000001</v>
      </c>
      <c r="L163" s="605"/>
      <c r="M163" s="606">
        <v>104261.73852348042</v>
      </c>
      <c r="N163">
        <v>2.0139134403383032</v>
      </c>
      <c r="O163" s="13">
        <v>2.7759999999999998</v>
      </c>
      <c r="P163" s="605">
        <v>-0.70945072012070232</v>
      </c>
      <c r="Q163" s="605">
        <v>0.70697844100605489</v>
      </c>
      <c r="R163" s="605">
        <v>0.30245744680851067</v>
      </c>
      <c r="S163" s="605">
        <v>0.40452099419754423</v>
      </c>
      <c r="T163" s="13"/>
    </row>
    <row r="164" spans="1:20" hidden="1" x14ac:dyDescent="0.2">
      <c r="A164" s="671">
        <v>29648</v>
      </c>
      <c r="B164" s="603" t="s">
        <v>654</v>
      </c>
      <c r="C164" s="603" t="s">
        <v>688</v>
      </c>
      <c r="D164" s="604">
        <v>37400</v>
      </c>
      <c r="E164" s="604">
        <v>37357</v>
      </c>
      <c r="F164" s="604">
        <v>37918</v>
      </c>
      <c r="G164" s="605">
        <v>1.3850267379679145E-2</v>
      </c>
      <c r="H164" s="606">
        <v>196038.66999999998</v>
      </c>
      <c r="I164" s="459"/>
      <c r="J164">
        <v>1.36</v>
      </c>
      <c r="K164">
        <v>1.1000000000000001</v>
      </c>
      <c r="L164" s="605"/>
      <c r="M164" s="606">
        <v>95887.728299470953</v>
      </c>
      <c r="N164">
        <v>2.9188181945110756</v>
      </c>
      <c r="O164" s="13">
        <v>2.6506232018466012</v>
      </c>
      <c r="P164" s="605">
        <v>-4.8166771181854612E-2</v>
      </c>
      <c r="Q164" s="605">
        <v>0.51087339911319052</v>
      </c>
      <c r="R164" s="605">
        <v>0.29137251039103484</v>
      </c>
      <c r="S164" s="605">
        <v>0.21950088872215567</v>
      </c>
      <c r="T164" s="13"/>
    </row>
    <row r="165" spans="1:20" hidden="1" x14ac:dyDescent="0.2">
      <c r="A165" s="671">
        <v>29662</v>
      </c>
      <c r="B165" s="603" t="s">
        <v>689</v>
      </c>
      <c r="C165" s="603" t="s">
        <v>690</v>
      </c>
      <c r="D165" s="604">
        <v>36075</v>
      </c>
      <c r="E165" s="604">
        <v>36281</v>
      </c>
      <c r="F165" s="604">
        <v>36288</v>
      </c>
      <c r="G165" s="605">
        <v>5.9043659043659042E-3</v>
      </c>
      <c r="H165" s="606">
        <v>196296.47999999998</v>
      </c>
      <c r="I165" s="459"/>
      <c r="J165">
        <v>1.36</v>
      </c>
      <c r="K165">
        <v>1.1000000000000001</v>
      </c>
      <c r="L165" s="605"/>
      <c r="M165" s="606">
        <v>98481.939363230369</v>
      </c>
      <c r="N165">
        <v>3.1038982408297611</v>
      </c>
      <c r="O165" s="13">
        <v>2.5460000000000003</v>
      </c>
      <c r="P165" s="605">
        <v>6.1866078213170819E-2</v>
      </c>
      <c r="Q165" s="605">
        <v>0.49830002370276644</v>
      </c>
      <c r="R165" s="605">
        <v>0.32614887797849929</v>
      </c>
      <c r="S165" s="605">
        <v>0.17215114572426715</v>
      </c>
      <c r="T165" s="13"/>
    </row>
    <row r="166" spans="1:20" hidden="1" x14ac:dyDescent="0.2">
      <c r="A166" s="671">
        <v>54260</v>
      </c>
      <c r="B166" s="603" t="s">
        <v>691</v>
      </c>
      <c r="C166" s="603" t="s">
        <v>692</v>
      </c>
      <c r="D166" s="604">
        <v>29160</v>
      </c>
      <c r="E166" s="604">
        <v>29270</v>
      </c>
      <c r="F166" s="604"/>
      <c r="G166" s="605">
        <v>-1</v>
      </c>
      <c r="H166" s="606"/>
      <c r="I166" s="459"/>
      <c r="J166">
        <v>1.36</v>
      </c>
      <c r="K166">
        <v>1.1000000000000001</v>
      </c>
      <c r="L166" s="605"/>
      <c r="M166" s="606">
        <v>81677.742251118456</v>
      </c>
      <c r="N166">
        <v>0.39</v>
      </c>
      <c r="O166" s="13">
        <v>2.7060000000000004</v>
      </c>
      <c r="P166" s="605"/>
      <c r="Q166" s="605"/>
      <c r="R166" s="605">
        <v>0.23242016659540596</v>
      </c>
      <c r="S166" s="605">
        <v>-0.23242016659540596</v>
      </c>
      <c r="T166" s="13"/>
    </row>
    <row r="167" spans="1:20" hidden="1" x14ac:dyDescent="0.2">
      <c r="A167" s="671">
        <v>29652</v>
      </c>
      <c r="B167" s="603" t="s">
        <v>693</v>
      </c>
      <c r="C167" s="603" t="s">
        <v>694</v>
      </c>
      <c r="D167" s="604">
        <v>22400</v>
      </c>
      <c r="E167" s="604">
        <v>26352</v>
      </c>
      <c r="F167" s="604">
        <v>26639</v>
      </c>
      <c r="G167" s="605">
        <v>0.18924107142857144</v>
      </c>
      <c r="H167" s="606">
        <v>78433.960000000006</v>
      </c>
      <c r="I167" s="459"/>
      <c r="J167">
        <v>1.36</v>
      </c>
      <c r="K167">
        <v>1.1000000000000001</v>
      </c>
      <c r="L167" s="605"/>
      <c r="M167" s="606"/>
      <c r="N167">
        <v>0.56000000000000005</v>
      </c>
      <c r="O167" s="13">
        <v>4.4474037831310209E-4</v>
      </c>
      <c r="P167" s="605"/>
      <c r="Q167" s="605">
        <v>1</v>
      </c>
      <c r="R167" s="605">
        <v>0.66722014609835334</v>
      </c>
      <c r="S167" s="605">
        <v>0.33277985390164666</v>
      </c>
      <c r="T167" s="13"/>
    </row>
    <row r="168" spans="1:20" hidden="1" x14ac:dyDescent="0.2">
      <c r="A168" s="671">
        <v>52011</v>
      </c>
      <c r="B168" s="603" t="s">
        <v>695</v>
      </c>
      <c r="C168" s="603" t="s">
        <v>696</v>
      </c>
      <c r="D168" s="604">
        <v>16767</v>
      </c>
      <c r="E168" s="604">
        <v>10438</v>
      </c>
      <c r="F168" s="604">
        <v>10526</v>
      </c>
      <c r="G168" s="605">
        <v>-0.37221924017415159</v>
      </c>
      <c r="H168" s="606">
        <v>56784.62</v>
      </c>
      <c r="I168" s="459"/>
      <c r="J168">
        <v>1.36</v>
      </c>
      <c r="K168">
        <v>1.2</v>
      </c>
      <c r="L168" s="605"/>
      <c r="M168" s="606">
        <v>26027.327798294333</v>
      </c>
      <c r="N168">
        <v>2.8626703209475903</v>
      </c>
      <c r="O168" s="13">
        <v>3.0759999999999996</v>
      </c>
      <c r="P168" s="605">
        <v>-0.24399923998812673</v>
      </c>
      <c r="Q168" s="605">
        <v>0.54164828789389918</v>
      </c>
      <c r="R168" s="605">
        <v>0.28380367964266257</v>
      </c>
      <c r="S168" s="605">
        <v>0.25784460825123662</v>
      </c>
      <c r="T168" s="13"/>
    </row>
    <row r="169" spans="1:20" hidden="1" x14ac:dyDescent="0.2">
      <c r="A169" s="671">
        <v>54231</v>
      </c>
      <c r="B169" s="603" t="s">
        <v>697</v>
      </c>
      <c r="C169" s="603" t="s">
        <v>698</v>
      </c>
      <c r="D169" s="604">
        <v>16050</v>
      </c>
      <c r="E169" s="604">
        <v>13984</v>
      </c>
      <c r="F169" s="604">
        <v>14263</v>
      </c>
      <c r="G169" s="605">
        <v>-0.11133956386292834</v>
      </c>
      <c r="H169" s="606">
        <v>85997.790000000008</v>
      </c>
      <c r="I169" s="459"/>
      <c r="J169">
        <v>1.36</v>
      </c>
      <c r="K169">
        <v>1.31</v>
      </c>
      <c r="L169" s="605"/>
      <c r="M169" s="606">
        <v>46697.294771925801</v>
      </c>
      <c r="N169">
        <v>3.6640163199835802</v>
      </c>
      <c r="O169" s="13">
        <v>1.6159999999999999</v>
      </c>
      <c r="P169" s="605">
        <v>0.5064166326427767</v>
      </c>
      <c r="Q169" s="605">
        <v>0.45699424634137931</v>
      </c>
      <c r="R169" s="605">
        <v>0.43009698304811539</v>
      </c>
      <c r="S169" s="605">
        <v>2.6897263293263918E-2</v>
      </c>
      <c r="T169" s="13"/>
    </row>
    <row r="170" spans="1:20" hidden="1" x14ac:dyDescent="0.2">
      <c r="A170" s="671">
        <v>29664</v>
      </c>
      <c r="B170" s="603" t="s">
        <v>699</v>
      </c>
      <c r="C170" s="603" t="s">
        <v>700</v>
      </c>
      <c r="D170" s="604">
        <v>15540</v>
      </c>
      <c r="E170" s="604">
        <v>17762</v>
      </c>
      <c r="F170" s="604">
        <v>17762</v>
      </c>
      <c r="G170" s="605">
        <v>0.14298584298584299</v>
      </c>
      <c r="H170" s="606">
        <v>86602.200000000012</v>
      </c>
      <c r="I170" s="459"/>
      <c r="J170">
        <v>1.36</v>
      </c>
      <c r="K170">
        <v>1.1000000000000001</v>
      </c>
      <c r="L170" s="605"/>
      <c r="M170" s="606">
        <v>35318.050125262678</v>
      </c>
      <c r="N170">
        <v>2.3784050290092713</v>
      </c>
      <c r="O170" s="13">
        <v>2.6322280024224369</v>
      </c>
      <c r="P170" s="605">
        <v>-0.32378864668932777</v>
      </c>
      <c r="Q170" s="605">
        <v>0.59218068218517916</v>
      </c>
      <c r="R170" s="605">
        <v>0.31710716520491528</v>
      </c>
      <c r="S170" s="605">
        <v>0.27507351698026389</v>
      </c>
      <c r="T170" s="13"/>
    </row>
    <row r="171" spans="1:20" hidden="1" x14ac:dyDescent="0.2">
      <c r="A171" s="671">
        <v>29668</v>
      </c>
      <c r="B171" s="603" t="s">
        <v>701</v>
      </c>
      <c r="C171" s="603" t="s">
        <v>702</v>
      </c>
      <c r="D171" s="604">
        <v>14148</v>
      </c>
      <c r="E171" s="604">
        <v>14678</v>
      </c>
      <c r="F171" s="604">
        <v>14863</v>
      </c>
      <c r="G171" s="605">
        <v>5.053717839977382E-2</v>
      </c>
      <c r="H171" s="606">
        <v>47466.729999999996</v>
      </c>
      <c r="I171" s="459"/>
      <c r="J171">
        <v>1.36</v>
      </c>
      <c r="K171">
        <v>1.1000000000000001</v>
      </c>
      <c r="L171" s="605"/>
      <c r="M171" s="606">
        <v>6355.5636629588334</v>
      </c>
      <c r="N171">
        <v>0.81760974654907037</v>
      </c>
      <c r="O171" s="13">
        <v>0.45982852669508911</v>
      </c>
      <c r="P171" s="605">
        <v>-7.5346224930636446E-2</v>
      </c>
      <c r="Q171" s="605">
        <v>0.86610487676402326</v>
      </c>
      <c r="R171" s="605">
        <v>0.49635376317695523</v>
      </c>
      <c r="S171" s="605">
        <v>0.36975111358706803</v>
      </c>
      <c r="T171" s="13"/>
    </row>
    <row r="172" spans="1:20" hidden="1" x14ac:dyDescent="0.2">
      <c r="A172" s="671">
        <v>54234</v>
      </c>
      <c r="B172" s="603" t="s">
        <v>703</v>
      </c>
      <c r="C172" s="603" t="s">
        <v>704</v>
      </c>
      <c r="D172" s="604">
        <v>13482</v>
      </c>
      <c r="E172" s="604">
        <v>13873</v>
      </c>
      <c r="F172" s="604">
        <v>14375</v>
      </c>
      <c r="G172" s="605">
        <v>6.6236463432725115E-2</v>
      </c>
      <c r="H172" s="606">
        <v>73282.25</v>
      </c>
      <c r="I172" s="459"/>
      <c r="J172">
        <v>1.36</v>
      </c>
      <c r="K172">
        <v>1.0977870826491516</v>
      </c>
      <c r="L172" s="605"/>
      <c r="M172" s="606">
        <v>34877.881373081211</v>
      </c>
      <c r="N172">
        <v>2.816287399866519</v>
      </c>
      <c r="O172" s="13">
        <v>2.7137870826491515</v>
      </c>
      <c r="P172" s="605">
        <v>-0.11849366352825691</v>
      </c>
      <c r="Q172" s="605">
        <v>0.52406099194441746</v>
      </c>
      <c r="R172" s="605">
        <v>0.29832423963040772</v>
      </c>
      <c r="S172" s="605">
        <v>0.22573675231400975</v>
      </c>
      <c r="T172" s="13"/>
    </row>
    <row r="173" spans="1:20" hidden="1" x14ac:dyDescent="0.2">
      <c r="A173" s="671">
        <v>51980</v>
      </c>
      <c r="B173" s="603" t="s">
        <v>426</v>
      </c>
      <c r="C173" s="603" t="s">
        <v>705</v>
      </c>
      <c r="D173" s="604">
        <v>12765</v>
      </c>
      <c r="E173" s="604">
        <v>14124</v>
      </c>
      <c r="F173" s="604">
        <v>14124</v>
      </c>
      <c r="G173" s="605">
        <v>0.10646298472385429</v>
      </c>
      <c r="H173" s="606">
        <v>78694.2</v>
      </c>
      <c r="I173" s="459"/>
      <c r="J173">
        <v>1.36</v>
      </c>
      <c r="K173">
        <v>1.1000000000000001</v>
      </c>
      <c r="L173" s="605"/>
      <c r="M173" s="606">
        <v>36987.624065544296</v>
      </c>
      <c r="N173">
        <v>3.0087782544282282</v>
      </c>
      <c r="O173" s="13">
        <v>2.5813508840516777</v>
      </c>
      <c r="P173" s="605">
        <v>1.4291920407259582E-2</v>
      </c>
      <c r="Q173" s="605">
        <v>0.52998284415440655</v>
      </c>
      <c r="R173" s="605">
        <v>0.32994880744514943</v>
      </c>
      <c r="S173" s="605">
        <v>0.20003403670925712</v>
      </c>
      <c r="T173" s="13"/>
    </row>
    <row r="174" spans="1:20" hidden="1" x14ac:dyDescent="0.2">
      <c r="A174" s="671">
        <v>29669</v>
      </c>
      <c r="B174" s="603" t="s">
        <v>706</v>
      </c>
      <c r="C174" s="603" t="s">
        <v>707</v>
      </c>
      <c r="D174" s="604">
        <v>12654</v>
      </c>
      <c r="E174" s="604">
        <v>13574</v>
      </c>
      <c r="F174" s="604">
        <v>13546</v>
      </c>
      <c r="G174" s="605">
        <v>7.0491544175754706E-2</v>
      </c>
      <c r="H174" s="606">
        <v>73306.06</v>
      </c>
      <c r="I174" s="459"/>
      <c r="J174">
        <v>1.36</v>
      </c>
      <c r="K174">
        <v>1.1000000000000001</v>
      </c>
      <c r="L174" s="605"/>
      <c r="M174" s="606">
        <v>34747.344058954557</v>
      </c>
      <c r="N174">
        <v>2.9551368713239747</v>
      </c>
      <c r="O174" s="13">
        <v>2.3832110024811355</v>
      </c>
      <c r="P174" s="605">
        <v>7.0922480151688574E-2</v>
      </c>
      <c r="Q174" s="605">
        <v>0.52599629472714049</v>
      </c>
      <c r="R174" s="605">
        <v>0.33532891075187082</v>
      </c>
      <c r="S174" s="605">
        <v>0.19066738397526967</v>
      </c>
      <c r="T174" s="13"/>
    </row>
    <row r="175" spans="1:20" hidden="1" x14ac:dyDescent="0.2">
      <c r="A175" s="671">
        <v>29667</v>
      </c>
      <c r="B175" s="603" t="s">
        <v>708</v>
      </c>
      <c r="C175" s="603" t="s">
        <v>709</v>
      </c>
      <c r="D175" s="604">
        <v>11330</v>
      </c>
      <c r="E175" s="604">
        <v>11404</v>
      </c>
      <c r="F175" s="604">
        <v>11532</v>
      </c>
      <c r="G175" s="605">
        <v>1.7828773168578994E-2</v>
      </c>
      <c r="H175" s="606">
        <v>62507.270000000004</v>
      </c>
      <c r="I175" s="459"/>
      <c r="J175">
        <v>1.36</v>
      </c>
      <c r="K175">
        <v>1.1000000000000001</v>
      </c>
      <c r="L175" s="605"/>
      <c r="M175" s="606">
        <v>30078.298495095529</v>
      </c>
      <c r="N175">
        <v>2.9982464876080064</v>
      </c>
      <c r="O175" s="13">
        <v>2.8805771419965547</v>
      </c>
      <c r="P175" s="605">
        <v>-0.10441139504353357</v>
      </c>
      <c r="Q175" s="605">
        <v>0.51880319689060928</v>
      </c>
      <c r="R175" s="605">
        <v>0.27617844289079529</v>
      </c>
      <c r="S175" s="605">
        <v>0.24262475399981398</v>
      </c>
      <c r="T175" s="13"/>
    </row>
    <row r="176" spans="1:20" hidden="1" x14ac:dyDescent="0.2">
      <c r="A176" s="671">
        <v>49515</v>
      </c>
      <c r="B176" s="603" t="s">
        <v>710</v>
      </c>
      <c r="C176" s="603" t="s">
        <v>711</v>
      </c>
      <c r="D176" s="604">
        <v>10670</v>
      </c>
      <c r="E176" s="604">
        <v>10038</v>
      </c>
      <c r="F176" s="604">
        <v>10038</v>
      </c>
      <c r="G176" s="605">
        <v>-5.923149015932521E-2</v>
      </c>
      <c r="H176" s="606">
        <v>56214.5</v>
      </c>
      <c r="I176" s="459"/>
      <c r="J176">
        <v>1.36</v>
      </c>
      <c r="K176">
        <v>1.1000000000000001</v>
      </c>
      <c r="L176" s="605"/>
      <c r="M176" s="606">
        <v>27193.153748070421</v>
      </c>
      <c r="N176">
        <v>3.099021094647382</v>
      </c>
      <c r="O176" s="13">
        <v>2.6238730235201944</v>
      </c>
      <c r="P176" s="605">
        <v>3.1431306052000577E-2</v>
      </c>
      <c r="Q176" s="605">
        <v>0.51626086244526903</v>
      </c>
      <c r="R176" s="605">
        <v>0.34243528145824098</v>
      </c>
      <c r="S176" s="605">
        <v>0.17382558098702805</v>
      </c>
      <c r="T176" s="13"/>
    </row>
    <row r="177" spans="1:20" hidden="1" x14ac:dyDescent="0.2">
      <c r="A177" s="671">
        <v>52854</v>
      </c>
      <c r="B177" s="603" t="s">
        <v>712</v>
      </c>
      <c r="C177" s="603" t="s">
        <v>713</v>
      </c>
      <c r="D177" s="604">
        <v>10464</v>
      </c>
      <c r="E177" s="604">
        <v>11182</v>
      </c>
      <c r="F177" s="604">
        <v>11073</v>
      </c>
      <c r="G177" s="605">
        <v>5.8199541284403668E-2</v>
      </c>
      <c r="H177" s="606">
        <v>62677.2</v>
      </c>
      <c r="I177" s="459"/>
      <c r="J177">
        <v>1.36</v>
      </c>
      <c r="K177">
        <v>1.1000000000000001</v>
      </c>
      <c r="L177" s="605"/>
      <c r="M177" s="606">
        <v>28342.981976404739</v>
      </c>
      <c r="N177">
        <v>2.9496479704149499</v>
      </c>
      <c r="O177" s="13">
        <v>2.7251129081905905</v>
      </c>
      <c r="P177" s="605">
        <v>-6.4643630564876819E-2</v>
      </c>
      <c r="Q177" s="605">
        <v>0.54779438174639672</v>
      </c>
      <c r="R177" s="605">
        <v>0.3326236263910371</v>
      </c>
      <c r="S177" s="605">
        <v>0.21517075535535962</v>
      </c>
      <c r="T177" s="13"/>
    </row>
    <row r="178" spans="1:20" hidden="1" x14ac:dyDescent="0.2">
      <c r="A178" s="671">
        <v>29641</v>
      </c>
      <c r="B178" s="603" t="s">
        <v>714</v>
      </c>
      <c r="C178" s="603" t="s">
        <v>715</v>
      </c>
      <c r="D178" s="604">
        <v>10355</v>
      </c>
      <c r="E178" s="604">
        <v>8862</v>
      </c>
      <c r="F178" s="604">
        <v>9569</v>
      </c>
      <c r="G178" s="605">
        <v>-7.5905359729599234E-2</v>
      </c>
      <c r="H178" s="606">
        <v>29855.279999999999</v>
      </c>
      <c r="I178" s="459"/>
      <c r="J178">
        <v>1.36</v>
      </c>
      <c r="K178">
        <v>1.1000000000000001</v>
      </c>
      <c r="L178" s="605"/>
      <c r="M178" s="606"/>
      <c r="N178">
        <v>0.56000000000000005</v>
      </c>
      <c r="O178" s="13">
        <v>4.4474037831310209E-4</v>
      </c>
      <c r="P178" s="605"/>
      <c r="Q178" s="605">
        <v>1</v>
      </c>
      <c r="R178" s="605">
        <v>0.64688591311182353</v>
      </c>
      <c r="S178" s="605">
        <v>0.35311408688817647</v>
      </c>
      <c r="T178" s="13"/>
    </row>
    <row r="179" spans="1:20" hidden="1" x14ac:dyDescent="0.2">
      <c r="A179" s="671">
        <v>29654</v>
      </c>
      <c r="B179" s="603" t="s">
        <v>716</v>
      </c>
      <c r="C179" s="603" t="s">
        <v>717</v>
      </c>
      <c r="D179" s="604">
        <v>8658</v>
      </c>
      <c r="E179" s="604">
        <v>9989</v>
      </c>
      <c r="F179" s="604">
        <v>9989</v>
      </c>
      <c r="G179" s="605">
        <v>0.15373065373065373</v>
      </c>
      <c r="H179" s="606">
        <v>53163.519999999997</v>
      </c>
      <c r="I179" s="459"/>
      <c r="J179">
        <v>1.36</v>
      </c>
      <c r="K179">
        <v>1.1000000000000001</v>
      </c>
      <c r="L179" s="605"/>
      <c r="M179" s="606">
        <v>22461.026738598553</v>
      </c>
      <c r="N179">
        <v>2.6385761075781913</v>
      </c>
      <c r="O179" s="13">
        <v>1.9959999999999998</v>
      </c>
      <c r="P179" s="605">
        <v>0.11232713303630457</v>
      </c>
      <c r="Q179" s="605">
        <v>0.57751054221769826</v>
      </c>
      <c r="R179" s="605">
        <v>0.3569243583703518</v>
      </c>
      <c r="S179" s="605">
        <v>0.22058618384734646</v>
      </c>
      <c r="T179" s="13"/>
    </row>
    <row r="180" spans="1:20" hidden="1" x14ac:dyDescent="0.2">
      <c r="A180" s="671">
        <v>29647</v>
      </c>
      <c r="B180" s="603" t="s">
        <v>718</v>
      </c>
      <c r="C180" s="603" t="s">
        <v>719</v>
      </c>
      <c r="D180" s="604">
        <v>8100</v>
      </c>
      <c r="E180" s="604">
        <v>8492</v>
      </c>
      <c r="F180" s="604">
        <v>8535</v>
      </c>
      <c r="G180" s="605">
        <v>5.3703703703703705E-2</v>
      </c>
      <c r="H180" s="606">
        <v>47766.080000000002</v>
      </c>
      <c r="I180" s="459"/>
      <c r="J180">
        <v>1.36</v>
      </c>
      <c r="K180">
        <v>1.1000000000000001</v>
      </c>
      <c r="L180" s="605"/>
      <c r="M180" s="606">
        <v>24531.075159650092</v>
      </c>
      <c r="N180">
        <v>3.2641740081605266</v>
      </c>
      <c r="O180" s="13">
        <v>2.7866160958770338</v>
      </c>
      <c r="P180" s="605">
        <v>3.0463678272398601E-2</v>
      </c>
      <c r="Q180" s="605">
        <v>0.4864331517334039</v>
      </c>
      <c r="R180" s="605">
        <v>0.31340237097688856</v>
      </c>
      <c r="S180" s="605">
        <v>0.17303078075651535</v>
      </c>
      <c r="T180" s="13"/>
    </row>
    <row r="181" spans="1:20" hidden="1" x14ac:dyDescent="0.2">
      <c r="A181" s="671">
        <v>29650</v>
      </c>
      <c r="B181" s="603" t="s">
        <v>720</v>
      </c>
      <c r="C181" s="603" t="s">
        <v>721</v>
      </c>
      <c r="D181" s="604">
        <v>8004</v>
      </c>
      <c r="E181" s="604">
        <v>8867</v>
      </c>
      <c r="F181" s="604">
        <v>11038</v>
      </c>
      <c r="G181" s="605">
        <v>0.37906046976511742</v>
      </c>
      <c r="H181" s="606">
        <v>58126.02</v>
      </c>
      <c r="I181" s="459"/>
      <c r="J181">
        <v>1.36</v>
      </c>
      <c r="K181">
        <v>1.1000000000000001</v>
      </c>
      <c r="L181" s="605"/>
      <c r="M181" s="606">
        <v>24785.22757434201</v>
      </c>
      <c r="N181">
        <v>2.6354455131674226</v>
      </c>
      <c r="O181" s="13">
        <v>2.3159999999999998</v>
      </c>
      <c r="P181" s="605">
        <v>-3.1421152915464559E-2</v>
      </c>
      <c r="Q181" s="605">
        <v>0.57359496531257415</v>
      </c>
      <c r="R181" s="605">
        <v>0.35319544012626258</v>
      </c>
      <c r="S181" s="605">
        <v>0.22039952518631156</v>
      </c>
      <c r="T181" s="13"/>
    </row>
    <row r="182" spans="1:20" hidden="1" x14ac:dyDescent="0.2">
      <c r="A182" s="671">
        <v>29658</v>
      </c>
      <c r="B182" s="603" t="s">
        <v>722</v>
      </c>
      <c r="C182" s="603" t="s">
        <v>723</v>
      </c>
      <c r="D182" s="604">
        <v>7085</v>
      </c>
      <c r="E182" s="604">
        <v>6666</v>
      </c>
      <c r="F182" s="604">
        <v>6667</v>
      </c>
      <c r="G182" s="605">
        <v>-5.8997882851093864E-2</v>
      </c>
      <c r="H182" s="606">
        <v>45201.93</v>
      </c>
      <c r="I182" s="459"/>
      <c r="J182">
        <v>1.36</v>
      </c>
      <c r="K182">
        <v>1.1000000000000001</v>
      </c>
      <c r="L182" s="605"/>
      <c r="M182" s="606">
        <v>22671.407785317118</v>
      </c>
      <c r="N182">
        <v>3.7905411407405309</v>
      </c>
      <c r="O182" s="13">
        <v>3.391249445382047</v>
      </c>
      <c r="P182" s="605">
        <v>2.7324166872042029E-3</v>
      </c>
      <c r="Q182" s="605">
        <v>0.49844159784068692</v>
      </c>
      <c r="R182" s="605">
        <v>0.30203131150699702</v>
      </c>
      <c r="S182" s="605">
        <v>0.1964102863336899</v>
      </c>
      <c r="T182" s="13"/>
    </row>
    <row r="183" spans="1:20" hidden="1" x14ac:dyDescent="0.2">
      <c r="A183" s="671">
        <v>29655</v>
      </c>
      <c r="B183" s="603" t="s">
        <v>724</v>
      </c>
      <c r="C183" s="603" t="s">
        <v>725</v>
      </c>
      <c r="D183" s="604">
        <v>6768</v>
      </c>
      <c r="E183" s="604">
        <v>5664</v>
      </c>
      <c r="F183" s="604">
        <v>7034</v>
      </c>
      <c r="G183" s="605">
        <v>3.930260047281324E-2</v>
      </c>
      <c r="H183" s="606">
        <v>22368.12</v>
      </c>
      <c r="I183" s="459"/>
      <c r="J183">
        <v>1.36</v>
      </c>
      <c r="K183">
        <v>1.38</v>
      </c>
      <c r="L183" s="605"/>
      <c r="M183" s="606"/>
      <c r="N183">
        <v>0.56000000000000005</v>
      </c>
      <c r="O183" s="13">
        <v>4.4474037831310209E-4</v>
      </c>
      <c r="P183" s="605"/>
      <c r="Q183" s="605">
        <v>1</v>
      </c>
      <c r="R183" s="605">
        <v>0.56589788038417821</v>
      </c>
      <c r="S183" s="605">
        <v>0.43410211961582179</v>
      </c>
      <c r="T183" s="13"/>
    </row>
    <row r="184" spans="1:20" hidden="1" x14ac:dyDescent="0.2">
      <c r="A184" s="671">
        <v>29428</v>
      </c>
      <c r="B184" s="603" t="s">
        <v>726</v>
      </c>
      <c r="C184" s="603" t="s">
        <v>727</v>
      </c>
      <c r="D184" s="604">
        <v>5995</v>
      </c>
      <c r="E184" s="604">
        <v>5843</v>
      </c>
      <c r="F184" s="604">
        <v>5843</v>
      </c>
      <c r="G184" s="605">
        <v>-2.5354462051709759E-2</v>
      </c>
      <c r="H184" s="606">
        <v>17611.849999999999</v>
      </c>
      <c r="I184" s="459"/>
      <c r="J184">
        <v>1.36</v>
      </c>
      <c r="K184">
        <v>1.1000000000000001</v>
      </c>
      <c r="L184" s="605"/>
      <c r="M184" s="459"/>
      <c r="N184">
        <v>0.56000000000000005</v>
      </c>
      <c r="O184" s="13">
        <v>4.4474037831310209E-4</v>
      </c>
      <c r="P184" s="605"/>
      <c r="Q184" s="605">
        <v>1</v>
      </c>
      <c r="R184" s="605">
        <v>0.71810769292616461</v>
      </c>
      <c r="S184" s="605">
        <v>0.28189230707383539</v>
      </c>
      <c r="T184" s="13"/>
    </row>
    <row r="185" spans="1:20" hidden="1" x14ac:dyDescent="0.2">
      <c r="A185" s="671">
        <v>29653</v>
      </c>
      <c r="B185" s="603" t="s">
        <v>728</v>
      </c>
      <c r="C185" s="603" t="s">
        <v>729</v>
      </c>
      <c r="D185" s="604">
        <v>3955</v>
      </c>
      <c r="E185" s="604">
        <v>4675</v>
      </c>
      <c r="F185" s="604">
        <v>4675</v>
      </c>
      <c r="G185" s="605">
        <v>0.1820480404551201</v>
      </c>
      <c r="H185" s="606">
        <v>15990.26</v>
      </c>
      <c r="I185" s="459"/>
      <c r="J185">
        <v>1.36</v>
      </c>
      <c r="K185">
        <v>1.55</v>
      </c>
      <c r="L185" s="605"/>
      <c r="M185" s="606"/>
      <c r="N185">
        <v>0.56000000000000005</v>
      </c>
      <c r="O185" s="13">
        <v>4.4474037831310209E-4</v>
      </c>
      <c r="P185" s="605"/>
      <c r="Q185" s="605">
        <v>1</v>
      </c>
      <c r="R185" s="605">
        <v>0.53540550749780857</v>
      </c>
      <c r="S185" s="605">
        <v>0.46459449250219143</v>
      </c>
      <c r="T185" s="13"/>
    </row>
    <row r="186" spans="1:20" hidden="1" x14ac:dyDescent="0.2">
      <c r="A186" s="671">
        <v>53939</v>
      </c>
      <c r="B186" s="603" t="s">
        <v>730</v>
      </c>
      <c r="C186" s="603" t="s">
        <v>731</v>
      </c>
      <c r="D186" s="604">
        <v>2580</v>
      </c>
      <c r="E186" s="604">
        <v>2645</v>
      </c>
      <c r="F186" s="604">
        <v>2690</v>
      </c>
      <c r="G186" s="605">
        <v>4.2635658914728682E-2</v>
      </c>
      <c r="H186" s="606">
        <v>12894.2</v>
      </c>
      <c r="I186" s="459"/>
      <c r="J186">
        <v>1.36</v>
      </c>
      <c r="K186">
        <v>1.6699999999999997</v>
      </c>
      <c r="L186" s="605"/>
      <c r="M186" s="606"/>
      <c r="N186">
        <v>0.39</v>
      </c>
      <c r="O186" s="13">
        <v>0</v>
      </c>
      <c r="P186" s="605"/>
      <c r="Q186" s="605">
        <v>1</v>
      </c>
      <c r="R186" s="605">
        <v>0.6762940080647063</v>
      </c>
      <c r="S186" s="605">
        <v>0.3237059919352937</v>
      </c>
      <c r="T186" s="13"/>
    </row>
    <row r="187" spans="1:20" hidden="1" x14ac:dyDescent="0.2">
      <c r="A187" s="671">
        <v>29666</v>
      </c>
      <c r="B187" s="603" t="s">
        <v>732</v>
      </c>
      <c r="C187" s="603" t="s">
        <v>733</v>
      </c>
      <c r="D187" s="604">
        <v>1751</v>
      </c>
      <c r="E187" s="604">
        <v>2060</v>
      </c>
      <c r="F187" s="604">
        <v>2080</v>
      </c>
      <c r="G187" s="605">
        <v>0.18789263278126786</v>
      </c>
      <c r="H187" s="606">
        <v>12272</v>
      </c>
      <c r="I187" s="459"/>
      <c r="J187">
        <v>1.36</v>
      </c>
      <c r="K187">
        <v>1.67</v>
      </c>
      <c r="L187" s="605"/>
      <c r="M187" s="606">
        <v>4531.0943199851808</v>
      </c>
      <c r="N187">
        <v>2.5684107307621065</v>
      </c>
      <c r="O187" s="13">
        <v>2.0951321167138888</v>
      </c>
      <c r="P187" s="605">
        <v>3.8229068959407371E-2</v>
      </c>
      <c r="Q187" s="605">
        <v>0.63077784224371081</v>
      </c>
      <c r="R187" s="605">
        <v>0.36231814482276153</v>
      </c>
      <c r="S187" s="605">
        <v>0.26845969742094927</v>
      </c>
      <c r="T187" s="13"/>
    </row>
    <row r="188" spans="1:20" hidden="1" x14ac:dyDescent="0.2">
      <c r="A188" s="671">
        <v>50388</v>
      </c>
      <c r="B188" s="603" t="s">
        <v>734</v>
      </c>
      <c r="C188" s="603" t="s">
        <v>735</v>
      </c>
      <c r="D188" s="604">
        <v>972</v>
      </c>
      <c r="E188" s="604">
        <v>1092</v>
      </c>
      <c r="F188" s="604">
        <v>1537</v>
      </c>
      <c r="G188" s="605">
        <v>0.58127572016460904</v>
      </c>
      <c r="H188" s="606">
        <v>5951.26</v>
      </c>
      <c r="I188" s="459"/>
      <c r="J188">
        <v>1.36</v>
      </c>
      <c r="K188">
        <v>1.2</v>
      </c>
      <c r="L188" s="605"/>
      <c r="M188" s="606"/>
      <c r="N188">
        <v>0.39</v>
      </c>
      <c r="O188" s="13">
        <v>0</v>
      </c>
      <c r="P188" s="605"/>
      <c r="Q188" s="605">
        <v>1</v>
      </c>
      <c r="R188" s="605">
        <v>0.6866865297161675</v>
      </c>
      <c r="S188" s="605">
        <v>0.3133134702838325</v>
      </c>
      <c r="T188" s="13"/>
    </row>
    <row r="189" spans="1:20" hidden="1" x14ac:dyDescent="0.2">
      <c r="A189" s="671">
        <v>29657</v>
      </c>
      <c r="B189" s="603" t="s">
        <v>693</v>
      </c>
      <c r="C189" s="603" t="s">
        <v>736</v>
      </c>
      <c r="D189" s="604"/>
      <c r="E189" s="604">
        <v>2776</v>
      </c>
      <c r="F189" s="604">
        <v>2776</v>
      </c>
      <c r="G189" s="605"/>
      <c r="H189" s="606">
        <v>8161.4400000000005</v>
      </c>
      <c r="I189" s="459"/>
      <c r="J189">
        <v>1.36</v>
      </c>
      <c r="L189" s="605"/>
      <c r="M189" s="606"/>
      <c r="N189">
        <v>0.56000000000000005</v>
      </c>
      <c r="O189" s="13"/>
      <c r="P189" s="605"/>
      <c r="Q189" s="605">
        <v>1</v>
      </c>
      <c r="R189" s="605"/>
      <c r="S189" s="605">
        <v>1</v>
      </c>
      <c r="T189" s="13"/>
    </row>
    <row r="190" spans="1:20" hidden="1" x14ac:dyDescent="0.2">
      <c r="A190" s="671">
        <v>29344</v>
      </c>
      <c r="B190" s="603" t="s">
        <v>737</v>
      </c>
      <c r="C190" s="603" t="s">
        <v>738</v>
      </c>
      <c r="D190" s="604">
        <v>38092</v>
      </c>
      <c r="E190" s="604">
        <v>37846</v>
      </c>
      <c r="F190" s="604">
        <v>37816</v>
      </c>
      <c r="G190" s="605">
        <v>-7.2456158773495745E-3</v>
      </c>
      <c r="H190" s="606">
        <v>192339.46</v>
      </c>
      <c r="I190" s="459">
        <v>39188.386494674254</v>
      </c>
      <c r="J190">
        <v>1.0362911596856954</v>
      </c>
      <c r="K190">
        <v>1.0683558028080686</v>
      </c>
      <c r="L190" s="605">
        <v>-3.0941731792924254E-2</v>
      </c>
      <c r="M190" s="606">
        <v>124152.27363957535</v>
      </c>
      <c r="N190">
        <v>3.2830620277019076</v>
      </c>
      <c r="O190" s="13">
        <v>3.3006369607184829</v>
      </c>
      <c r="P190" s="605">
        <v>-5.3532138193799197E-3</v>
      </c>
      <c r="Q190" s="605">
        <v>0.15076885349345576</v>
      </c>
      <c r="R190" s="605">
        <v>0.12233744177272733</v>
      </c>
      <c r="S190" s="605">
        <v>2.8431411720728425E-2</v>
      </c>
      <c r="T190" s="13"/>
    </row>
    <row r="191" spans="1:20" hidden="1" x14ac:dyDescent="0.2">
      <c r="A191" s="671">
        <v>29305</v>
      </c>
      <c r="B191" s="603" t="s">
        <v>739</v>
      </c>
      <c r="C191" s="603" t="s">
        <v>740</v>
      </c>
      <c r="D191" s="604">
        <v>22577</v>
      </c>
      <c r="E191" s="604">
        <v>23373</v>
      </c>
      <c r="F191" s="604">
        <v>23336</v>
      </c>
      <c r="G191" s="605">
        <v>3.3618284094432384E-2</v>
      </c>
      <c r="H191" s="606">
        <v>131808.88</v>
      </c>
      <c r="I191" s="459">
        <v>20692.29247140016</v>
      </c>
      <c r="J191">
        <v>0.88671119606617077</v>
      </c>
      <c r="K191">
        <v>0.96929587559975305</v>
      </c>
      <c r="L191" s="605">
        <v>-9.3135938623492245E-2</v>
      </c>
      <c r="M191" s="606">
        <v>78651.800672214507</v>
      </c>
      <c r="N191">
        <v>3.3704062680928395</v>
      </c>
      <c r="O191" s="13">
        <v>3.6934075292926365</v>
      </c>
      <c r="P191" s="605">
        <v>-9.5834518306473715E-2</v>
      </c>
      <c r="Q191" s="605">
        <v>0.24630197037092899</v>
      </c>
      <c r="R191" s="605">
        <v>0.11426063484780227</v>
      </c>
      <c r="S191" s="605">
        <v>0.13204133552312672</v>
      </c>
      <c r="T191" s="13"/>
    </row>
    <row r="192" spans="1:20" hidden="1" x14ac:dyDescent="0.2">
      <c r="A192" s="671">
        <v>29341</v>
      </c>
      <c r="B192" s="603" t="s">
        <v>741</v>
      </c>
      <c r="C192" s="603" t="s">
        <v>742</v>
      </c>
      <c r="D192" s="604">
        <v>17760</v>
      </c>
      <c r="E192" s="604">
        <v>14600</v>
      </c>
      <c r="F192" s="604">
        <v>14435</v>
      </c>
      <c r="G192" s="605">
        <v>-0.18721846846846846</v>
      </c>
      <c r="H192" s="606">
        <v>83763.199999999997</v>
      </c>
      <c r="I192" s="459">
        <v>29689.511398120059</v>
      </c>
      <c r="J192">
        <v>2.0567725249823385</v>
      </c>
      <c r="K192">
        <v>2.1407555367988973</v>
      </c>
      <c r="L192" s="605">
        <v>-4.0832425947191178E-2</v>
      </c>
      <c r="M192" s="606">
        <v>56642.4447028551</v>
      </c>
      <c r="N192">
        <v>3.9239656877627365</v>
      </c>
      <c r="O192" s="13">
        <v>3.5795745073891623</v>
      </c>
      <c r="P192" s="605">
        <v>8.7766103930926598E-2</v>
      </c>
      <c r="Q192" s="605">
        <v>-3.0666881171865005E-2</v>
      </c>
      <c r="R192" s="605">
        <v>9.085511622151389E-2</v>
      </c>
      <c r="S192" s="605">
        <v>-0.12152199739337889</v>
      </c>
      <c r="T192" s="13"/>
    </row>
    <row r="193" spans="1:20" hidden="1" x14ac:dyDescent="0.2">
      <c r="A193" s="671">
        <v>29307</v>
      </c>
      <c r="B193" s="603" t="s">
        <v>743</v>
      </c>
      <c r="C193" s="603" t="s">
        <v>744</v>
      </c>
      <c r="D193" s="604">
        <v>17655</v>
      </c>
      <c r="E193" s="604">
        <v>18387</v>
      </c>
      <c r="F193" s="604">
        <v>18195</v>
      </c>
      <c r="G193" s="605">
        <v>3.058623619371283E-2</v>
      </c>
      <c r="H193" s="606">
        <v>106525.02</v>
      </c>
      <c r="I193" s="459">
        <v>23405.063410440147</v>
      </c>
      <c r="J193">
        <v>1.2863458868062736</v>
      </c>
      <c r="K193">
        <v>1.516904090585206</v>
      </c>
      <c r="L193" s="605">
        <v>-0.17923499903386017</v>
      </c>
      <c r="M193" s="606">
        <v>65398.599130658302</v>
      </c>
      <c r="N193">
        <v>3.5943170723087827</v>
      </c>
      <c r="O193" s="13">
        <v>3.42</v>
      </c>
      <c r="P193" s="605">
        <v>4.8497967430795284E-2</v>
      </c>
      <c r="Q193" s="605">
        <v>0.16635864005377848</v>
      </c>
      <c r="R193" s="605">
        <v>7.913672536356825E-2</v>
      </c>
      <c r="S193" s="605">
        <v>8.7221914690210234E-2</v>
      </c>
      <c r="T193" s="13"/>
    </row>
    <row r="194" spans="1:20" hidden="1" x14ac:dyDescent="0.2">
      <c r="A194" s="671">
        <v>53716</v>
      </c>
      <c r="B194" s="603" t="s">
        <v>745</v>
      </c>
      <c r="C194" s="603" t="s">
        <v>746</v>
      </c>
      <c r="D194" s="604">
        <v>17649</v>
      </c>
      <c r="E194" s="604">
        <v>17194</v>
      </c>
      <c r="F194" s="604">
        <v>17043</v>
      </c>
      <c r="G194" s="605">
        <v>-3.4336223015468299E-2</v>
      </c>
      <c r="H194" s="606">
        <v>94998.44</v>
      </c>
      <c r="I194" s="459">
        <v>21660.377033525889</v>
      </c>
      <c r="J194">
        <v>1.2709251325192683</v>
      </c>
      <c r="K194">
        <v>1.3570442238662541</v>
      </c>
      <c r="L194" s="605">
        <v>-6.776094763054831E-2</v>
      </c>
      <c r="M194" s="606">
        <v>54677.281309115584</v>
      </c>
      <c r="N194">
        <v>3.2081958169990954</v>
      </c>
      <c r="O194" s="13">
        <v>3.1155335445132617</v>
      </c>
      <c r="P194" s="605">
        <v>2.8882985257585921E-2</v>
      </c>
      <c r="Q194" s="605">
        <v>0.19643250623229738</v>
      </c>
      <c r="R194" s="605">
        <v>0.15806391193241223</v>
      </c>
      <c r="S194" s="605">
        <v>3.836859429988515E-2</v>
      </c>
      <c r="T194" s="13"/>
    </row>
    <row r="195" spans="1:20" hidden="1" x14ac:dyDescent="0.2">
      <c r="A195" s="671">
        <v>29384</v>
      </c>
      <c r="B195" s="603" t="s">
        <v>637</v>
      </c>
      <c r="C195" t="s">
        <v>747</v>
      </c>
      <c r="D195" s="604">
        <v>15730</v>
      </c>
      <c r="E195" s="604">
        <v>16459</v>
      </c>
      <c r="F195" s="604">
        <v>16459</v>
      </c>
      <c r="G195" s="605">
        <v>4.6344564526382706E-2</v>
      </c>
      <c r="H195" s="606">
        <v>83423.5</v>
      </c>
      <c r="I195" s="459">
        <v>18629.142548033647</v>
      </c>
      <c r="J195">
        <v>1.1318514215950937</v>
      </c>
      <c r="K195">
        <v>1.200361601052768</v>
      </c>
      <c r="L195" s="605">
        <v>-6.0529304598234669E-2</v>
      </c>
      <c r="M195" s="606">
        <v>44642.888305153567</v>
      </c>
      <c r="N195">
        <v>2.7123694212985945</v>
      </c>
      <c r="O195" s="13">
        <v>2.8894556740410633</v>
      </c>
      <c r="P195" s="605">
        <v>-6.5288397425482578E-2</v>
      </c>
      <c r="Q195" s="605">
        <v>0.24155626588206902</v>
      </c>
      <c r="R195" s="605">
        <v>0.21037367653680844</v>
      </c>
      <c r="S195" s="605">
        <v>3.1182589345260581E-2</v>
      </c>
      <c r="T195" s="13"/>
    </row>
    <row r="196" spans="1:20" hidden="1" x14ac:dyDescent="0.2">
      <c r="A196" s="671">
        <v>29365</v>
      </c>
      <c r="B196" s="603" t="s">
        <v>748</v>
      </c>
      <c r="C196" s="603" t="s">
        <v>749</v>
      </c>
      <c r="D196" s="604">
        <v>15515</v>
      </c>
      <c r="E196" s="604">
        <v>14079</v>
      </c>
      <c r="F196" s="604">
        <v>13958</v>
      </c>
      <c r="G196" s="605">
        <v>-0.10035449564937157</v>
      </c>
      <c r="H196" s="606">
        <v>76187.66</v>
      </c>
      <c r="I196" s="459">
        <v>19004.18143250082</v>
      </c>
      <c r="J196">
        <v>1.3615261092205775</v>
      </c>
      <c r="K196">
        <v>1.1100000000000001</v>
      </c>
      <c r="L196" s="605">
        <v>0.18473836639428576</v>
      </c>
      <c r="M196" s="606">
        <v>48639.250464804129</v>
      </c>
      <c r="N196">
        <v>3.4846862347617229</v>
      </c>
      <c r="O196" s="13">
        <v>3.2</v>
      </c>
      <c r="P196" s="605">
        <v>8.1696375392945275E-2</v>
      </c>
      <c r="Q196" s="605">
        <v>0.11214713908650108</v>
      </c>
      <c r="R196" s="605">
        <v>0.14758435474615966</v>
      </c>
      <c r="S196" s="605">
        <v>-3.5437215659658586E-2</v>
      </c>
      <c r="T196" s="13"/>
    </row>
    <row r="197" spans="1:20" hidden="1" x14ac:dyDescent="0.2">
      <c r="A197" s="671">
        <v>29376</v>
      </c>
      <c r="B197" s="603" t="s">
        <v>750</v>
      </c>
      <c r="C197" s="603" t="s">
        <v>751</v>
      </c>
      <c r="D197" s="604">
        <v>13776</v>
      </c>
      <c r="E197" s="604">
        <v>15185</v>
      </c>
      <c r="F197" s="604">
        <v>15272</v>
      </c>
      <c r="G197" s="605">
        <v>0.10859465737514518</v>
      </c>
      <c r="H197" s="606">
        <v>57099.51999999999</v>
      </c>
      <c r="I197" s="459">
        <v>16488.418613297988</v>
      </c>
      <c r="J197">
        <v>1.0796502496921154</v>
      </c>
      <c r="K197">
        <v>1.1393027602829524</v>
      </c>
      <c r="L197" s="605">
        <v>-5.5251698971818072E-2</v>
      </c>
      <c r="M197" s="606">
        <v>31309.579422691932</v>
      </c>
      <c r="N197">
        <v>2.0501296112291731</v>
      </c>
      <c r="O197" s="13">
        <v>2.2675088138631612</v>
      </c>
      <c r="P197" s="605">
        <v>-0.10603193156341779</v>
      </c>
      <c r="Q197" s="605">
        <v>0.16290017786506911</v>
      </c>
      <c r="R197" s="605">
        <v>0.16569332911807774</v>
      </c>
      <c r="S197" s="605">
        <v>-2.7931512530086355E-3</v>
      </c>
      <c r="T197" s="13"/>
    </row>
    <row r="198" spans="1:20" hidden="1" x14ac:dyDescent="0.2">
      <c r="A198" s="671">
        <v>29516</v>
      </c>
      <c r="B198" s="603" t="s">
        <v>752</v>
      </c>
      <c r="C198" s="603" t="s">
        <v>753</v>
      </c>
      <c r="D198" s="604">
        <v>13407</v>
      </c>
      <c r="E198" s="604">
        <v>13833</v>
      </c>
      <c r="F198" s="604">
        <v>13833</v>
      </c>
      <c r="G198" s="605">
        <v>3.1774446184828824E-2</v>
      </c>
      <c r="H198" s="606">
        <v>77618.13</v>
      </c>
      <c r="I198" s="459">
        <v>20740.730808593278</v>
      </c>
      <c r="J198">
        <v>1.4993660672734244</v>
      </c>
      <c r="K198">
        <v>1.6016981657022336</v>
      </c>
      <c r="L198" s="605">
        <v>-6.8250242994293345E-2</v>
      </c>
      <c r="M198" s="606">
        <v>46532.896774078858</v>
      </c>
      <c r="N198">
        <v>3.3639049211363306</v>
      </c>
      <c r="O198" s="13">
        <v>3.3224060658153238</v>
      </c>
      <c r="P198" s="605">
        <v>1.2336512563199427E-2</v>
      </c>
      <c r="Q198" s="605">
        <v>0.13327430611028465</v>
      </c>
      <c r="R198" s="605">
        <v>0.1236751869591729</v>
      </c>
      <c r="S198" s="605">
        <v>9.5991191511117513E-3</v>
      </c>
      <c r="T198" s="13"/>
    </row>
    <row r="199" spans="1:20" hidden="1" x14ac:dyDescent="0.2">
      <c r="A199" s="671">
        <v>29346</v>
      </c>
      <c r="B199" s="603" t="s">
        <v>754</v>
      </c>
      <c r="C199" s="603" t="s">
        <v>755</v>
      </c>
      <c r="D199" s="604">
        <v>11770</v>
      </c>
      <c r="E199" s="604">
        <v>10430</v>
      </c>
      <c r="F199" s="604">
        <v>10335</v>
      </c>
      <c r="G199" s="605">
        <v>-0.12192013593882753</v>
      </c>
      <c r="H199" s="606">
        <v>54495.200000000004</v>
      </c>
      <c r="I199" s="459">
        <v>13363.869906646998</v>
      </c>
      <c r="J199">
        <v>1.2930691733572326</v>
      </c>
      <c r="K199">
        <v>1.4360078170130823</v>
      </c>
      <c r="L199" s="605">
        <v>-0.11054214778373692</v>
      </c>
      <c r="M199" s="606">
        <v>31250.727198368928</v>
      </c>
      <c r="N199">
        <v>3.0237762165814153</v>
      </c>
      <c r="O199" s="13">
        <v>2.8354876635768811</v>
      </c>
      <c r="P199" s="605">
        <v>6.2269341220431713E-2</v>
      </c>
      <c r="Q199" s="605">
        <v>0.18131143467652339</v>
      </c>
      <c r="R199" s="605">
        <v>0.17958595778130235</v>
      </c>
      <c r="S199" s="605">
        <v>1.7254768952210398E-3</v>
      </c>
      <c r="T199" s="13"/>
    </row>
    <row r="200" spans="1:20" hidden="1" x14ac:dyDescent="0.2">
      <c r="A200" s="671">
        <v>29529</v>
      </c>
      <c r="B200" s="603" t="s">
        <v>756</v>
      </c>
      <c r="C200" s="603" t="s">
        <v>757</v>
      </c>
      <c r="D200" s="604">
        <v>9374</v>
      </c>
      <c r="E200" s="604">
        <v>8740</v>
      </c>
      <c r="F200" s="604">
        <v>8734</v>
      </c>
      <c r="G200" s="605">
        <v>-6.8273949221250269E-2</v>
      </c>
      <c r="H200" s="606">
        <v>43834.62</v>
      </c>
      <c r="I200" s="459">
        <v>14294.669986000858</v>
      </c>
      <c r="J200">
        <v>1.6366693366156237</v>
      </c>
      <c r="K200">
        <v>1.6227610461648885</v>
      </c>
      <c r="L200" s="605">
        <v>8.4979232759962633E-3</v>
      </c>
      <c r="M200" s="606">
        <v>25365.521249289315</v>
      </c>
      <c r="N200">
        <v>2.904227301269672</v>
      </c>
      <c r="O200" s="13">
        <v>2.7155176799796488</v>
      </c>
      <c r="P200" s="605">
        <v>6.4977566049159802E-2</v>
      </c>
      <c r="Q200" s="605">
        <v>9.5231320921906698E-2</v>
      </c>
      <c r="R200" s="605">
        <v>0.19218674098321772</v>
      </c>
      <c r="S200" s="605">
        <v>-9.6955420061311026E-2</v>
      </c>
      <c r="T200" s="13"/>
    </row>
    <row r="201" spans="1:20" hidden="1" x14ac:dyDescent="0.2">
      <c r="A201" s="671">
        <v>29380</v>
      </c>
      <c r="B201" s="603" t="s">
        <v>758</v>
      </c>
      <c r="C201" s="603" t="s">
        <v>759</v>
      </c>
      <c r="D201" s="604">
        <v>8424</v>
      </c>
      <c r="E201" s="604">
        <v>8452</v>
      </c>
      <c r="F201" s="604">
        <v>8396</v>
      </c>
      <c r="G201" s="605">
        <v>-3.3238366571699905E-3</v>
      </c>
      <c r="H201" s="606">
        <v>41740.44</v>
      </c>
      <c r="I201" s="459">
        <v>10568.70259416909</v>
      </c>
      <c r="J201">
        <v>1.2587782984956037</v>
      </c>
      <c r="K201">
        <v>1.437016021652765</v>
      </c>
      <c r="L201" s="605">
        <v>-0.14159580235072167</v>
      </c>
      <c r="M201" s="606">
        <v>21358.53260771239</v>
      </c>
      <c r="N201">
        <v>2.5438938313140054</v>
      </c>
      <c r="O201" s="13">
        <v>2.3719458528652062</v>
      </c>
      <c r="P201" s="605">
        <v>6.7592435003461737E-2</v>
      </c>
      <c r="Q201" s="605">
        <v>0.23510065533852834</v>
      </c>
      <c r="R201" s="605">
        <v>0.23134203467580006</v>
      </c>
      <c r="S201" s="605">
        <v>3.7586206627282792E-3</v>
      </c>
      <c r="T201" s="13"/>
    </row>
    <row r="202" spans="1:20" hidden="1" x14ac:dyDescent="0.2">
      <c r="A202" s="671">
        <v>29343</v>
      </c>
      <c r="B202" s="603" t="s">
        <v>760</v>
      </c>
      <c r="C202" s="603" t="s">
        <v>761</v>
      </c>
      <c r="D202" s="604">
        <v>4025</v>
      </c>
      <c r="E202" s="604">
        <v>4080</v>
      </c>
      <c r="F202" s="604">
        <v>5557</v>
      </c>
      <c r="G202" s="605">
        <v>0.38062111801242238</v>
      </c>
      <c r="H202" s="606">
        <v>19436.57</v>
      </c>
      <c r="I202" s="459">
        <v>5431.9169158348741</v>
      </c>
      <c r="J202">
        <v>0.97749089721700089</v>
      </c>
      <c r="K202">
        <v>1.4</v>
      </c>
      <c r="L202" s="605">
        <v>-0.43223840138656849</v>
      </c>
      <c r="M202" s="606">
        <v>6717.6301713014327</v>
      </c>
      <c r="N202">
        <v>1.208859127461118</v>
      </c>
      <c r="O202" s="13">
        <v>1.9505594989844282</v>
      </c>
      <c r="P202" s="605">
        <v>-0.61355401524828734</v>
      </c>
      <c r="Q202" s="605">
        <v>0.37491300743205686</v>
      </c>
      <c r="R202" s="605">
        <v>0.32636714853533705</v>
      </c>
      <c r="S202" s="605">
        <v>4.8545858896719807E-2</v>
      </c>
      <c r="T202" s="13"/>
    </row>
    <row r="203" spans="1:20" hidden="1" x14ac:dyDescent="0.2">
      <c r="A203" s="671">
        <v>52983</v>
      </c>
      <c r="B203" s="603" t="s">
        <v>762</v>
      </c>
      <c r="C203" s="603" t="s">
        <v>763</v>
      </c>
      <c r="D203" s="604">
        <v>312</v>
      </c>
      <c r="E203" s="604">
        <v>16187</v>
      </c>
      <c r="F203" s="604"/>
      <c r="G203" s="605">
        <v>-1</v>
      </c>
      <c r="H203" s="606">
        <v>77123.02</v>
      </c>
      <c r="I203" s="459">
        <v>21350.337619919974</v>
      </c>
      <c r="J203">
        <v>1.32</v>
      </c>
      <c r="K203">
        <v>7.38</v>
      </c>
      <c r="L203" s="605"/>
      <c r="M203" s="606">
        <v>20874.714890619209</v>
      </c>
      <c r="N203">
        <v>0</v>
      </c>
      <c r="O203" s="13">
        <v>7.41</v>
      </c>
      <c r="P203" s="605"/>
      <c r="Q203" s="605">
        <v>0.45249741892188372</v>
      </c>
      <c r="R203" s="605">
        <v>0.17997032034166666</v>
      </c>
      <c r="S203" s="605">
        <v>0.27252709858021706</v>
      </c>
      <c r="T203" s="13"/>
    </row>
    <row r="204" spans="1:20" hidden="1" x14ac:dyDescent="0.2">
      <c r="A204" s="671">
        <v>29306</v>
      </c>
      <c r="B204" s="603" t="s">
        <v>764</v>
      </c>
      <c r="C204" s="603" t="s">
        <v>765</v>
      </c>
      <c r="D204" s="604">
        <v>287</v>
      </c>
      <c r="E204" s="604">
        <v>4153</v>
      </c>
      <c r="F204" s="604">
        <v>4097</v>
      </c>
      <c r="G204" s="605">
        <v>13.275261324041812</v>
      </c>
      <c r="H204" s="606">
        <v>21896.33</v>
      </c>
      <c r="I204" s="459">
        <v>9412.0046578668116</v>
      </c>
      <c r="J204">
        <v>2.2972918374095221</v>
      </c>
      <c r="K204">
        <v>2.4</v>
      </c>
      <c r="L204" s="605">
        <v>-4.4708365266423356E-2</v>
      </c>
      <c r="M204" s="606">
        <v>10339.188830923244</v>
      </c>
      <c r="N204">
        <v>2.5235999099153634</v>
      </c>
      <c r="O204" s="13">
        <v>2.1800000000000002</v>
      </c>
      <c r="P204" s="605">
        <v>0.13615466879886159</v>
      </c>
      <c r="Q204" s="605">
        <v>9.7967856312448087E-2</v>
      </c>
      <c r="R204" s="605">
        <v>9.4273385007049626E-2</v>
      </c>
      <c r="S204" s="605">
        <v>3.6944713053984612E-3</v>
      </c>
      <c r="T204" s="13"/>
    </row>
    <row r="205" spans="1:20" hidden="1" x14ac:dyDescent="0.2">
      <c r="A205" s="671">
        <v>29308</v>
      </c>
      <c r="B205" s="603" t="s">
        <v>762</v>
      </c>
      <c r="C205" s="603" t="s">
        <v>766</v>
      </c>
      <c r="D205" s="604"/>
      <c r="E205" s="604"/>
      <c r="F205" s="604"/>
      <c r="G205" s="605"/>
      <c r="H205" s="606">
        <v>130338.47</v>
      </c>
      <c r="I205" s="459">
        <v>42296.580578940011</v>
      </c>
      <c r="J205">
        <v>1.32</v>
      </c>
      <c r="L205" s="605"/>
      <c r="M205" s="606">
        <v>41429.070117537791</v>
      </c>
      <c r="N205">
        <v>0</v>
      </c>
      <c r="O205" s="13"/>
      <c r="P205" s="605"/>
      <c r="Q205" s="605">
        <v>0.35762902006999314</v>
      </c>
      <c r="R205" s="605"/>
      <c r="S205" s="605">
        <v>0.35762902006999314</v>
      </c>
      <c r="T205" s="13"/>
    </row>
    <row r="206" spans="1:20" hidden="1" x14ac:dyDescent="0.2">
      <c r="A206" s="671">
        <v>53799</v>
      </c>
      <c r="B206" s="603" t="s">
        <v>741</v>
      </c>
      <c r="C206" s="603" t="s">
        <v>767</v>
      </c>
      <c r="D206" s="604"/>
      <c r="E206" s="604">
        <v>5264</v>
      </c>
      <c r="F206" s="604">
        <v>5246</v>
      </c>
      <c r="G206" s="605"/>
      <c r="H206" s="606">
        <v>23747.84</v>
      </c>
      <c r="I206" s="459"/>
      <c r="J206">
        <v>1.32</v>
      </c>
      <c r="L206" s="605"/>
      <c r="M206" s="459"/>
      <c r="N206">
        <v>0.56000000000000005</v>
      </c>
      <c r="O206" s="13"/>
      <c r="P206" s="605"/>
      <c r="Q206" s="605">
        <v>1</v>
      </c>
      <c r="R206" s="605"/>
      <c r="S206" s="605">
        <v>1</v>
      </c>
      <c r="T206" s="13"/>
    </row>
    <row r="207" spans="1:20" hidden="1" x14ac:dyDescent="0.2">
      <c r="A207" s="671">
        <v>54295</v>
      </c>
      <c r="B207" s="603" t="s">
        <v>756</v>
      </c>
      <c r="C207" s="603" t="s">
        <v>768</v>
      </c>
      <c r="D207" s="604"/>
      <c r="E207" s="604"/>
      <c r="F207" s="604"/>
      <c r="G207" s="605"/>
      <c r="H207" s="606">
        <v>3879.6</v>
      </c>
      <c r="I207" s="459"/>
      <c r="J207">
        <v>1.32</v>
      </c>
      <c r="L207" s="605"/>
      <c r="M207" s="459"/>
      <c r="N207">
        <v>0.56000000000000005</v>
      </c>
      <c r="O207" s="13"/>
      <c r="P207" s="605"/>
      <c r="Q207" s="605">
        <v>1</v>
      </c>
      <c r="R207" s="605"/>
      <c r="S207" s="605">
        <v>1</v>
      </c>
      <c r="T207" s="13"/>
    </row>
    <row r="208" spans="1:20" hidden="1" x14ac:dyDescent="0.2">
      <c r="A208" s="671">
        <v>29458</v>
      </c>
      <c r="B208" s="603" t="s">
        <v>769</v>
      </c>
      <c r="C208" s="603" t="s">
        <v>770</v>
      </c>
      <c r="D208" s="604">
        <v>37450</v>
      </c>
      <c r="E208" s="604">
        <v>35925</v>
      </c>
      <c r="F208" s="604">
        <v>35551</v>
      </c>
      <c r="G208" s="605">
        <v>-5.0707610146862481E-2</v>
      </c>
      <c r="H208" s="606">
        <v>205954.46</v>
      </c>
      <c r="I208" s="459"/>
      <c r="J208">
        <v>1.31</v>
      </c>
      <c r="K208">
        <v>1.2</v>
      </c>
      <c r="L208" s="605"/>
      <c r="M208" s="606">
        <v>97693.706954797584</v>
      </c>
      <c r="N208">
        <v>3.3079875940141652</v>
      </c>
      <c r="O208" s="13">
        <v>2.6717605535120432</v>
      </c>
      <c r="P208" s="605">
        <v>2.7739222938329245E-2</v>
      </c>
      <c r="Q208" s="605">
        <v>0.52565384136474835</v>
      </c>
      <c r="R208" s="605">
        <v>0.29109430669159553</v>
      </c>
      <c r="S208" s="605">
        <v>0.23455953467315283</v>
      </c>
      <c r="T208" s="13"/>
    </row>
    <row r="209" spans="1:20" hidden="1" x14ac:dyDescent="0.2">
      <c r="A209" s="671">
        <v>29451</v>
      </c>
      <c r="B209" s="603" t="s">
        <v>771</v>
      </c>
      <c r="C209" s="603" t="s">
        <v>772</v>
      </c>
      <c r="D209" s="604">
        <v>14637</v>
      </c>
      <c r="E209" s="604">
        <v>14868</v>
      </c>
      <c r="F209" s="604">
        <v>14876</v>
      </c>
      <c r="G209" s="605">
        <v>1.6328482612557219E-2</v>
      </c>
      <c r="H209" s="606">
        <v>77067.679999999993</v>
      </c>
      <c r="I209" s="459"/>
      <c r="J209">
        <v>1.31</v>
      </c>
      <c r="K209">
        <v>1.44</v>
      </c>
      <c r="L209" s="605"/>
      <c r="M209" s="606">
        <v>34248.477199109679</v>
      </c>
      <c r="N209">
        <v>2.8622638611931754</v>
      </c>
      <c r="O209" s="13">
        <v>2.4700000000000002</v>
      </c>
      <c r="P209" s="605">
        <v>-7.285704372733956E-2</v>
      </c>
      <c r="Q209" s="605">
        <v>0.55560518755579924</v>
      </c>
      <c r="R209" s="605">
        <v>0.26644313304721029</v>
      </c>
      <c r="S209" s="605">
        <v>0.28916205450858895</v>
      </c>
      <c r="T209" s="13"/>
    </row>
    <row r="210" spans="1:20" hidden="1" x14ac:dyDescent="0.2">
      <c r="A210" s="671">
        <v>29477</v>
      </c>
      <c r="B210" s="603" t="s">
        <v>773</v>
      </c>
      <c r="C210" s="603" t="s">
        <v>774</v>
      </c>
      <c r="D210" s="604">
        <v>13080</v>
      </c>
      <c r="E210" s="604">
        <v>14596</v>
      </c>
      <c r="F210" s="604">
        <v>14596</v>
      </c>
      <c r="G210" s="605">
        <v>0.11590214067278287</v>
      </c>
      <c r="H210" s="606">
        <v>41536.06</v>
      </c>
      <c r="I210" s="459"/>
      <c r="J210">
        <v>1.31</v>
      </c>
      <c r="K210">
        <v>1.2</v>
      </c>
      <c r="L210" s="605"/>
      <c r="M210" s="459"/>
      <c r="N210">
        <v>0.56000000000000005</v>
      </c>
      <c r="O210" s="13">
        <v>0</v>
      </c>
      <c r="P210" s="605"/>
      <c r="Q210" s="605">
        <v>1</v>
      </c>
      <c r="R210" s="605">
        <v>0.63414634146341464</v>
      </c>
      <c r="S210" s="605">
        <v>0.36585365853658536</v>
      </c>
      <c r="T210" s="13"/>
    </row>
    <row r="211" spans="1:20" hidden="1" x14ac:dyDescent="0.2">
      <c r="A211" s="671">
        <v>52023</v>
      </c>
      <c r="B211" s="603" t="s">
        <v>775</v>
      </c>
      <c r="C211" s="603" t="s">
        <v>776</v>
      </c>
      <c r="D211" s="604">
        <v>11128</v>
      </c>
      <c r="E211" s="604">
        <v>10629</v>
      </c>
      <c r="F211" s="604">
        <v>10701</v>
      </c>
      <c r="G211" s="605">
        <v>-3.8371675053918045E-2</v>
      </c>
      <c r="H211" s="606">
        <v>58710.94</v>
      </c>
      <c r="I211" s="459"/>
      <c r="J211">
        <v>1.31</v>
      </c>
      <c r="K211">
        <v>1.2</v>
      </c>
      <c r="L211" s="605"/>
      <c r="M211" s="606">
        <v>23063.648484241829</v>
      </c>
      <c r="N211">
        <v>2.7152797387386065</v>
      </c>
      <c r="O211" s="13">
        <v>2.5462703259538264</v>
      </c>
      <c r="P211" s="605">
        <v>-0.18141059844233962</v>
      </c>
      <c r="Q211" s="605">
        <v>0.60716608379559533</v>
      </c>
      <c r="R211" s="605">
        <v>0.33066745031007294</v>
      </c>
      <c r="S211" s="605">
        <v>0.27649863348552239</v>
      </c>
      <c r="T211" s="13"/>
    </row>
    <row r="212" spans="1:20" hidden="1" x14ac:dyDescent="0.2">
      <c r="A212" s="671">
        <v>29455</v>
      </c>
      <c r="B212" s="603" t="s">
        <v>777</v>
      </c>
      <c r="C212" s="603" t="s">
        <v>778</v>
      </c>
      <c r="D212" s="604">
        <v>9877</v>
      </c>
      <c r="E212" s="604">
        <v>4401</v>
      </c>
      <c r="F212" s="604">
        <v>4401</v>
      </c>
      <c r="G212" s="605">
        <v>-0.55441935810468768</v>
      </c>
      <c r="H212" s="606">
        <v>12895.37</v>
      </c>
      <c r="I212" s="459"/>
      <c r="J212">
        <v>1.31</v>
      </c>
      <c r="K212">
        <v>1.2</v>
      </c>
      <c r="L212" s="605"/>
      <c r="M212" s="459"/>
      <c r="N212">
        <v>0.56000000000000005</v>
      </c>
      <c r="O212" s="13">
        <v>0</v>
      </c>
      <c r="P212" s="605"/>
      <c r="Q212" s="605">
        <v>1</v>
      </c>
      <c r="R212" s="605">
        <v>0.57157150266249857</v>
      </c>
      <c r="S212" s="605">
        <v>0.42842849733750143</v>
      </c>
      <c r="T212" s="13"/>
    </row>
    <row r="213" spans="1:20" hidden="1" x14ac:dyDescent="0.2">
      <c r="A213" s="671">
        <v>29379</v>
      </c>
      <c r="B213" s="603" t="s">
        <v>779</v>
      </c>
      <c r="C213" s="603" t="s">
        <v>780</v>
      </c>
      <c r="D213" s="604">
        <v>7344</v>
      </c>
      <c r="E213" s="604">
        <v>7071</v>
      </c>
      <c r="F213" s="604">
        <v>7395</v>
      </c>
      <c r="G213" s="605">
        <v>6.9444444444444441E-3</v>
      </c>
      <c r="H213" s="606">
        <v>41253.5</v>
      </c>
      <c r="I213" s="459">
        <v>9601.9140988668714</v>
      </c>
      <c r="J213">
        <v>1.31</v>
      </c>
      <c r="K213">
        <v>1.2</v>
      </c>
      <c r="L213" s="605">
        <v>7.5809270044685517E-2</v>
      </c>
      <c r="M213" s="606">
        <v>40234.486275132062</v>
      </c>
      <c r="N213">
        <v>5.4407689351091362</v>
      </c>
      <c r="O213" s="13">
        <v>2.9359999999999999</v>
      </c>
      <c r="P213" s="605">
        <v>0.46037039341000668</v>
      </c>
      <c r="Q213" s="605">
        <v>-0.20805265914404675</v>
      </c>
      <c r="R213" s="605">
        <v>0.33440674782727475</v>
      </c>
      <c r="S213" s="605">
        <v>-0.54245940697132156</v>
      </c>
      <c r="T213" s="13"/>
    </row>
    <row r="214" spans="1:20" hidden="1" x14ac:dyDescent="0.2">
      <c r="A214" s="671">
        <v>29475</v>
      </c>
      <c r="B214" s="603" t="s">
        <v>781</v>
      </c>
      <c r="C214" s="603" t="s">
        <v>782</v>
      </c>
      <c r="D214" s="604">
        <v>5940</v>
      </c>
      <c r="E214" s="604">
        <v>5912</v>
      </c>
      <c r="F214" s="604">
        <v>5912</v>
      </c>
      <c r="G214" s="605">
        <v>-4.7138047138047135E-3</v>
      </c>
      <c r="H214" s="606">
        <v>34340.28</v>
      </c>
      <c r="I214" s="459"/>
      <c r="J214">
        <v>1.31</v>
      </c>
      <c r="K214">
        <v>1.2</v>
      </c>
      <c r="L214" s="605"/>
      <c r="M214" s="606">
        <v>11856.458563589147</v>
      </c>
      <c r="N214">
        <v>2.5654902847748895</v>
      </c>
      <c r="O214" s="13">
        <v>2.0312264998213401</v>
      </c>
      <c r="P214" s="605">
        <v>-1.2832879441916342E-2</v>
      </c>
      <c r="Q214" s="605">
        <v>0.65473611270527932</v>
      </c>
      <c r="R214" s="605">
        <v>0.44555762195207549</v>
      </c>
      <c r="S214" s="605">
        <v>0.20917849075320383</v>
      </c>
      <c r="T214" s="13"/>
    </row>
    <row r="215" spans="1:20" hidden="1" x14ac:dyDescent="0.2">
      <c r="A215" s="671">
        <v>29494</v>
      </c>
      <c r="B215" s="603" t="s">
        <v>783</v>
      </c>
      <c r="C215" s="603" t="s">
        <v>784</v>
      </c>
      <c r="D215" s="604">
        <v>5355</v>
      </c>
      <c r="E215" s="604">
        <v>3373</v>
      </c>
      <c r="F215" s="604">
        <v>3373</v>
      </c>
      <c r="G215" s="605">
        <v>-0.37012138188608779</v>
      </c>
      <c r="H215" s="606">
        <v>10793.599999999999</v>
      </c>
      <c r="I215" s="459"/>
      <c r="J215">
        <v>1.31</v>
      </c>
      <c r="K215">
        <v>1.6740000000000004</v>
      </c>
      <c r="L215" s="605"/>
      <c r="M215" s="606"/>
      <c r="N215">
        <v>0.56000000000000005</v>
      </c>
      <c r="O215" s="13">
        <v>0</v>
      </c>
      <c r="P215" s="605"/>
      <c r="Q215" s="605">
        <v>1</v>
      </c>
      <c r="R215" s="605">
        <v>0.47638411010322168</v>
      </c>
      <c r="S215" s="605">
        <v>0.52361588989677832</v>
      </c>
      <c r="T215" s="13"/>
    </row>
    <row r="216" spans="1:20" hidden="1" x14ac:dyDescent="0.2">
      <c r="A216" s="671">
        <v>51209</v>
      </c>
      <c r="B216" s="603" t="s">
        <v>785</v>
      </c>
      <c r="C216" s="603" t="s">
        <v>786</v>
      </c>
      <c r="D216" s="604">
        <v>5170</v>
      </c>
      <c r="E216" s="604">
        <v>4714</v>
      </c>
      <c r="F216" s="604">
        <v>4714</v>
      </c>
      <c r="G216" s="605">
        <v>-8.8201160541586068E-2</v>
      </c>
      <c r="H216" s="606">
        <v>38109.24</v>
      </c>
      <c r="I216" s="459"/>
      <c r="J216">
        <v>1.31</v>
      </c>
      <c r="K216">
        <v>1.2</v>
      </c>
      <c r="L216" s="605"/>
      <c r="M216" s="606">
        <v>17731.549866674293</v>
      </c>
      <c r="N216">
        <v>4.32146581813201</v>
      </c>
      <c r="O216" s="13">
        <v>4.0860000000000003</v>
      </c>
      <c r="P216" s="605">
        <v>-8.6278647091138125E-2</v>
      </c>
      <c r="Q216" s="605">
        <v>0.53471783046121379</v>
      </c>
      <c r="R216" s="605">
        <v>0.32376500372235228</v>
      </c>
      <c r="S216" s="605">
        <v>0.21095282673886151</v>
      </c>
      <c r="T216" s="13"/>
    </row>
    <row r="217" spans="1:20" hidden="1" x14ac:dyDescent="0.2">
      <c r="A217" s="671">
        <v>29437</v>
      </c>
      <c r="B217" s="603" t="s">
        <v>787</v>
      </c>
      <c r="C217" s="603" t="s">
        <v>788</v>
      </c>
      <c r="D217" s="604">
        <v>5060</v>
      </c>
      <c r="E217" s="604">
        <v>5318</v>
      </c>
      <c r="F217" s="604">
        <v>5205</v>
      </c>
      <c r="G217" s="605">
        <v>2.865612648221344E-2</v>
      </c>
      <c r="H217" s="606">
        <v>34635.449999999997</v>
      </c>
      <c r="I217" s="459"/>
      <c r="J217">
        <v>1.31</v>
      </c>
      <c r="K217">
        <v>1.2</v>
      </c>
      <c r="L217" s="605"/>
      <c r="M217" s="606">
        <v>18348.987619962201</v>
      </c>
      <c r="N217">
        <v>4.0852617905787127</v>
      </c>
      <c r="O217" s="13">
        <v>3.6672704831552947</v>
      </c>
      <c r="P217" s="605">
        <v>-4.0283162219640192E-2</v>
      </c>
      <c r="Q217" s="605">
        <v>0.47022522819936791</v>
      </c>
      <c r="R217" s="605">
        <v>0.33779749689203881</v>
      </c>
      <c r="S217" s="605">
        <v>0.1324277313073291</v>
      </c>
      <c r="T217" s="13"/>
    </row>
    <row r="218" spans="1:20" hidden="1" x14ac:dyDescent="0.2">
      <c r="A218" s="671">
        <v>29474</v>
      </c>
      <c r="B218" s="603" t="s">
        <v>789</v>
      </c>
      <c r="C218" s="603" t="s">
        <v>790</v>
      </c>
      <c r="D218" s="604">
        <v>4142</v>
      </c>
      <c r="E218" s="604">
        <v>5127</v>
      </c>
      <c r="F218" s="604">
        <v>5127</v>
      </c>
      <c r="G218" s="605">
        <v>0.23780782230806374</v>
      </c>
      <c r="H218" s="606">
        <v>31907.64</v>
      </c>
      <c r="I218" s="459"/>
      <c r="J218">
        <v>1.31</v>
      </c>
      <c r="K218">
        <v>1.2</v>
      </c>
      <c r="L218" s="605"/>
      <c r="M218" s="606">
        <v>9884.4984605116933</v>
      </c>
      <c r="N218">
        <v>2.4879302634116822</v>
      </c>
      <c r="O218" s="13">
        <v>2.9596058533251801</v>
      </c>
      <c r="P218" s="605">
        <v>-0.53512080259990125</v>
      </c>
      <c r="Q218" s="605">
        <v>0.69021530703895084</v>
      </c>
      <c r="R218" s="605">
        <v>0.34923114648849357</v>
      </c>
      <c r="S218" s="605">
        <v>0.34098416055045727</v>
      </c>
      <c r="T218" s="13"/>
    </row>
    <row r="219" spans="1:20" hidden="1" x14ac:dyDescent="0.2">
      <c r="A219" s="671">
        <v>29473</v>
      </c>
      <c r="B219" s="603" t="s">
        <v>791</v>
      </c>
      <c r="C219" s="603" t="s">
        <v>792</v>
      </c>
      <c r="D219" s="604">
        <v>4134</v>
      </c>
      <c r="E219" s="604">
        <v>1673</v>
      </c>
      <c r="F219" s="604">
        <v>1928</v>
      </c>
      <c r="G219" s="605">
        <v>-0.53362360909530726</v>
      </c>
      <c r="H219" s="606">
        <v>13028.079999999998</v>
      </c>
      <c r="I219" s="459"/>
      <c r="J219">
        <v>1.31</v>
      </c>
      <c r="K219">
        <v>1.2</v>
      </c>
      <c r="L219" s="605"/>
      <c r="M219" s="606">
        <v>11718.785900259512</v>
      </c>
      <c r="N219">
        <v>6.6382084544914477</v>
      </c>
      <c r="O219" s="13">
        <v>2.6159999999999997</v>
      </c>
      <c r="P219" s="605">
        <v>0.5696100224948808</v>
      </c>
      <c r="Q219" s="605">
        <v>0.1004978553816438</v>
      </c>
      <c r="R219" s="605">
        <v>0.51162393262165218</v>
      </c>
      <c r="S219" s="605">
        <v>-0.41112607724000838</v>
      </c>
      <c r="T219" s="13"/>
    </row>
    <row r="220" spans="1:20" hidden="1" x14ac:dyDescent="0.2">
      <c r="A220" s="671">
        <v>29436</v>
      </c>
      <c r="B220" s="603" t="s">
        <v>793</v>
      </c>
      <c r="C220" s="603" t="s">
        <v>794</v>
      </c>
      <c r="D220" s="604">
        <v>3850</v>
      </c>
      <c r="E220" s="604">
        <v>6704</v>
      </c>
      <c r="F220" s="604">
        <v>3064</v>
      </c>
      <c r="G220" s="605">
        <v>-0.20415584415584415</v>
      </c>
      <c r="H220" s="606">
        <v>11464.75</v>
      </c>
      <c r="I220" s="459"/>
      <c r="J220">
        <v>1.31</v>
      </c>
      <c r="K220">
        <v>1.7</v>
      </c>
      <c r="L220" s="605"/>
      <c r="M220" s="606">
        <v>4280.6051802002194</v>
      </c>
      <c r="N220">
        <v>1.9570643538512467</v>
      </c>
      <c r="O220" s="13">
        <v>1.4419417475728156</v>
      </c>
      <c r="P220" s="605">
        <v>-3.2122638873332325E-2</v>
      </c>
      <c r="Q220" s="605">
        <v>0.62662899930655103</v>
      </c>
      <c r="R220" s="605">
        <v>0.45147293128580629</v>
      </c>
      <c r="S220" s="605">
        <v>0.17515606802074474</v>
      </c>
      <c r="T220" s="13"/>
    </row>
    <row r="221" spans="1:20" hidden="1" x14ac:dyDescent="0.2">
      <c r="A221" s="671">
        <v>29526</v>
      </c>
      <c r="B221" s="603" t="s">
        <v>795</v>
      </c>
      <c r="C221" s="603" t="s">
        <v>796</v>
      </c>
      <c r="D221" s="604">
        <v>3828</v>
      </c>
      <c r="E221" s="604">
        <v>3607</v>
      </c>
      <c r="F221" s="604">
        <v>3607</v>
      </c>
      <c r="G221" s="605">
        <v>-5.77324973876698E-2</v>
      </c>
      <c r="H221" s="606">
        <v>11386.050000000001</v>
      </c>
      <c r="I221" s="459"/>
      <c r="J221">
        <v>1.31</v>
      </c>
      <c r="K221">
        <v>1.2</v>
      </c>
      <c r="L221" s="605"/>
      <c r="M221" s="459"/>
      <c r="N221">
        <v>0.56000000000000005</v>
      </c>
      <c r="O221" s="13">
        <v>0</v>
      </c>
      <c r="P221" s="605"/>
      <c r="Q221" s="605">
        <v>1</v>
      </c>
      <c r="R221" s="605">
        <v>0.61165048543689315</v>
      </c>
      <c r="S221" s="605">
        <v>0.38834951456310685</v>
      </c>
      <c r="T221" s="13"/>
    </row>
    <row r="222" spans="1:20" hidden="1" x14ac:dyDescent="0.2">
      <c r="A222" s="671">
        <v>29439</v>
      </c>
      <c r="B222" s="603" t="s">
        <v>797</v>
      </c>
      <c r="C222" s="603" t="s">
        <v>798</v>
      </c>
      <c r="D222" s="604">
        <v>3815</v>
      </c>
      <c r="E222" s="604">
        <v>2388</v>
      </c>
      <c r="F222" s="604">
        <v>2279</v>
      </c>
      <c r="G222" s="605">
        <v>-0.40262123197903016</v>
      </c>
      <c r="H222" s="606">
        <v>19572.300000000003</v>
      </c>
      <c r="I222" s="459"/>
      <c r="J222">
        <v>1.31</v>
      </c>
      <c r="K222">
        <v>1.2</v>
      </c>
      <c r="L222" s="605"/>
      <c r="M222" s="606">
        <v>9634.7451728416254</v>
      </c>
      <c r="N222">
        <v>4.7876196458278297</v>
      </c>
      <c r="O222" s="13">
        <v>3.2200714914633615</v>
      </c>
      <c r="P222" s="605">
        <v>0.23832516611535801</v>
      </c>
      <c r="Q222" s="605">
        <v>0.50773566863160569</v>
      </c>
      <c r="R222" s="605">
        <v>0.39556027633690133</v>
      </c>
      <c r="S222" s="605">
        <v>0.11217539229470436</v>
      </c>
      <c r="T222" s="13"/>
    </row>
    <row r="223" spans="1:20" hidden="1" x14ac:dyDescent="0.2">
      <c r="A223" s="671">
        <v>29476</v>
      </c>
      <c r="B223" s="603" t="s">
        <v>799</v>
      </c>
      <c r="C223" s="603" t="s">
        <v>800</v>
      </c>
      <c r="D223" s="604">
        <v>3604</v>
      </c>
      <c r="E223" s="604">
        <v>3287</v>
      </c>
      <c r="F223" s="604">
        <v>3274</v>
      </c>
      <c r="G223" s="605">
        <v>-9.156492785793563E-2</v>
      </c>
      <c r="H223" s="606">
        <v>21551.94</v>
      </c>
      <c r="I223" s="459"/>
      <c r="J223">
        <v>1.31</v>
      </c>
      <c r="K223">
        <v>1.68</v>
      </c>
      <c r="L223" s="605"/>
      <c r="M223" s="606">
        <v>4812.2706303300029</v>
      </c>
      <c r="N223">
        <v>2.0298444197709236</v>
      </c>
      <c r="O223" s="13">
        <v>1.35</v>
      </c>
      <c r="P223" s="605">
        <v>8.1535445628729247E-2</v>
      </c>
      <c r="Q223" s="605">
        <v>0.77671287919648979</v>
      </c>
      <c r="R223" s="605">
        <v>0.52783449758194512</v>
      </c>
      <c r="S223" s="605">
        <v>0.24887838161454467</v>
      </c>
      <c r="T223" s="13"/>
    </row>
    <row r="224" spans="1:20" hidden="1" x14ac:dyDescent="0.2">
      <c r="A224" s="671">
        <v>29492</v>
      </c>
      <c r="B224" s="603" t="s">
        <v>801</v>
      </c>
      <c r="C224" s="603" t="s">
        <v>802</v>
      </c>
      <c r="D224" s="604">
        <v>3510</v>
      </c>
      <c r="E224" s="604">
        <v>4703</v>
      </c>
      <c r="F224" s="604">
        <v>5561</v>
      </c>
      <c r="G224" s="605">
        <v>0.58433048433048429</v>
      </c>
      <c r="H224" s="606">
        <v>27213.980000000003</v>
      </c>
      <c r="I224" s="459"/>
      <c r="J224">
        <v>1.31</v>
      </c>
      <c r="K224">
        <v>1.95</v>
      </c>
      <c r="L224" s="605"/>
      <c r="M224" s="606"/>
      <c r="N224">
        <v>0.56000000000000005</v>
      </c>
      <c r="O224" s="13">
        <v>4.4474037831310209E-4</v>
      </c>
      <c r="P224" s="605"/>
      <c r="Q224" s="605">
        <v>1</v>
      </c>
      <c r="R224" s="605">
        <v>0.44045078592753051</v>
      </c>
      <c r="S224" s="605">
        <v>0.55954921407246949</v>
      </c>
      <c r="T224" s="13"/>
    </row>
    <row r="225" spans="1:20" hidden="1" x14ac:dyDescent="0.2">
      <c r="A225" s="671">
        <v>54085</v>
      </c>
      <c r="B225" s="603" t="s">
        <v>803</v>
      </c>
      <c r="C225" s="603"/>
      <c r="D225" s="604">
        <v>3480</v>
      </c>
      <c r="E225" s="604">
        <v>4089</v>
      </c>
      <c r="F225" s="604">
        <v>4088</v>
      </c>
      <c r="G225" s="605">
        <v>0.17471264367816092</v>
      </c>
      <c r="H225" s="606">
        <v>19952</v>
      </c>
      <c r="I225" s="459"/>
      <c r="J225">
        <v>1.31</v>
      </c>
      <c r="K225">
        <v>1.55</v>
      </c>
      <c r="L225" s="605"/>
      <c r="M225" s="606"/>
      <c r="N225">
        <v>0.56000000000000005</v>
      </c>
      <c r="O225" s="13"/>
      <c r="P225" s="605"/>
      <c r="Q225" s="605">
        <v>1</v>
      </c>
      <c r="R225" s="605">
        <v>0.61258210325587958</v>
      </c>
      <c r="S225" s="605">
        <v>0.38741789674412042</v>
      </c>
      <c r="T225" s="13"/>
    </row>
    <row r="226" spans="1:20" hidden="1" x14ac:dyDescent="0.2">
      <c r="A226" s="671">
        <v>53358</v>
      </c>
      <c r="B226" s="603" t="s">
        <v>804</v>
      </c>
      <c r="C226" s="603" t="s">
        <v>805</v>
      </c>
      <c r="D226" s="604">
        <v>2300</v>
      </c>
      <c r="E226" s="604">
        <v>2611</v>
      </c>
      <c r="F226" s="604">
        <v>2630</v>
      </c>
      <c r="G226" s="605">
        <v>0.14347826086956522</v>
      </c>
      <c r="H226" s="606">
        <v>11780.050000000001</v>
      </c>
      <c r="I226" s="459"/>
      <c r="J226">
        <v>1.31</v>
      </c>
      <c r="K226">
        <v>1.2</v>
      </c>
      <c r="L226" s="605"/>
      <c r="M226" s="606">
        <v>3250.2078516870656</v>
      </c>
      <c r="N226">
        <v>1.795820475926641</v>
      </c>
      <c r="O226" s="13">
        <v>1.5158482170061964</v>
      </c>
      <c r="P226" s="605">
        <v>-0.22659257273560351</v>
      </c>
      <c r="Q226" s="605">
        <v>0.72409218537382558</v>
      </c>
      <c r="R226" s="605">
        <v>0.43561566720568629</v>
      </c>
      <c r="S226" s="605">
        <v>0.2884765181681393</v>
      </c>
      <c r="T226" s="13"/>
    </row>
    <row r="227" spans="1:20" hidden="1" x14ac:dyDescent="0.2">
      <c r="A227" s="671">
        <v>52868</v>
      </c>
      <c r="B227" s="603" t="s">
        <v>806</v>
      </c>
      <c r="C227" s="603" t="s">
        <v>807</v>
      </c>
      <c r="D227" s="604">
        <v>1600</v>
      </c>
      <c r="E227" s="604">
        <v>890</v>
      </c>
      <c r="F227" s="604">
        <v>809</v>
      </c>
      <c r="G227" s="605">
        <v>-0.49437500000000001</v>
      </c>
      <c r="H227" s="606">
        <v>3122.74</v>
      </c>
      <c r="I227" s="459"/>
      <c r="J227">
        <v>1.31</v>
      </c>
      <c r="K227">
        <v>1.2</v>
      </c>
      <c r="L227" s="605"/>
      <c r="M227" s="459"/>
      <c r="N227">
        <v>0.56000000000000005</v>
      </c>
      <c r="O227" s="13">
        <v>0</v>
      </c>
      <c r="P227" s="605"/>
      <c r="Q227" s="605">
        <v>1</v>
      </c>
      <c r="R227" s="605">
        <v>0.68911917098445596</v>
      </c>
      <c r="S227" s="605">
        <v>0.31088082901554404</v>
      </c>
      <c r="T227" s="13"/>
    </row>
    <row r="228" spans="1:20" hidden="1" x14ac:dyDescent="0.2">
      <c r="A228" s="671">
        <v>29456</v>
      </c>
      <c r="B228" s="603" t="s">
        <v>777</v>
      </c>
      <c r="C228" s="603" t="s">
        <v>808</v>
      </c>
      <c r="D228" s="604"/>
      <c r="E228" s="604">
        <v>5115</v>
      </c>
      <c r="F228" s="604">
        <v>5115</v>
      </c>
      <c r="G228" s="605"/>
      <c r="H228" s="606">
        <v>15121.65</v>
      </c>
      <c r="I228" s="459"/>
      <c r="J228">
        <v>1.31</v>
      </c>
      <c r="L228" s="605"/>
      <c r="M228" s="459"/>
      <c r="N228">
        <v>0.56000000000000005</v>
      </c>
      <c r="O228" s="13"/>
      <c r="P228" s="605"/>
      <c r="Q228" s="605">
        <v>1</v>
      </c>
      <c r="R228" s="605"/>
      <c r="S228" s="605">
        <v>1</v>
      </c>
      <c r="T228" s="13"/>
    </row>
    <row r="229" spans="1:20" hidden="1" x14ac:dyDescent="0.2">
      <c r="A229" s="671">
        <v>29478</v>
      </c>
      <c r="B229" s="603" t="s">
        <v>806</v>
      </c>
      <c r="C229" s="603" t="s">
        <v>809</v>
      </c>
      <c r="D229" s="604"/>
      <c r="E229" s="604">
        <v>2545</v>
      </c>
      <c r="F229" s="604">
        <v>2545</v>
      </c>
      <c r="G229" s="605"/>
      <c r="H229" s="606">
        <v>9823.7000000000007</v>
      </c>
      <c r="I229" s="459"/>
      <c r="J229">
        <v>1.31</v>
      </c>
      <c r="L229" s="605"/>
      <c r="M229" s="459"/>
      <c r="N229">
        <v>0.56000000000000005</v>
      </c>
      <c r="O229" s="13"/>
      <c r="P229" s="605"/>
      <c r="Q229" s="605">
        <v>1</v>
      </c>
      <c r="R229" s="605"/>
      <c r="S229" s="605">
        <v>1</v>
      </c>
      <c r="T229" s="13"/>
    </row>
    <row r="230" spans="1:20" hidden="1" x14ac:dyDescent="0.2">
      <c r="A230" s="671">
        <v>29479</v>
      </c>
      <c r="B230" s="603" t="s">
        <v>806</v>
      </c>
      <c r="C230" s="603" t="s">
        <v>810</v>
      </c>
      <c r="D230" s="604"/>
      <c r="E230" s="604">
        <v>953</v>
      </c>
      <c r="F230" s="604">
        <v>875</v>
      </c>
      <c r="G230" s="605"/>
      <c r="H230" s="606">
        <v>3377.5</v>
      </c>
      <c r="I230" s="459"/>
      <c r="J230">
        <v>1.31</v>
      </c>
      <c r="L230" s="605"/>
      <c r="M230" s="459"/>
      <c r="N230">
        <v>0.56000000000000005</v>
      </c>
      <c r="O230" s="13"/>
      <c r="P230" s="605"/>
      <c r="Q230" s="605">
        <v>1</v>
      </c>
      <c r="R230" s="605"/>
      <c r="S230" s="605">
        <v>1</v>
      </c>
      <c r="T230" s="13"/>
    </row>
    <row r="231" spans="1:20" hidden="1" x14ac:dyDescent="0.2">
      <c r="A231" s="671">
        <v>29480</v>
      </c>
      <c r="B231" s="603" t="s">
        <v>806</v>
      </c>
      <c r="C231" s="603" t="s">
        <v>811</v>
      </c>
      <c r="D231" s="604"/>
      <c r="E231" s="604">
        <v>2381</v>
      </c>
      <c r="F231" s="604">
        <v>2381</v>
      </c>
      <c r="G231" s="605"/>
      <c r="H231" s="606">
        <v>9190.66</v>
      </c>
      <c r="I231" s="459"/>
      <c r="J231">
        <v>1.31</v>
      </c>
      <c r="L231" s="605"/>
      <c r="M231" s="459"/>
      <c r="N231">
        <v>0.56000000000000005</v>
      </c>
      <c r="O231" s="13"/>
      <c r="P231" s="605"/>
      <c r="Q231" s="605">
        <v>1</v>
      </c>
      <c r="R231" s="605"/>
      <c r="S231" s="605">
        <v>1</v>
      </c>
      <c r="T231" s="13"/>
    </row>
    <row r="232" spans="1:20" hidden="1" x14ac:dyDescent="0.2">
      <c r="A232" s="671">
        <v>51748</v>
      </c>
      <c r="B232" s="603" t="s">
        <v>779</v>
      </c>
      <c r="C232" s="603" t="s">
        <v>812</v>
      </c>
      <c r="D232" s="604"/>
      <c r="E232" s="604">
        <v>1015</v>
      </c>
      <c r="F232" s="604">
        <v>906</v>
      </c>
      <c r="G232" s="605"/>
      <c r="H232" s="606">
        <v>9013.44</v>
      </c>
      <c r="I232" s="459"/>
      <c r="J232">
        <v>1.31</v>
      </c>
      <c r="L232" s="605"/>
      <c r="M232" s="459"/>
      <c r="N232">
        <v>0.56000000000000005</v>
      </c>
      <c r="O232" s="13"/>
      <c r="P232" s="605"/>
      <c r="Q232" s="605">
        <v>1</v>
      </c>
      <c r="R232" s="605"/>
      <c r="S232" s="605">
        <v>1</v>
      </c>
      <c r="T232" s="13"/>
    </row>
    <row r="233" spans="1:20" hidden="1" x14ac:dyDescent="0.2">
      <c r="A233" s="671">
        <v>52027</v>
      </c>
      <c r="B233" s="603" t="s">
        <v>779</v>
      </c>
      <c r="C233" s="603" t="s">
        <v>813</v>
      </c>
      <c r="D233" s="604"/>
      <c r="E233" s="604">
        <v>3585</v>
      </c>
      <c r="F233" s="604">
        <v>3476</v>
      </c>
      <c r="G233" s="605"/>
      <c r="H233" s="606">
        <v>26986.04</v>
      </c>
      <c r="I233" s="459"/>
      <c r="J233">
        <v>1.31</v>
      </c>
      <c r="L233" s="605"/>
      <c r="M233" s="459"/>
      <c r="N233">
        <v>0.56000000000000005</v>
      </c>
      <c r="O233" s="13"/>
      <c r="P233" s="605"/>
      <c r="Q233" s="605">
        <v>1</v>
      </c>
      <c r="R233" s="605"/>
      <c r="S233" s="605">
        <v>1</v>
      </c>
      <c r="T233" s="13"/>
    </row>
    <row r="234" spans="1:20" hidden="1" x14ac:dyDescent="0.2">
      <c r="A234" s="671">
        <v>52788</v>
      </c>
      <c r="B234" s="603" t="s">
        <v>791</v>
      </c>
      <c r="C234" s="603" t="s">
        <v>814</v>
      </c>
      <c r="D234" s="604"/>
      <c r="E234" s="604">
        <v>1353</v>
      </c>
      <c r="F234" s="604">
        <v>1293</v>
      </c>
      <c r="G234" s="605"/>
      <c r="H234" s="606">
        <v>10576.98</v>
      </c>
      <c r="I234" s="459"/>
      <c r="J234">
        <v>1.31</v>
      </c>
      <c r="L234" s="605"/>
      <c r="M234" s="459"/>
      <c r="N234">
        <v>0.56000000000000005</v>
      </c>
      <c r="O234" s="13"/>
      <c r="P234" s="605"/>
      <c r="Q234" s="605">
        <v>1</v>
      </c>
      <c r="R234" s="605"/>
      <c r="S234" s="605">
        <v>1</v>
      </c>
      <c r="T234" s="13"/>
    </row>
    <row r="235" spans="1:20" hidden="1" x14ac:dyDescent="0.2">
      <c r="A235" s="671">
        <v>52790</v>
      </c>
      <c r="B235" s="603" t="s">
        <v>791</v>
      </c>
      <c r="C235" s="603" t="s">
        <v>815</v>
      </c>
      <c r="D235" s="604"/>
      <c r="E235" s="604">
        <v>677</v>
      </c>
      <c r="F235" s="604">
        <v>593</v>
      </c>
      <c r="G235" s="605"/>
      <c r="H235" s="606">
        <v>7874.98</v>
      </c>
      <c r="I235" s="459"/>
      <c r="J235">
        <v>1.31</v>
      </c>
      <c r="L235" s="605"/>
      <c r="M235" s="459"/>
      <c r="N235">
        <v>0.56000000000000005</v>
      </c>
      <c r="O235" s="13"/>
      <c r="P235" s="605"/>
      <c r="Q235" s="605">
        <v>1</v>
      </c>
      <c r="R235" s="605"/>
      <c r="S235" s="605">
        <v>1</v>
      </c>
      <c r="T235" s="13"/>
    </row>
    <row r="236" spans="1:20" hidden="1" x14ac:dyDescent="0.2">
      <c r="A236" s="671">
        <v>52806</v>
      </c>
      <c r="B236" s="603" t="s">
        <v>779</v>
      </c>
      <c r="C236" s="603" t="s">
        <v>816</v>
      </c>
      <c r="D236" s="604"/>
      <c r="E236" s="604">
        <v>1828</v>
      </c>
      <c r="F236" s="604">
        <v>1720</v>
      </c>
      <c r="G236" s="605"/>
      <c r="H236" s="606">
        <v>11976.4</v>
      </c>
      <c r="I236" s="459"/>
      <c r="J236">
        <v>1.31</v>
      </c>
      <c r="L236" s="605"/>
      <c r="M236" s="459"/>
      <c r="N236">
        <v>0.56000000000000005</v>
      </c>
      <c r="O236" s="13"/>
      <c r="P236" s="605"/>
      <c r="Q236" s="605">
        <v>1</v>
      </c>
      <c r="R236" s="605"/>
      <c r="S236" s="605">
        <v>1</v>
      </c>
      <c r="T236" s="13"/>
    </row>
    <row r="237" spans="1:20" hidden="1" x14ac:dyDescent="0.2">
      <c r="A237" s="671">
        <v>54178</v>
      </c>
      <c r="B237" s="603" t="s">
        <v>622</v>
      </c>
      <c r="C237" s="603"/>
      <c r="D237" s="604"/>
      <c r="E237" s="604">
        <v>14143</v>
      </c>
      <c r="F237" s="604">
        <v>11750</v>
      </c>
      <c r="G237" s="605"/>
      <c r="H237" s="606">
        <v>46951.96</v>
      </c>
      <c r="I237" s="459"/>
      <c r="J237">
        <v>1.31</v>
      </c>
      <c r="L237" s="605"/>
      <c r="M237" s="606"/>
      <c r="N237">
        <v>0.56000000000000005</v>
      </c>
      <c r="O237" s="13"/>
      <c r="P237" s="605"/>
      <c r="Q237" s="605">
        <v>1</v>
      </c>
      <c r="R237" s="605"/>
      <c r="S237" s="605">
        <v>1</v>
      </c>
      <c r="T237" s="13"/>
    </row>
    <row r="238" spans="1:20" hidden="1" x14ac:dyDescent="0.2">
      <c r="A238" s="671">
        <v>54179</v>
      </c>
      <c r="B238" s="603" t="s">
        <v>622</v>
      </c>
      <c r="C238" s="603"/>
      <c r="D238" s="604"/>
      <c r="E238" s="604"/>
      <c r="F238" s="604">
        <v>2201</v>
      </c>
      <c r="G238" s="605"/>
      <c r="H238" s="606">
        <v>9534.619999999999</v>
      </c>
      <c r="I238" s="459"/>
      <c r="J238">
        <v>1.31</v>
      </c>
      <c r="L238" s="605"/>
      <c r="M238" s="606"/>
      <c r="N238">
        <v>0.56000000000000005</v>
      </c>
      <c r="O238" s="13"/>
      <c r="P238" s="605"/>
      <c r="Q238" s="605">
        <v>1</v>
      </c>
      <c r="R238" s="605"/>
      <c r="S238" s="605">
        <v>1</v>
      </c>
      <c r="T238" s="13"/>
    </row>
    <row r="239" spans="1:20" hidden="1" x14ac:dyDescent="0.2">
      <c r="A239" s="671">
        <v>54247</v>
      </c>
      <c r="B239" s="603" t="s">
        <v>817</v>
      </c>
      <c r="C239" s="603" t="s">
        <v>818</v>
      </c>
      <c r="D239" s="604">
        <v>1500</v>
      </c>
      <c r="E239" s="604">
        <v>23963</v>
      </c>
      <c r="F239" s="604">
        <v>-471</v>
      </c>
      <c r="G239" s="605">
        <v>-1.3140000000000001</v>
      </c>
      <c r="H239" s="606">
        <v>164936.14999999997</v>
      </c>
      <c r="I239" s="459">
        <v>32944.17363999688</v>
      </c>
      <c r="J239">
        <v>1.3</v>
      </c>
      <c r="K239">
        <v>1.6537528089887641</v>
      </c>
      <c r="L239" s="605">
        <v>1.0236435608173229</v>
      </c>
      <c r="M239" s="606">
        <v>96930.421827585305</v>
      </c>
      <c r="N239">
        <v>-205.79707394391784</v>
      </c>
      <c r="O239" s="13">
        <v>2.5</v>
      </c>
      <c r="P239" s="605">
        <v>1.012147888947543</v>
      </c>
      <c r="Q239" s="605">
        <v>0.21257653056905831</v>
      </c>
      <c r="R239" s="605">
        <v>0.33148234128062154</v>
      </c>
      <c r="S239" s="605">
        <v>-0.11890581071156323</v>
      </c>
      <c r="T239" s="13"/>
    </row>
    <row r="240" spans="1:20" hidden="1" x14ac:dyDescent="0.2">
      <c r="A240" s="671">
        <v>54264</v>
      </c>
      <c r="B240" s="603" t="s">
        <v>819</v>
      </c>
      <c r="C240" s="603" t="s">
        <v>820</v>
      </c>
      <c r="D240" s="604">
        <v>138</v>
      </c>
      <c r="E240" s="604">
        <v>2473</v>
      </c>
      <c r="F240" s="604">
        <v>1672</v>
      </c>
      <c r="G240" s="605">
        <v>11.115942028985508</v>
      </c>
      <c r="H240" s="606">
        <v>32994.26</v>
      </c>
      <c r="I240" s="459">
        <v>9360.4774803419241</v>
      </c>
      <c r="J240">
        <v>5.5983716987690935</v>
      </c>
      <c r="K240">
        <v>5.49</v>
      </c>
      <c r="L240" s="605">
        <v>1.9357717672251164E-2</v>
      </c>
      <c r="M240" s="606"/>
      <c r="N240">
        <v>0</v>
      </c>
      <c r="O240" s="13">
        <v>3.8</v>
      </c>
      <c r="P240" s="605"/>
      <c r="Q240" s="605">
        <v>0.716299820625105</v>
      </c>
      <c r="R240" s="605">
        <v>0.17963124696749153</v>
      </c>
      <c r="S240" s="605">
        <v>0.53666857365761345</v>
      </c>
      <c r="T240" s="13"/>
    </row>
    <row r="241" spans="1:20" hidden="1" x14ac:dyDescent="0.2">
      <c r="A241" s="671">
        <v>53981</v>
      </c>
      <c r="B241" s="603" t="s">
        <v>821</v>
      </c>
      <c r="C241" s="603" t="s">
        <v>822</v>
      </c>
      <c r="D241" s="604"/>
      <c r="E241" s="604"/>
      <c r="F241" s="604"/>
      <c r="G241" s="605"/>
      <c r="H241" s="606">
        <v>215196.06</v>
      </c>
      <c r="I241" s="459">
        <v>123580.81459199774</v>
      </c>
      <c r="K241">
        <v>1.98</v>
      </c>
      <c r="L241" s="605"/>
      <c r="M241" s="606">
        <v>181776.50107524561</v>
      </c>
      <c r="N241">
        <v>0</v>
      </c>
      <c r="O241" s="13">
        <v>1.93</v>
      </c>
      <c r="P241" s="605"/>
      <c r="Q241" s="605">
        <v>-0.41897261347277154</v>
      </c>
      <c r="R241" s="605">
        <v>1.9330604548485779E-2</v>
      </c>
      <c r="S241" s="605">
        <v>-0.43830321802125732</v>
      </c>
      <c r="T241" s="13"/>
    </row>
    <row r="242" spans="1:20" hidden="1" x14ac:dyDescent="0.2">
      <c r="A242" s="671">
        <v>53983</v>
      </c>
      <c r="B242" s="603" t="s">
        <v>821</v>
      </c>
      <c r="C242" s="603" t="s">
        <v>823</v>
      </c>
      <c r="D242" s="604"/>
      <c r="E242" s="604"/>
      <c r="F242" s="604"/>
      <c r="G242" s="605"/>
      <c r="H242" s="606">
        <v>140827.88</v>
      </c>
      <c r="I242" s="459">
        <v>76521.714631236668</v>
      </c>
      <c r="L242" s="605"/>
      <c r="M242" s="606"/>
      <c r="N242">
        <v>0</v>
      </c>
      <c r="O242" s="13"/>
      <c r="P242" s="605"/>
      <c r="Q242" s="605">
        <v>0.45662950666276686</v>
      </c>
      <c r="R242" s="605"/>
      <c r="S242" s="605">
        <v>0.45662950666276686</v>
      </c>
      <c r="T242" s="13"/>
    </row>
    <row r="243" spans="1:20" hidden="1" x14ac:dyDescent="0.2">
      <c r="A243" s="671">
        <v>53535</v>
      </c>
      <c r="B243" s="603" t="s">
        <v>824</v>
      </c>
      <c r="C243" s="603" t="s">
        <v>825</v>
      </c>
      <c r="D243" s="604">
        <v>810</v>
      </c>
      <c r="E243" s="604">
        <v>13567</v>
      </c>
      <c r="F243" s="604">
        <v>-346</v>
      </c>
      <c r="G243" s="605">
        <v>-1.4271604938271605</v>
      </c>
      <c r="H243" s="606">
        <v>91787.520000000004</v>
      </c>
      <c r="I243" s="459">
        <v>15811.038110787385</v>
      </c>
      <c r="J243">
        <v>1.3</v>
      </c>
      <c r="K243">
        <v>1.25</v>
      </c>
      <c r="L243" s="605">
        <v>1.027354307602669</v>
      </c>
      <c r="M243" s="606">
        <v>38783.055899147563</v>
      </c>
      <c r="N243">
        <v>-112.08975693395249</v>
      </c>
      <c r="O243" s="13">
        <v>2.8000000000000003</v>
      </c>
      <c r="P243" s="605">
        <v>1.0249799810133398</v>
      </c>
      <c r="Q243" s="605">
        <v>0.40521223353746844</v>
      </c>
      <c r="R243" s="605">
        <v>0.36072530854736334</v>
      </c>
      <c r="S243" s="605">
        <v>4.4486924990105092E-2</v>
      </c>
      <c r="T243" s="13"/>
    </row>
    <row r="244" spans="1:20" hidden="1" x14ac:dyDescent="0.2">
      <c r="A244" s="671"/>
      <c r="B244" s="603"/>
      <c r="D244" s="604"/>
      <c r="E244" s="604"/>
      <c r="F244" s="604"/>
      <c r="G244" s="605"/>
      <c r="H244" s="606"/>
      <c r="I244" s="459">
        <v>2819134.1656122631</v>
      </c>
      <c r="L244" s="605"/>
      <c r="M244" s="606">
        <v>2190988.7326596356</v>
      </c>
      <c r="N244">
        <v>0</v>
      </c>
      <c r="O244" s="13"/>
      <c r="P244" s="605"/>
      <c r="Q244" s="605"/>
      <c r="R244" s="605">
        <v>1</v>
      </c>
      <c r="S244" s="605">
        <v>-1</v>
      </c>
      <c r="T244" s="13"/>
    </row>
    <row r="245" spans="1:20" hidden="1" x14ac:dyDescent="0.2">
      <c r="A245" s="671">
        <v>12088</v>
      </c>
      <c r="B245" s="603" t="s">
        <v>826</v>
      </c>
      <c r="D245" s="604"/>
      <c r="E245" s="604"/>
      <c r="F245" s="604"/>
      <c r="G245" s="605"/>
      <c r="H245" s="606">
        <v>445476.05999999831</v>
      </c>
      <c r="I245" s="459"/>
      <c r="L245" s="605"/>
      <c r="M245" s="606"/>
      <c r="N245">
        <v>0.56000000000000005</v>
      </c>
      <c r="O245" s="13"/>
      <c r="P245" s="605"/>
      <c r="Q245" s="605">
        <v>1</v>
      </c>
      <c r="R245" s="605"/>
      <c r="S245" s="605">
        <v>1</v>
      </c>
      <c r="T245" s="13"/>
    </row>
    <row r="246" spans="1:20" ht="15" hidden="1" x14ac:dyDescent="0.25">
      <c r="A246" s="732">
        <v>13466</v>
      </c>
      <c r="B246" t="s">
        <v>827</v>
      </c>
      <c r="D246" s="672"/>
      <c r="E246" s="672"/>
      <c r="F246" s="672"/>
      <c r="G246" s="673"/>
      <c r="H246" s="674">
        <v>37556.080000000016</v>
      </c>
      <c r="I246" s="674"/>
      <c r="J246" s="675"/>
      <c r="K246" s="675"/>
      <c r="L246" s="673"/>
      <c r="M246" s="674"/>
      <c r="N246" s="675">
        <v>0.56000000000000005</v>
      </c>
      <c r="O246" s="676"/>
      <c r="P246" s="673"/>
      <c r="Q246" s="673">
        <v>1</v>
      </c>
      <c r="R246" s="673"/>
      <c r="S246" s="673">
        <v>1</v>
      </c>
      <c r="T246" s="13"/>
    </row>
    <row r="247" spans="1:20" hidden="1" x14ac:dyDescent="0.2">
      <c r="A247">
        <v>13792</v>
      </c>
      <c r="B247" t="s">
        <v>828</v>
      </c>
      <c r="F247">
        <v>2</v>
      </c>
      <c r="H247">
        <v>216.91</v>
      </c>
      <c r="N247">
        <v>0.56000000000000005</v>
      </c>
      <c r="Q247">
        <v>1</v>
      </c>
      <c r="S247">
        <v>1</v>
      </c>
      <c r="T247" s="13"/>
    </row>
    <row r="248" spans="1:20" hidden="1" x14ac:dyDescent="0.2">
      <c r="A248">
        <v>14045</v>
      </c>
      <c r="B248" t="s">
        <v>829</v>
      </c>
      <c r="H248">
        <v>48536.85</v>
      </c>
      <c r="N248">
        <v>0.56000000000000005</v>
      </c>
      <c r="Q248">
        <v>1</v>
      </c>
      <c r="S248">
        <v>1</v>
      </c>
      <c r="T248" s="13"/>
    </row>
    <row r="249" spans="1:20" hidden="1" x14ac:dyDescent="0.2">
      <c r="A249">
        <v>14313</v>
      </c>
      <c r="B249" t="s">
        <v>830</v>
      </c>
      <c r="H249">
        <v>3129.39</v>
      </c>
      <c r="N249">
        <v>0.56000000000000005</v>
      </c>
      <c r="Q249">
        <v>1</v>
      </c>
      <c r="S249">
        <v>1</v>
      </c>
      <c r="T249" s="13"/>
    </row>
    <row r="250" spans="1:20" hidden="1" x14ac:dyDescent="0.2">
      <c r="A250">
        <v>15011</v>
      </c>
      <c r="B250" t="s">
        <v>831</v>
      </c>
      <c r="H250">
        <v>1146</v>
      </c>
      <c r="N250">
        <v>0.56000000000000005</v>
      </c>
      <c r="Q250">
        <v>1</v>
      </c>
      <c r="S250">
        <v>1</v>
      </c>
      <c r="T250" s="13"/>
    </row>
    <row r="251" spans="1:20" hidden="1" x14ac:dyDescent="0.2">
      <c r="A251">
        <v>29295</v>
      </c>
      <c r="B251" t="s">
        <v>398</v>
      </c>
      <c r="C251" t="s">
        <v>832</v>
      </c>
      <c r="F251">
        <v>10174</v>
      </c>
      <c r="H251">
        <v>39935.700000000004</v>
      </c>
      <c r="M251" s="459"/>
      <c r="N251">
        <v>0.56000000000000005</v>
      </c>
      <c r="Q251">
        <v>1</v>
      </c>
      <c r="S251">
        <v>1</v>
      </c>
      <c r="T251" s="13"/>
    </row>
    <row r="252" spans="1:20" hidden="1" x14ac:dyDescent="0.2">
      <c r="A252">
        <v>29373</v>
      </c>
      <c r="B252" t="s">
        <v>833</v>
      </c>
      <c r="C252" t="s">
        <v>834</v>
      </c>
      <c r="I252">
        <v>6.347999999999999</v>
      </c>
      <c r="M252" s="459"/>
      <c r="N252">
        <v>0.56000000000000005</v>
      </c>
      <c r="T252" s="13"/>
    </row>
    <row r="253" spans="1:20" hidden="1" x14ac:dyDescent="0.2">
      <c r="A253">
        <v>29438</v>
      </c>
      <c r="B253" t="s">
        <v>835</v>
      </c>
      <c r="C253" t="s">
        <v>836</v>
      </c>
      <c r="I253">
        <v>305.08597583334483</v>
      </c>
      <c r="M253" s="459"/>
      <c r="N253">
        <v>0.56000000000000005</v>
      </c>
      <c r="T253" s="13"/>
    </row>
    <row r="254" spans="1:20" hidden="1" x14ac:dyDescent="0.2">
      <c r="A254">
        <v>29446</v>
      </c>
      <c r="B254" t="s">
        <v>837</v>
      </c>
      <c r="H254">
        <v>797624.05000000156</v>
      </c>
      <c r="N254">
        <v>0.56000000000000005</v>
      </c>
      <c r="Q254">
        <v>1</v>
      </c>
      <c r="S254">
        <v>1</v>
      </c>
      <c r="T254" s="13"/>
    </row>
    <row r="255" spans="1:20" hidden="1" x14ac:dyDescent="0.2">
      <c r="A255">
        <v>29543</v>
      </c>
      <c r="B255" t="s">
        <v>838</v>
      </c>
      <c r="C255" t="s">
        <v>839</v>
      </c>
      <c r="F255">
        <v>134</v>
      </c>
      <c r="H255">
        <v>241.91</v>
      </c>
      <c r="N255">
        <v>0.56000000000000005</v>
      </c>
      <c r="Q255">
        <v>1</v>
      </c>
      <c r="S255">
        <v>1</v>
      </c>
      <c r="T255" s="13"/>
    </row>
    <row r="256" spans="1:20" hidden="1" x14ac:dyDescent="0.2">
      <c r="A256">
        <v>29554</v>
      </c>
      <c r="B256" t="s">
        <v>840</v>
      </c>
      <c r="C256" t="s">
        <v>841</v>
      </c>
      <c r="F256">
        <v>-16</v>
      </c>
      <c r="H256">
        <v>9961.14</v>
      </c>
      <c r="N256">
        <v>0.56000000000000005</v>
      </c>
      <c r="Q256">
        <v>1</v>
      </c>
      <c r="S256">
        <v>1</v>
      </c>
      <c r="T256" s="13"/>
    </row>
    <row r="257" spans="1:20" hidden="1" x14ac:dyDescent="0.2">
      <c r="A257">
        <v>50121</v>
      </c>
      <c r="B257" t="s">
        <v>842</v>
      </c>
      <c r="C257" t="s">
        <v>843</v>
      </c>
      <c r="H257">
        <v>225</v>
      </c>
      <c r="N257">
        <v>0.56000000000000005</v>
      </c>
      <c r="Q257">
        <v>1</v>
      </c>
      <c r="S257">
        <v>1</v>
      </c>
      <c r="T257" s="13"/>
    </row>
    <row r="258" spans="1:20" hidden="1" x14ac:dyDescent="0.2">
      <c r="A258">
        <v>50128</v>
      </c>
      <c r="B258" t="s">
        <v>844</v>
      </c>
      <c r="C258" t="s">
        <v>845</v>
      </c>
      <c r="H258">
        <v>412.5</v>
      </c>
      <c r="N258">
        <v>0.56000000000000005</v>
      </c>
      <c r="Q258">
        <v>1</v>
      </c>
      <c r="S258">
        <v>1</v>
      </c>
      <c r="T258" s="13"/>
    </row>
    <row r="259" spans="1:20" hidden="1" x14ac:dyDescent="0.2">
      <c r="A259">
        <v>50154</v>
      </c>
      <c r="B259" t="s">
        <v>846</v>
      </c>
      <c r="C259" t="s">
        <v>847</v>
      </c>
      <c r="H259">
        <v>485</v>
      </c>
      <c r="M259" s="459"/>
      <c r="N259">
        <v>0.56000000000000005</v>
      </c>
      <c r="Q259">
        <v>1</v>
      </c>
      <c r="S259">
        <v>1</v>
      </c>
      <c r="T259" s="13"/>
    </row>
    <row r="260" spans="1:20" hidden="1" x14ac:dyDescent="0.2">
      <c r="A260">
        <v>50160</v>
      </c>
      <c r="B260" t="s">
        <v>848</v>
      </c>
      <c r="C260" t="s">
        <v>849</v>
      </c>
      <c r="H260">
        <v>1923.9899999999998</v>
      </c>
      <c r="N260">
        <v>0.56000000000000005</v>
      </c>
      <c r="Q260">
        <v>1</v>
      </c>
      <c r="S260">
        <v>1</v>
      </c>
      <c r="T260" s="13"/>
    </row>
    <row r="261" spans="1:20" hidden="1" x14ac:dyDescent="0.2">
      <c r="A261">
        <v>50207</v>
      </c>
      <c r="B261" t="s">
        <v>850</v>
      </c>
      <c r="C261" t="s">
        <v>851</v>
      </c>
      <c r="H261">
        <v>2058</v>
      </c>
      <c r="N261">
        <v>0.56000000000000005</v>
      </c>
      <c r="Q261">
        <v>1</v>
      </c>
      <c r="S261">
        <v>1</v>
      </c>
      <c r="T261" s="13"/>
    </row>
    <row r="262" spans="1:20" hidden="1" x14ac:dyDescent="0.2">
      <c r="A262">
        <v>50208</v>
      </c>
      <c r="B262" t="s">
        <v>852</v>
      </c>
      <c r="C262" t="s">
        <v>853</v>
      </c>
      <c r="H262">
        <v>1620</v>
      </c>
      <c r="N262">
        <v>0.56000000000000005</v>
      </c>
      <c r="Q262">
        <v>1</v>
      </c>
      <c r="S262">
        <v>1</v>
      </c>
      <c r="T262" s="13"/>
    </row>
    <row r="263" spans="1:20" hidden="1" x14ac:dyDescent="0.2">
      <c r="A263">
        <v>50349</v>
      </c>
      <c r="B263" t="s">
        <v>854</v>
      </c>
      <c r="C263" t="s">
        <v>855</v>
      </c>
      <c r="H263">
        <v>4907.7</v>
      </c>
      <c r="N263">
        <v>0.56000000000000005</v>
      </c>
      <c r="Q263">
        <v>1</v>
      </c>
      <c r="S263">
        <v>1</v>
      </c>
      <c r="T263" s="13"/>
    </row>
    <row r="264" spans="1:20" hidden="1" x14ac:dyDescent="0.2">
      <c r="A264">
        <v>50417</v>
      </c>
      <c r="B264" t="s">
        <v>856</v>
      </c>
      <c r="H264">
        <v>540</v>
      </c>
      <c r="N264">
        <v>0.56000000000000005</v>
      </c>
      <c r="Q264">
        <v>1</v>
      </c>
      <c r="S264">
        <v>1</v>
      </c>
      <c r="T264" s="13"/>
    </row>
    <row r="265" spans="1:20" hidden="1" x14ac:dyDescent="0.2">
      <c r="A265">
        <v>50513</v>
      </c>
      <c r="B265" t="s">
        <v>857</v>
      </c>
      <c r="C265" t="s">
        <v>858</v>
      </c>
      <c r="H265">
        <v>25</v>
      </c>
      <c r="M265" s="459"/>
      <c r="N265">
        <v>0.56000000000000005</v>
      </c>
      <c r="Q265">
        <v>1</v>
      </c>
      <c r="S265">
        <v>1</v>
      </c>
      <c r="T265" s="13"/>
    </row>
    <row r="266" spans="1:20" hidden="1" x14ac:dyDescent="0.2">
      <c r="A266">
        <v>50554</v>
      </c>
      <c r="B266" t="s">
        <v>859</v>
      </c>
      <c r="C266" t="s">
        <v>860</v>
      </c>
      <c r="H266">
        <v>3978.5399999999995</v>
      </c>
      <c r="N266">
        <v>0.56000000000000005</v>
      </c>
      <c r="Q266">
        <v>1</v>
      </c>
      <c r="S266">
        <v>1</v>
      </c>
      <c r="T266" s="13"/>
    </row>
    <row r="267" spans="1:20" hidden="1" x14ac:dyDescent="0.2">
      <c r="A267">
        <v>51129</v>
      </c>
      <c r="B267" t="s">
        <v>861</v>
      </c>
      <c r="H267">
        <v>6172.75</v>
      </c>
      <c r="N267">
        <v>0.56000000000000005</v>
      </c>
      <c r="Q267">
        <v>1</v>
      </c>
      <c r="S267">
        <v>1</v>
      </c>
      <c r="T267" s="13"/>
    </row>
    <row r="268" spans="1:20" hidden="1" x14ac:dyDescent="0.2">
      <c r="A268">
        <v>51244</v>
      </c>
      <c r="B268" t="s">
        <v>819</v>
      </c>
      <c r="C268" t="s">
        <v>862</v>
      </c>
      <c r="M268">
        <v>11777.077055246582</v>
      </c>
      <c r="N268">
        <v>0.56000000000000005</v>
      </c>
      <c r="T268" s="13"/>
    </row>
    <row r="269" spans="1:20" hidden="1" x14ac:dyDescent="0.2">
      <c r="A269">
        <v>51252</v>
      </c>
      <c r="B269" t="s">
        <v>440</v>
      </c>
      <c r="C269" t="s">
        <v>863</v>
      </c>
      <c r="E269">
        <v>2400</v>
      </c>
      <c r="F269">
        <v>2744</v>
      </c>
      <c r="H269">
        <v>6124.2899999999991</v>
      </c>
      <c r="M269" s="459"/>
      <c r="N269">
        <v>0.56000000000000005</v>
      </c>
      <c r="Q269">
        <v>1</v>
      </c>
      <c r="S269">
        <v>1</v>
      </c>
      <c r="T269" s="13"/>
    </row>
    <row r="270" spans="1:20" hidden="1" x14ac:dyDescent="0.2">
      <c r="A270">
        <v>51307</v>
      </c>
      <c r="B270" t="s">
        <v>864</v>
      </c>
      <c r="H270">
        <v>1907</v>
      </c>
      <c r="N270">
        <v>0.56000000000000005</v>
      </c>
      <c r="Q270">
        <v>1</v>
      </c>
      <c r="S270">
        <v>1</v>
      </c>
      <c r="T270" s="13"/>
    </row>
    <row r="271" spans="1:20" hidden="1" x14ac:dyDescent="0.2">
      <c r="A271">
        <v>51320</v>
      </c>
      <c r="B271" t="s">
        <v>865</v>
      </c>
      <c r="H271">
        <v>6351.3</v>
      </c>
      <c r="N271">
        <v>0.56000000000000005</v>
      </c>
      <c r="Q271">
        <v>1</v>
      </c>
      <c r="S271">
        <v>1</v>
      </c>
      <c r="T271" s="13"/>
    </row>
    <row r="272" spans="1:20" hidden="1" x14ac:dyDescent="0.2">
      <c r="A272">
        <v>51661</v>
      </c>
      <c r="B272" t="s">
        <v>866</v>
      </c>
      <c r="H272">
        <v>2000</v>
      </c>
      <c r="N272">
        <v>0.56000000000000005</v>
      </c>
      <c r="Q272">
        <v>1</v>
      </c>
      <c r="S272">
        <v>1</v>
      </c>
      <c r="T272" s="13"/>
    </row>
    <row r="273" spans="1:20" hidden="1" x14ac:dyDescent="0.2">
      <c r="A273">
        <v>51827</v>
      </c>
      <c r="B273" t="s">
        <v>867</v>
      </c>
      <c r="C273" t="s">
        <v>868</v>
      </c>
      <c r="F273">
        <v>277</v>
      </c>
      <c r="H273">
        <v>536.20000000000005</v>
      </c>
      <c r="N273">
        <v>0.56000000000000005</v>
      </c>
      <c r="Q273">
        <v>1</v>
      </c>
      <c r="S273">
        <v>1</v>
      </c>
      <c r="T273" s="13"/>
    </row>
    <row r="274" spans="1:20" hidden="1" x14ac:dyDescent="0.2">
      <c r="A274">
        <v>51833</v>
      </c>
      <c r="B274" t="s">
        <v>869</v>
      </c>
      <c r="I274">
        <v>205.3865999999999</v>
      </c>
      <c r="N274">
        <v>0</v>
      </c>
      <c r="T274" s="13"/>
    </row>
    <row r="275" spans="1:20" hidden="1" x14ac:dyDescent="0.2">
      <c r="A275">
        <v>51936</v>
      </c>
      <c r="B275" t="s">
        <v>870</v>
      </c>
      <c r="H275">
        <v>22532.360000000004</v>
      </c>
      <c r="N275">
        <v>0.56000000000000005</v>
      </c>
      <c r="Q275">
        <v>1</v>
      </c>
      <c r="S275">
        <v>1</v>
      </c>
      <c r="T275" s="13"/>
    </row>
    <row r="276" spans="1:20" hidden="1" x14ac:dyDescent="0.2">
      <c r="A276">
        <v>52845</v>
      </c>
      <c r="B276" t="s">
        <v>538</v>
      </c>
      <c r="F276">
        <v>8230</v>
      </c>
      <c r="H276">
        <v>34893</v>
      </c>
      <c r="N276">
        <v>0.56000000000000005</v>
      </c>
      <c r="Q276">
        <v>1</v>
      </c>
      <c r="S276">
        <v>1</v>
      </c>
      <c r="T276" s="13"/>
    </row>
    <row r="277" spans="1:20" hidden="1" x14ac:dyDescent="0.2">
      <c r="A277">
        <v>52853</v>
      </c>
      <c r="B277" t="s">
        <v>871</v>
      </c>
      <c r="C277" t="s">
        <v>872</v>
      </c>
      <c r="I277">
        <v>21884.041475720023</v>
      </c>
      <c r="M277" s="459"/>
      <c r="N277">
        <v>0.56000000000000005</v>
      </c>
      <c r="T277" s="13"/>
    </row>
    <row r="278" spans="1:20" hidden="1" x14ac:dyDescent="0.2">
      <c r="A278">
        <v>53199</v>
      </c>
      <c r="B278" t="s">
        <v>873</v>
      </c>
      <c r="H278">
        <v>6882.4699999999993</v>
      </c>
      <c r="N278">
        <v>0.56000000000000005</v>
      </c>
      <c r="Q278">
        <v>1</v>
      </c>
      <c r="S278">
        <v>1</v>
      </c>
      <c r="T278" s="13"/>
    </row>
    <row r="279" spans="1:20" hidden="1" x14ac:dyDescent="0.2">
      <c r="A279">
        <v>53228</v>
      </c>
      <c r="B279" t="s">
        <v>684</v>
      </c>
      <c r="C279" t="s">
        <v>874</v>
      </c>
      <c r="H279">
        <v>14889</v>
      </c>
      <c r="N279">
        <v>0.56000000000000005</v>
      </c>
      <c r="Q279">
        <v>1</v>
      </c>
      <c r="S279">
        <v>1</v>
      </c>
      <c r="T279" s="13"/>
    </row>
    <row r="280" spans="1:20" hidden="1" x14ac:dyDescent="0.2">
      <c r="A280">
        <v>53245</v>
      </c>
      <c r="B280" t="s">
        <v>875</v>
      </c>
      <c r="H280">
        <v>14108.86</v>
      </c>
      <c r="N280">
        <v>0.56000000000000005</v>
      </c>
      <c r="Q280">
        <v>1</v>
      </c>
      <c r="S280">
        <v>1</v>
      </c>
      <c r="T280" s="13"/>
    </row>
    <row r="281" spans="1:20" hidden="1" x14ac:dyDescent="0.2">
      <c r="A281">
        <v>53422</v>
      </c>
      <c r="B281" t="s">
        <v>876</v>
      </c>
      <c r="H281">
        <v>548</v>
      </c>
      <c r="N281">
        <v>0.56000000000000005</v>
      </c>
      <c r="Q281">
        <v>1</v>
      </c>
      <c r="S281">
        <v>1</v>
      </c>
      <c r="T281" s="13"/>
    </row>
    <row r="282" spans="1:20" hidden="1" x14ac:dyDescent="0.2">
      <c r="A282">
        <v>53471</v>
      </c>
      <c r="B282" t="s">
        <v>877</v>
      </c>
      <c r="C282" t="s">
        <v>878</v>
      </c>
      <c r="H282">
        <v>530.4</v>
      </c>
      <c r="N282">
        <v>0.56000000000000005</v>
      </c>
      <c r="Q282">
        <v>1</v>
      </c>
      <c r="S282">
        <v>1</v>
      </c>
      <c r="T282" s="13"/>
    </row>
    <row r="283" spans="1:20" hidden="1" x14ac:dyDescent="0.2">
      <c r="A283">
        <v>53558</v>
      </c>
      <c r="B283" t="s">
        <v>625</v>
      </c>
      <c r="H283">
        <v>19515.440000000002</v>
      </c>
      <c r="N283">
        <v>0.56000000000000005</v>
      </c>
      <c r="Q283">
        <v>1</v>
      </c>
      <c r="S283">
        <v>1</v>
      </c>
      <c r="T283" s="13"/>
    </row>
    <row r="284" spans="1:20" hidden="1" x14ac:dyDescent="0.2">
      <c r="A284">
        <v>53574</v>
      </c>
      <c r="B284" t="s">
        <v>879</v>
      </c>
      <c r="H284">
        <v>2197.83</v>
      </c>
      <c r="N284">
        <v>0.56000000000000005</v>
      </c>
      <c r="Q284">
        <v>1</v>
      </c>
      <c r="S284">
        <v>1</v>
      </c>
      <c r="T284" s="13"/>
    </row>
    <row r="285" spans="1:20" hidden="1" x14ac:dyDescent="0.2">
      <c r="A285">
        <v>53614</v>
      </c>
      <c r="B285" t="s">
        <v>880</v>
      </c>
      <c r="H285">
        <v>17244.329999999998</v>
      </c>
      <c r="N285">
        <v>0.56000000000000005</v>
      </c>
      <c r="Q285">
        <v>1</v>
      </c>
      <c r="S285">
        <v>1</v>
      </c>
      <c r="T285" s="13"/>
    </row>
    <row r="286" spans="1:20" hidden="1" x14ac:dyDescent="0.2">
      <c r="A286">
        <v>53683</v>
      </c>
      <c r="B286" t="s">
        <v>881</v>
      </c>
      <c r="C286" t="s">
        <v>882</v>
      </c>
      <c r="E286">
        <v>554</v>
      </c>
      <c r="F286">
        <v>455</v>
      </c>
      <c r="H286">
        <v>2184</v>
      </c>
      <c r="N286">
        <v>0.56000000000000005</v>
      </c>
      <c r="Q286">
        <v>1</v>
      </c>
      <c r="S286">
        <v>1</v>
      </c>
      <c r="T286" s="13"/>
    </row>
    <row r="287" spans="1:20" hidden="1" x14ac:dyDescent="0.2">
      <c r="A287">
        <v>53790</v>
      </c>
      <c r="B287" t="s">
        <v>883</v>
      </c>
      <c r="H287">
        <v>3451.82</v>
      </c>
      <c r="N287">
        <v>0.56000000000000005</v>
      </c>
      <c r="Q287">
        <v>1</v>
      </c>
      <c r="S287">
        <v>1</v>
      </c>
      <c r="T287" s="13"/>
    </row>
    <row r="288" spans="1:20" hidden="1" x14ac:dyDescent="0.2">
      <c r="A288">
        <v>53822</v>
      </c>
      <c r="B288" t="s">
        <v>884</v>
      </c>
      <c r="H288">
        <v>897.73</v>
      </c>
      <c r="N288">
        <v>0.56000000000000005</v>
      </c>
      <c r="Q288">
        <v>1</v>
      </c>
      <c r="S288">
        <v>1</v>
      </c>
      <c r="T288" s="13"/>
    </row>
    <row r="289" spans="1:20" hidden="1" x14ac:dyDescent="0.2">
      <c r="A289">
        <v>53833</v>
      </c>
      <c r="B289" t="s">
        <v>885</v>
      </c>
      <c r="C289" t="s">
        <v>886</v>
      </c>
      <c r="F289">
        <v>16</v>
      </c>
      <c r="H289">
        <v>24.58</v>
      </c>
      <c r="N289">
        <v>0.56000000000000005</v>
      </c>
      <c r="Q289">
        <v>1</v>
      </c>
      <c r="S289">
        <v>1</v>
      </c>
      <c r="T289" s="13"/>
    </row>
    <row r="290" spans="1:20" hidden="1" x14ac:dyDescent="0.2">
      <c r="A290">
        <v>53840</v>
      </c>
      <c r="B290" t="s">
        <v>887</v>
      </c>
      <c r="C290" t="s">
        <v>888</v>
      </c>
      <c r="H290">
        <v>12197.88</v>
      </c>
      <c r="M290" s="459"/>
      <c r="N290">
        <v>0.56000000000000005</v>
      </c>
      <c r="Q290">
        <v>1</v>
      </c>
      <c r="S290">
        <v>1</v>
      </c>
      <c r="T290" s="13"/>
    </row>
    <row r="291" spans="1:20" hidden="1" x14ac:dyDescent="0.2">
      <c r="A291">
        <v>53851</v>
      </c>
      <c r="B291" t="s">
        <v>889</v>
      </c>
      <c r="F291">
        <v>1853</v>
      </c>
      <c r="H291">
        <v>6596.68</v>
      </c>
      <c r="N291">
        <v>0.56000000000000005</v>
      </c>
      <c r="Q291">
        <v>1</v>
      </c>
      <c r="S291">
        <v>1</v>
      </c>
      <c r="T291" s="13"/>
    </row>
    <row r="292" spans="1:20" hidden="1" x14ac:dyDescent="0.2">
      <c r="A292">
        <v>53873</v>
      </c>
      <c r="B292" t="s">
        <v>890</v>
      </c>
      <c r="C292" t="s">
        <v>891</v>
      </c>
      <c r="H292">
        <v>150</v>
      </c>
      <c r="M292" s="459"/>
      <c r="N292">
        <v>0.56000000000000005</v>
      </c>
      <c r="Q292">
        <v>1</v>
      </c>
      <c r="S292">
        <v>1</v>
      </c>
      <c r="T292" s="13"/>
    </row>
    <row r="293" spans="1:20" hidden="1" x14ac:dyDescent="0.2">
      <c r="A293">
        <v>53876</v>
      </c>
      <c r="B293" t="s">
        <v>892</v>
      </c>
      <c r="C293" t="s">
        <v>893</v>
      </c>
      <c r="H293">
        <v>90</v>
      </c>
      <c r="M293" s="459"/>
      <c r="N293">
        <v>0.56000000000000005</v>
      </c>
      <c r="Q293">
        <v>1</v>
      </c>
      <c r="S293">
        <v>1</v>
      </c>
      <c r="T293" s="13"/>
    </row>
    <row r="294" spans="1:20" hidden="1" x14ac:dyDescent="0.2">
      <c r="A294">
        <v>53879</v>
      </c>
      <c r="B294" t="s">
        <v>894</v>
      </c>
      <c r="C294" t="s">
        <v>895</v>
      </c>
      <c r="H294">
        <v>1926</v>
      </c>
      <c r="N294">
        <v>0.56000000000000005</v>
      </c>
      <c r="Q294">
        <v>1</v>
      </c>
      <c r="S294">
        <v>1</v>
      </c>
      <c r="T294" s="13"/>
    </row>
    <row r="295" spans="1:20" hidden="1" x14ac:dyDescent="0.2">
      <c r="A295">
        <v>53887</v>
      </c>
      <c r="B295" t="s">
        <v>896</v>
      </c>
      <c r="H295">
        <v>2439.3000000000002</v>
      </c>
      <c r="N295">
        <v>0.56000000000000005</v>
      </c>
      <c r="Q295">
        <v>1</v>
      </c>
      <c r="S295">
        <v>1</v>
      </c>
      <c r="T295" s="13"/>
    </row>
    <row r="296" spans="1:20" hidden="1" x14ac:dyDescent="0.2">
      <c r="A296">
        <v>53899</v>
      </c>
      <c r="B296" t="s">
        <v>897</v>
      </c>
      <c r="C296" t="s">
        <v>898</v>
      </c>
      <c r="H296">
        <v>22.5</v>
      </c>
      <c r="M296" s="459"/>
      <c r="N296">
        <v>0.56000000000000005</v>
      </c>
      <c r="Q296">
        <v>1</v>
      </c>
      <c r="S296">
        <v>1</v>
      </c>
      <c r="T296" s="13"/>
    </row>
    <row r="297" spans="1:20" hidden="1" x14ac:dyDescent="0.2">
      <c r="A297">
        <v>53907</v>
      </c>
      <c r="B297" t="s">
        <v>899</v>
      </c>
      <c r="H297">
        <v>2972.5</v>
      </c>
      <c r="N297">
        <v>0.56000000000000005</v>
      </c>
      <c r="Q297">
        <v>1</v>
      </c>
      <c r="S297">
        <v>1</v>
      </c>
      <c r="T297" s="13"/>
    </row>
    <row r="298" spans="1:20" hidden="1" x14ac:dyDescent="0.2">
      <c r="A298">
        <v>53925</v>
      </c>
      <c r="B298" t="s">
        <v>900</v>
      </c>
      <c r="H298">
        <v>291.82</v>
      </c>
      <c r="N298">
        <v>0.56000000000000005</v>
      </c>
      <c r="Q298">
        <v>1</v>
      </c>
      <c r="S298">
        <v>1</v>
      </c>
      <c r="T298" s="13"/>
    </row>
    <row r="299" spans="1:20" hidden="1" x14ac:dyDescent="0.2">
      <c r="A299">
        <v>53943</v>
      </c>
      <c r="B299" t="s">
        <v>901</v>
      </c>
      <c r="C299" t="s">
        <v>902</v>
      </c>
      <c r="E299">
        <v>912</v>
      </c>
      <c r="F299">
        <v>912</v>
      </c>
      <c r="H299">
        <v>5380.8</v>
      </c>
      <c r="M299" s="459"/>
      <c r="N299">
        <v>0.56000000000000005</v>
      </c>
      <c r="Q299">
        <v>1</v>
      </c>
      <c r="S299">
        <v>1</v>
      </c>
      <c r="T299" s="13"/>
    </row>
    <row r="300" spans="1:20" hidden="1" x14ac:dyDescent="0.2">
      <c r="A300">
        <v>53945</v>
      </c>
      <c r="B300" t="s">
        <v>903</v>
      </c>
      <c r="H300">
        <v>967.07999999999993</v>
      </c>
      <c r="N300">
        <v>0.56000000000000005</v>
      </c>
      <c r="Q300">
        <v>1</v>
      </c>
      <c r="S300">
        <v>1</v>
      </c>
      <c r="T300" s="13"/>
    </row>
    <row r="301" spans="1:20" hidden="1" x14ac:dyDescent="0.2">
      <c r="A301">
        <v>53978</v>
      </c>
      <c r="B301" t="s">
        <v>904</v>
      </c>
      <c r="C301" t="s">
        <v>905</v>
      </c>
      <c r="H301">
        <v>3.61</v>
      </c>
      <c r="N301">
        <v>0.56000000000000005</v>
      </c>
      <c r="Q301">
        <v>1</v>
      </c>
      <c r="S301">
        <v>1</v>
      </c>
      <c r="T301" s="13"/>
    </row>
    <row r="302" spans="1:20" hidden="1" x14ac:dyDescent="0.2">
      <c r="A302">
        <v>54012</v>
      </c>
      <c r="B302" t="s">
        <v>906</v>
      </c>
      <c r="H302">
        <v>8668.73</v>
      </c>
      <c r="N302">
        <v>0.56000000000000005</v>
      </c>
      <c r="Q302">
        <v>1</v>
      </c>
      <c r="S302">
        <v>1</v>
      </c>
      <c r="T302" s="13"/>
    </row>
    <row r="303" spans="1:20" hidden="1" x14ac:dyDescent="0.2">
      <c r="A303">
        <v>54035</v>
      </c>
      <c r="B303" t="s">
        <v>907</v>
      </c>
      <c r="H303">
        <v>70</v>
      </c>
      <c r="N303">
        <v>0.56000000000000005</v>
      </c>
      <c r="Q303">
        <v>1</v>
      </c>
      <c r="S303">
        <v>1</v>
      </c>
      <c r="T303" s="13"/>
    </row>
    <row r="304" spans="1:20" hidden="1" x14ac:dyDescent="0.2">
      <c r="A304">
        <v>54045</v>
      </c>
      <c r="B304" t="s">
        <v>908</v>
      </c>
      <c r="H304">
        <v>34970.199999999997</v>
      </c>
      <c r="N304">
        <v>0.56000000000000005</v>
      </c>
      <c r="Q304">
        <v>1</v>
      </c>
      <c r="S304">
        <v>1</v>
      </c>
      <c r="T304" s="13"/>
    </row>
    <row r="305" spans="1:20" hidden="1" x14ac:dyDescent="0.2">
      <c r="A305">
        <v>54050</v>
      </c>
      <c r="B305" t="s">
        <v>909</v>
      </c>
      <c r="H305">
        <v>4013.1</v>
      </c>
      <c r="N305">
        <v>0.56000000000000005</v>
      </c>
      <c r="Q305">
        <v>1</v>
      </c>
      <c r="S305">
        <v>1</v>
      </c>
      <c r="T305" s="13"/>
    </row>
    <row r="306" spans="1:20" hidden="1" x14ac:dyDescent="0.2">
      <c r="A306">
        <v>54058</v>
      </c>
      <c r="B306" t="s">
        <v>910</v>
      </c>
      <c r="H306">
        <v>8890.4699999999993</v>
      </c>
      <c r="N306">
        <v>0.56000000000000005</v>
      </c>
      <c r="Q306">
        <v>1</v>
      </c>
      <c r="S306">
        <v>1</v>
      </c>
      <c r="T306" s="13"/>
    </row>
    <row r="307" spans="1:20" hidden="1" x14ac:dyDescent="0.2">
      <c r="A307">
        <v>54071</v>
      </c>
      <c r="B307" t="s">
        <v>911</v>
      </c>
      <c r="C307" t="s">
        <v>912</v>
      </c>
      <c r="H307">
        <v>261.82</v>
      </c>
      <c r="N307">
        <v>0.56000000000000005</v>
      </c>
      <c r="Q307">
        <v>1</v>
      </c>
      <c r="S307">
        <v>1</v>
      </c>
      <c r="T307" s="13"/>
    </row>
    <row r="308" spans="1:20" hidden="1" x14ac:dyDescent="0.2">
      <c r="A308">
        <v>54074</v>
      </c>
      <c r="B308" t="s">
        <v>913</v>
      </c>
      <c r="C308" t="s">
        <v>914</v>
      </c>
      <c r="H308">
        <v>7100.9799999999977</v>
      </c>
      <c r="N308">
        <v>0.56000000000000005</v>
      </c>
      <c r="Q308">
        <v>1</v>
      </c>
      <c r="S308">
        <v>1</v>
      </c>
      <c r="T308" s="13"/>
    </row>
    <row r="309" spans="1:20" hidden="1" x14ac:dyDescent="0.2">
      <c r="A309">
        <v>54078</v>
      </c>
      <c r="B309" t="s">
        <v>915</v>
      </c>
      <c r="C309" t="s">
        <v>916</v>
      </c>
      <c r="H309">
        <v>1002</v>
      </c>
      <c r="N309">
        <v>0.56000000000000005</v>
      </c>
      <c r="Q309">
        <v>1</v>
      </c>
      <c r="S309">
        <v>1</v>
      </c>
      <c r="T309" s="13"/>
    </row>
    <row r="310" spans="1:20" hidden="1" x14ac:dyDescent="0.2">
      <c r="A310">
        <v>54101</v>
      </c>
      <c r="B310" t="s">
        <v>917</v>
      </c>
      <c r="H310">
        <v>148.76999999999998</v>
      </c>
      <c r="N310">
        <v>0.56000000000000005</v>
      </c>
      <c r="Q310">
        <v>1</v>
      </c>
      <c r="S310">
        <v>1</v>
      </c>
      <c r="T310" s="13"/>
    </row>
    <row r="311" spans="1:20" hidden="1" x14ac:dyDescent="0.2">
      <c r="A311">
        <v>54108</v>
      </c>
      <c r="B311" t="s">
        <v>918</v>
      </c>
      <c r="H311">
        <v>180</v>
      </c>
      <c r="N311">
        <v>0.56000000000000005</v>
      </c>
      <c r="Q311">
        <v>1</v>
      </c>
      <c r="S311">
        <v>1</v>
      </c>
      <c r="T311" s="13"/>
    </row>
    <row r="312" spans="1:20" hidden="1" x14ac:dyDescent="0.2">
      <c r="A312">
        <v>54122</v>
      </c>
      <c r="B312" t="s">
        <v>919</v>
      </c>
      <c r="H312">
        <v>530.4</v>
      </c>
      <c r="N312">
        <v>0.56000000000000005</v>
      </c>
      <c r="Q312">
        <v>1</v>
      </c>
      <c r="S312">
        <v>1</v>
      </c>
      <c r="T312" s="13"/>
    </row>
    <row r="313" spans="1:20" hidden="1" x14ac:dyDescent="0.2">
      <c r="A313">
        <v>54127</v>
      </c>
      <c r="B313" t="s">
        <v>920</v>
      </c>
      <c r="H313">
        <v>21030.41</v>
      </c>
      <c r="I313">
        <v>15173.310112039373</v>
      </c>
      <c r="N313">
        <v>0</v>
      </c>
      <c r="Q313">
        <v>0.27850621495066558</v>
      </c>
      <c r="S313">
        <v>0.27850621495066558</v>
      </c>
      <c r="T313" s="13"/>
    </row>
    <row r="314" spans="1:20" hidden="1" x14ac:dyDescent="0.2">
      <c r="A314">
        <v>54158</v>
      </c>
      <c r="B314" t="s">
        <v>921</v>
      </c>
      <c r="H314">
        <v>512</v>
      </c>
      <c r="N314">
        <v>0.56000000000000005</v>
      </c>
      <c r="Q314">
        <v>1</v>
      </c>
      <c r="S314">
        <v>1</v>
      </c>
      <c r="T314" s="13"/>
    </row>
    <row r="315" spans="1:20" hidden="1" x14ac:dyDescent="0.2">
      <c r="A315">
        <v>54200</v>
      </c>
      <c r="B315" t="s">
        <v>922</v>
      </c>
      <c r="F315">
        <v>222</v>
      </c>
      <c r="H315">
        <v>803.64</v>
      </c>
      <c r="N315">
        <v>0.56000000000000005</v>
      </c>
      <c r="Q315">
        <v>1</v>
      </c>
      <c r="S315">
        <v>1</v>
      </c>
      <c r="T315" s="13"/>
    </row>
    <row r="316" spans="1:20" hidden="1" x14ac:dyDescent="0.2">
      <c r="A316">
        <v>54203</v>
      </c>
      <c r="B316" t="s">
        <v>923</v>
      </c>
      <c r="H316">
        <v>88989.000000000015</v>
      </c>
      <c r="N316">
        <v>0.56000000000000005</v>
      </c>
      <c r="Q316">
        <v>1</v>
      </c>
      <c r="S316">
        <v>1</v>
      </c>
      <c r="T316" s="13"/>
    </row>
    <row r="317" spans="1:20" hidden="1" x14ac:dyDescent="0.2">
      <c r="A317">
        <v>54213</v>
      </c>
      <c r="B317" t="s">
        <v>924</v>
      </c>
      <c r="H317">
        <v>133.6</v>
      </c>
      <c r="N317">
        <v>0.56000000000000005</v>
      </c>
      <c r="Q317">
        <v>1</v>
      </c>
      <c r="S317">
        <v>1</v>
      </c>
      <c r="T317" s="13"/>
    </row>
    <row r="318" spans="1:20" hidden="1" x14ac:dyDescent="0.2">
      <c r="A318">
        <v>54220</v>
      </c>
      <c r="B318" t="s">
        <v>925</v>
      </c>
      <c r="C318" t="s">
        <v>926</v>
      </c>
      <c r="H318">
        <v>722.18000000000006</v>
      </c>
      <c r="N318">
        <v>0.56000000000000005</v>
      </c>
      <c r="Q318">
        <v>1</v>
      </c>
      <c r="S318">
        <v>1</v>
      </c>
      <c r="T318" s="13"/>
    </row>
    <row r="319" spans="1:20" hidden="1" x14ac:dyDescent="0.2">
      <c r="A319">
        <v>54227</v>
      </c>
      <c r="B319" t="s">
        <v>927</v>
      </c>
      <c r="F319">
        <v>2</v>
      </c>
      <c r="H319">
        <v>33.090000000000003</v>
      </c>
      <c r="N319">
        <v>0.56000000000000005</v>
      </c>
      <c r="Q319">
        <v>1</v>
      </c>
      <c r="S319">
        <v>1</v>
      </c>
      <c r="T319" s="13"/>
    </row>
    <row r="320" spans="1:20" hidden="1" x14ac:dyDescent="0.2">
      <c r="A320">
        <v>54228</v>
      </c>
      <c r="B320" t="s">
        <v>928</v>
      </c>
      <c r="H320">
        <v>2221.08</v>
      </c>
      <c r="N320">
        <v>0.56000000000000005</v>
      </c>
      <c r="Q320">
        <v>1</v>
      </c>
      <c r="S320">
        <v>1</v>
      </c>
      <c r="T320" s="13"/>
    </row>
    <row r="321" spans="1:20" hidden="1" x14ac:dyDescent="0.2">
      <c r="A321">
        <v>54262</v>
      </c>
      <c r="B321" t="s">
        <v>929</v>
      </c>
      <c r="C321" t="s">
        <v>930</v>
      </c>
      <c r="E321">
        <v>3105</v>
      </c>
      <c r="M321" s="459"/>
      <c r="N321">
        <v>0.56000000000000005</v>
      </c>
      <c r="T321" s="13"/>
    </row>
    <row r="322" spans="1:20" hidden="1" x14ac:dyDescent="0.2">
      <c r="A322">
        <v>54276</v>
      </c>
      <c r="B322" t="s">
        <v>931</v>
      </c>
      <c r="H322">
        <v>958.31999999999994</v>
      </c>
      <c r="N322">
        <v>0.56000000000000005</v>
      </c>
      <c r="Q322">
        <v>1</v>
      </c>
      <c r="S322">
        <v>1</v>
      </c>
      <c r="T322" s="13"/>
    </row>
    <row r="323" spans="1:20" hidden="1" x14ac:dyDescent="0.2">
      <c r="A323">
        <v>54287</v>
      </c>
      <c r="B323" t="s">
        <v>932</v>
      </c>
      <c r="F323">
        <v>14</v>
      </c>
      <c r="H323">
        <v>189</v>
      </c>
      <c r="N323">
        <v>0.56000000000000005</v>
      </c>
      <c r="Q323">
        <v>1</v>
      </c>
      <c r="S323">
        <v>1</v>
      </c>
      <c r="T323" s="13"/>
    </row>
    <row r="324" spans="1:20" hidden="1" x14ac:dyDescent="0.2">
      <c r="A324">
        <v>54291</v>
      </c>
      <c r="B324" t="s">
        <v>933</v>
      </c>
      <c r="F324">
        <v>13</v>
      </c>
      <c r="H324">
        <v>159.25</v>
      </c>
      <c r="N324">
        <v>0.56000000000000005</v>
      </c>
      <c r="Q324">
        <v>1</v>
      </c>
      <c r="S324">
        <v>1</v>
      </c>
      <c r="T324" s="13"/>
    </row>
    <row r="325" spans="1:20" hidden="1" x14ac:dyDescent="0.2">
      <c r="A325">
        <v>54292</v>
      </c>
      <c r="B325" t="s">
        <v>934</v>
      </c>
      <c r="F325">
        <v>2</v>
      </c>
      <c r="H325">
        <v>153</v>
      </c>
      <c r="N325">
        <v>0.56000000000000005</v>
      </c>
      <c r="Q325">
        <v>1</v>
      </c>
      <c r="S325">
        <v>1</v>
      </c>
      <c r="T325" s="13"/>
    </row>
    <row r="326" spans="1:20" hidden="1" x14ac:dyDescent="0.2">
      <c r="A326">
        <v>54293</v>
      </c>
      <c r="B326" t="s">
        <v>935</v>
      </c>
      <c r="F326">
        <v>8</v>
      </c>
      <c r="H326">
        <v>90.91</v>
      </c>
      <c r="N326">
        <v>0.56000000000000005</v>
      </c>
      <c r="Q326">
        <v>1</v>
      </c>
      <c r="S326">
        <v>1</v>
      </c>
      <c r="T326" s="13"/>
    </row>
    <row r="327" spans="1:20" hidden="1" x14ac:dyDescent="0.2">
      <c r="A327">
        <v>54305</v>
      </c>
      <c r="B327" t="s">
        <v>936</v>
      </c>
      <c r="H327">
        <v>1950.4</v>
      </c>
      <c r="N327">
        <v>0.56000000000000005</v>
      </c>
      <c r="Q327">
        <v>1</v>
      </c>
      <c r="S327">
        <v>1</v>
      </c>
      <c r="T327" s="13"/>
    </row>
    <row r="328" spans="1:20" hidden="1" x14ac:dyDescent="0.2">
      <c r="A328">
        <v>54308</v>
      </c>
      <c r="B328" t="s">
        <v>937</v>
      </c>
      <c r="H328">
        <v>381.6</v>
      </c>
      <c r="N328">
        <v>0.56000000000000005</v>
      </c>
      <c r="Q328">
        <v>1</v>
      </c>
      <c r="S328">
        <v>1</v>
      </c>
      <c r="T328" s="13"/>
    </row>
    <row r="329" spans="1:20" hidden="1" x14ac:dyDescent="0.2">
      <c r="A329">
        <v>54309</v>
      </c>
      <c r="B329" t="s">
        <v>938</v>
      </c>
      <c r="C329" t="s">
        <v>939</v>
      </c>
      <c r="F329">
        <v>14</v>
      </c>
      <c r="H329">
        <v>6429.25</v>
      </c>
      <c r="N329">
        <v>0.56000000000000005</v>
      </c>
      <c r="Q329">
        <v>1</v>
      </c>
      <c r="S329">
        <v>1</v>
      </c>
      <c r="T329" s="13"/>
    </row>
    <row r="330" spans="1:20" hidden="1" x14ac:dyDescent="0.2">
      <c r="A330">
        <v>54317</v>
      </c>
      <c r="B330" t="s">
        <v>940</v>
      </c>
      <c r="F330">
        <v>2</v>
      </c>
      <c r="H330">
        <v>16.82</v>
      </c>
      <c r="N330">
        <v>0.56000000000000005</v>
      </c>
      <c r="Q330">
        <v>1</v>
      </c>
      <c r="S330">
        <v>1</v>
      </c>
      <c r="T330" s="13"/>
    </row>
    <row r="331" spans="1:20" hidden="1" x14ac:dyDescent="0.2">
      <c r="A331">
        <v>54318</v>
      </c>
      <c r="B331" t="s">
        <v>941</v>
      </c>
      <c r="F331">
        <v>1</v>
      </c>
      <c r="H331">
        <v>196.36</v>
      </c>
      <c r="N331">
        <v>0.56000000000000005</v>
      </c>
      <c r="Q331">
        <v>1</v>
      </c>
      <c r="S331">
        <v>1</v>
      </c>
      <c r="T331" s="13"/>
    </row>
    <row r="332" spans="1:20" hidden="1" x14ac:dyDescent="0.2">
      <c r="A332">
        <v>54327</v>
      </c>
      <c r="B332" t="s">
        <v>942</v>
      </c>
      <c r="H332">
        <v>2700</v>
      </c>
      <c r="N332">
        <v>0.56000000000000005</v>
      </c>
      <c r="Q332">
        <v>1</v>
      </c>
      <c r="S332">
        <v>1</v>
      </c>
      <c r="T332" s="13"/>
    </row>
    <row r="333" spans="1:20" hidden="1" x14ac:dyDescent="0.2">
      <c r="A333">
        <v>54330</v>
      </c>
      <c r="B333" t="s">
        <v>943</v>
      </c>
      <c r="H333">
        <v>287.5</v>
      </c>
      <c r="N333">
        <v>0.56000000000000005</v>
      </c>
      <c r="Q333">
        <v>1</v>
      </c>
      <c r="S333">
        <v>1</v>
      </c>
      <c r="T333" s="13"/>
    </row>
    <row r="334" spans="1:20" hidden="1" x14ac:dyDescent="0.2">
      <c r="A334">
        <v>54331</v>
      </c>
      <c r="B334" t="s">
        <v>944</v>
      </c>
      <c r="F334">
        <v>1</v>
      </c>
      <c r="H334">
        <v>269.08999999999997</v>
      </c>
      <c r="N334">
        <v>0.56000000000000005</v>
      </c>
      <c r="Q334">
        <v>1</v>
      </c>
      <c r="S334">
        <v>1</v>
      </c>
      <c r="T334" s="13"/>
    </row>
    <row r="335" spans="1:20" hidden="1" x14ac:dyDescent="0.2">
      <c r="A335">
        <v>54336</v>
      </c>
      <c r="B335" t="s">
        <v>945</v>
      </c>
      <c r="H335">
        <v>1400</v>
      </c>
      <c r="N335">
        <v>0.56000000000000005</v>
      </c>
      <c r="Q335">
        <v>1</v>
      </c>
      <c r="S335">
        <v>1</v>
      </c>
      <c r="T335" s="13"/>
    </row>
    <row r="336" spans="1:20" hidden="1" x14ac:dyDescent="0.2">
      <c r="A336">
        <v>54339</v>
      </c>
      <c r="B336" t="s">
        <v>946</v>
      </c>
      <c r="F336">
        <v>3</v>
      </c>
      <c r="H336">
        <v>128</v>
      </c>
      <c r="N336">
        <v>0.56000000000000005</v>
      </c>
      <c r="Q336">
        <v>1</v>
      </c>
      <c r="S336">
        <v>1</v>
      </c>
      <c r="T336" s="13"/>
    </row>
    <row r="337" spans="1:20" hidden="1" x14ac:dyDescent="0.2">
      <c r="A337">
        <v>54343</v>
      </c>
      <c r="B337" t="s">
        <v>947</v>
      </c>
      <c r="H337">
        <v>1347.11</v>
      </c>
      <c r="N337">
        <v>0.56000000000000005</v>
      </c>
      <c r="Q337">
        <v>1</v>
      </c>
      <c r="S337">
        <v>1</v>
      </c>
      <c r="T337" s="13"/>
    </row>
    <row r="338" spans="1:20" hidden="1" x14ac:dyDescent="0.2">
      <c r="A338">
        <v>54345</v>
      </c>
      <c r="B338" t="s">
        <v>948</v>
      </c>
      <c r="H338">
        <v>181.82</v>
      </c>
      <c r="N338">
        <v>0.56000000000000005</v>
      </c>
      <c r="Q338">
        <v>1</v>
      </c>
      <c r="S338">
        <v>1</v>
      </c>
      <c r="T338" s="13"/>
    </row>
    <row r="339" spans="1:20" hidden="1" x14ac:dyDescent="0.2">
      <c r="A339">
        <v>54350</v>
      </c>
      <c r="B339" t="s">
        <v>949</v>
      </c>
      <c r="H339">
        <v>672.73</v>
      </c>
      <c r="N339">
        <v>0.56000000000000005</v>
      </c>
      <c r="Q339">
        <v>1</v>
      </c>
      <c r="S339">
        <v>1</v>
      </c>
      <c r="T339" s="13"/>
    </row>
    <row r="340" spans="1:20" hidden="1" x14ac:dyDescent="0.2">
      <c r="A340">
        <v>54351</v>
      </c>
      <c r="B340" t="s">
        <v>950</v>
      </c>
      <c r="H340">
        <v>391.05</v>
      </c>
      <c r="N340">
        <v>0.56000000000000005</v>
      </c>
      <c r="Q340">
        <v>1</v>
      </c>
      <c r="S340">
        <v>1</v>
      </c>
      <c r="T340" s="13"/>
    </row>
    <row r="341" spans="1:20" hidden="1" x14ac:dyDescent="0.2">
      <c r="A341">
        <v>54361</v>
      </c>
      <c r="B341" t="s">
        <v>951</v>
      </c>
      <c r="H341">
        <v>295</v>
      </c>
      <c r="N341">
        <v>0.56000000000000005</v>
      </c>
      <c r="Q341">
        <v>1</v>
      </c>
      <c r="S341">
        <v>1</v>
      </c>
      <c r="T341" s="13"/>
    </row>
    <row r="342" spans="1:20" hidden="1" x14ac:dyDescent="0.2">
      <c r="A342">
        <v>54363</v>
      </c>
      <c r="B342" t="s">
        <v>952</v>
      </c>
      <c r="F342">
        <v>442</v>
      </c>
      <c r="H342">
        <v>1839.98</v>
      </c>
      <c r="N342">
        <v>0.56000000000000005</v>
      </c>
      <c r="Q342">
        <v>1</v>
      </c>
      <c r="S342">
        <v>1</v>
      </c>
      <c r="T342" s="13"/>
    </row>
    <row r="343" spans="1:20" hidden="1" x14ac:dyDescent="0.2">
      <c r="A343">
        <v>54365</v>
      </c>
      <c r="B343" t="s">
        <v>953</v>
      </c>
      <c r="C343" t="s">
        <v>954</v>
      </c>
      <c r="E343">
        <v>1650</v>
      </c>
      <c r="F343">
        <v>1650</v>
      </c>
      <c r="H343">
        <v>6881</v>
      </c>
      <c r="M343" s="459"/>
      <c r="N343">
        <v>0.56000000000000005</v>
      </c>
      <c r="Q343">
        <v>1</v>
      </c>
      <c r="S343">
        <v>1</v>
      </c>
      <c r="T343" s="13"/>
    </row>
    <row r="344" spans="1:20" hidden="1" x14ac:dyDescent="0.2">
      <c r="A344">
        <v>54366</v>
      </c>
      <c r="B344" t="s">
        <v>955</v>
      </c>
      <c r="C344" t="s">
        <v>956</v>
      </c>
      <c r="F344">
        <v>2047</v>
      </c>
      <c r="H344">
        <v>11927.27</v>
      </c>
      <c r="N344">
        <v>0.56000000000000005</v>
      </c>
      <c r="Q344">
        <v>1</v>
      </c>
      <c r="S344">
        <v>1</v>
      </c>
      <c r="T344" s="13"/>
    </row>
    <row r="345" spans="1:20" hidden="1" x14ac:dyDescent="0.2">
      <c r="A345">
        <v>54368</v>
      </c>
      <c r="B345" t="s">
        <v>957</v>
      </c>
      <c r="H345">
        <v>1160.9000000000001</v>
      </c>
      <c r="N345">
        <v>0.56000000000000005</v>
      </c>
      <c r="Q345">
        <v>1</v>
      </c>
      <c r="S345">
        <v>1</v>
      </c>
      <c r="T345" s="13"/>
    </row>
    <row r="346" spans="1:20" hidden="1" x14ac:dyDescent="0.2">
      <c r="A346">
        <v>54376</v>
      </c>
      <c r="B346" t="s">
        <v>958</v>
      </c>
      <c r="H346">
        <v>294</v>
      </c>
      <c r="N346">
        <v>0.56000000000000005</v>
      </c>
      <c r="Q346">
        <v>1</v>
      </c>
      <c r="S346">
        <v>1</v>
      </c>
      <c r="T346" s="13"/>
    </row>
    <row r="347" spans="1:20" hidden="1" x14ac:dyDescent="0.2">
      <c r="A347">
        <v>54379</v>
      </c>
      <c r="B347" t="s">
        <v>959</v>
      </c>
      <c r="H347">
        <v>475</v>
      </c>
      <c r="N347">
        <v>0.56000000000000005</v>
      </c>
      <c r="Q347">
        <v>1</v>
      </c>
      <c r="S347">
        <v>1</v>
      </c>
      <c r="T347" s="13"/>
    </row>
    <row r="348" spans="1:20" hidden="1" x14ac:dyDescent="0.2">
      <c r="A348">
        <v>54380</v>
      </c>
      <c r="B348" t="s">
        <v>960</v>
      </c>
      <c r="H348">
        <v>47.18</v>
      </c>
      <c r="N348">
        <v>0.56000000000000005</v>
      </c>
      <c r="Q348">
        <v>1</v>
      </c>
      <c r="S348">
        <v>1</v>
      </c>
      <c r="T348" s="13"/>
    </row>
    <row r="349" spans="1:20" hidden="1" x14ac:dyDescent="0.2">
      <c r="A349">
        <v>54381</v>
      </c>
      <c r="B349" t="s">
        <v>906</v>
      </c>
      <c r="H349">
        <v>48.69</v>
      </c>
      <c r="N349">
        <v>0.56000000000000005</v>
      </c>
      <c r="Q349">
        <v>1</v>
      </c>
      <c r="S349">
        <v>1</v>
      </c>
      <c r="T349" s="13"/>
    </row>
    <row r="350" spans="1:20" hidden="1" x14ac:dyDescent="0.2">
      <c r="A350">
        <v>54386</v>
      </c>
      <c r="B350" t="s">
        <v>624</v>
      </c>
      <c r="H350">
        <v>490</v>
      </c>
      <c r="N350">
        <v>0.56000000000000005</v>
      </c>
      <c r="Q350">
        <v>1</v>
      </c>
      <c r="S350">
        <v>1</v>
      </c>
      <c r="T350" s="13"/>
    </row>
    <row r="351" spans="1:20" hidden="1" x14ac:dyDescent="0.2">
      <c r="A351">
        <v>54390</v>
      </c>
      <c r="B351" t="s">
        <v>961</v>
      </c>
      <c r="H351">
        <v>590.91</v>
      </c>
      <c r="N351">
        <v>0.56000000000000005</v>
      </c>
      <c r="Q351">
        <v>1</v>
      </c>
      <c r="S351">
        <v>1</v>
      </c>
      <c r="T351" s="13"/>
    </row>
    <row r="352" spans="1:20" hidden="1" x14ac:dyDescent="0.2">
      <c r="A352">
        <v>54391</v>
      </c>
      <c r="B352" t="s">
        <v>510</v>
      </c>
      <c r="H352">
        <v>120</v>
      </c>
      <c r="N352">
        <v>0.56000000000000005</v>
      </c>
      <c r="Q352">
        <v>1</v>
      </c>
      <c r="S352">
        <v>1</v>
      </c>
      <c r="T352" s="13"/>
    </row>
    <row r="353" spans="1:20" hidden="1" x14ac:dyDescent="0.2">
      <c r="A353">
        <v>54394</v>
      </c>
      <c r="B353" t="s">
        <v>554</v>
      </c>
      <c r="H353">
        <v>300</v>
      </c>
      <c r="N353">
        <v>0.56000000000000005</v>
      </c>
      <c r="Q353">
        <v>1</v>
      </c>
      <c r="S353">
        <v>1</v>
      </c>
      <c r="T353" s="13"/>
    </row>
    <row r="354" spans="1:20" hidden="1" x14ac:dyDescent="0.2">
      <c r="A354">
        <v>54395</v>
      </c>
      <c r="B354" t="s">
        <v>908</v>
      </c>
      <c r="H354">
        <v>804</v>
      </c>
      <c r="N354">
        <v>0.56000000000000005</v>
      </c>
      <c r="Q354">
        <v>1</v>
      </c>
      <c r="S354">
        <v>1</v>
      </c>
      <c r="T354" s="13"/>
    </row>
    <row r="355" spans="1:20" hidden="1" x14ac:dyDescent="0.2">
      <c r="A355">
        <v>54397</v>
      </c>
      <c r="B355" t="s">
        <v>906</v>
      </c>
      <c r="H355">
        <v>580.45000000000005</v>
      </c>
      <c r="N355">
        <v>0.56000000000000005</v>
      </c>
      <c r="Q355">
        <v>1</v>
      </c>
      <c r="S355">
        <v>1</v>
      </c>
      <c r="T355" s="13"/>
    </row>
    <row r="356" spans="1:20" hidden="1" x14ac:dyDescent="0.2">
      <c r="A356">
        <v>54398</v>
      </c>
      <c r="B356" t="s">
        <v>400</v>
      </c>
      <c r="H356">
        <v>512</v>
      </c>
      <c r="N356">
        <v>0.56000000000000005</v>
      </c>
      <c r="Q356">
        <v>1</v>
      </c>
      <c r="S356">
        <v>1</v>
      </c>
      <c r="T356" s="13"/>
    </row>
    <row r="357" spans="1:20" hidden="1" x14ac:dyDescent="0.2">
      <c r="A357">
        <v>53941</v>
      </c>
      <c r="B357" t="s">
        <v>962</v>
      </c>
      <c r="C357" t="s">
        <v>963</v>
      </c>
      <c r="H357">
        <v>110803.46999999999</v>
      </c>
      <c r="I357">
        <v>56551.386077827105</v>
      </c>
      <c r="M357">
        <v>64199.664399332767</v>
      </c>
      <c r="N357">
        <v>0</v>
      </c>
      <c r="Q357">
        <v>-8.9776795592772379E-2</v>
      </c>
      <c r="S357">
        <v>-8.9776795592772379E-2</v>
      </c>
      <c r="T357" s="13"/>
    </row>
  </sheetData>
  <autoFilter ref="A1:Y357" xr:uid="{D04DE999-FC23-4B32-9AD8-9E55BD7BF93C}">
    <filterColumn colId="1">
      <filters>
        <filter val="CONSORCI COM.SERV.SOC.L'HORTA NORD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20FAE-E600-476C-872C-668FBC0FF104}">
  <sheetPr codeName="Hoja7">
    <tabColor theme="6" tint="0.39997558519241921"/>
  </sheetPr>
  <dimension ref="B2:L40"/>
  <sheetViews>
    <sheetView showGridLines="0" zoomScale="70" zoomScaleNormal="70" workbookViewId="0">
      <selection activeCell="H49" sqref="H49"/>
    </sheetView>
  </sheetViews>
  <sheetFormatPr baseColWidth="10" defaultColWidth="11.42578125" defaultRowHeight="15" x14ac:dyDescent="0.3"/>
  <cols>
    <col min="1" max="1" width="3.42578125" customWidth="1"/>
    <col min="2" max="2" width="24.5703125" customWidth="1"/>
    <col min="3" max="3" width="37.42578125" customWidth="1"/>
    <col min="4" max="4" width="15.5703125" style="595" customWidth="1"/>
    <col min="5" max="5" width="1.5703125" customWidth="1"/>
    <col min="6" max="6" width="15.42578125" style="626" customWidth="1"/>
    <col min="7" max="7" width="15.42578125" customWidth="1"/>
    <col min="8" max="8" width="24.5703125" customWidth="1"/>
    <col min="9" max="9" width="15.42578125" customWidth="1"/>
    <col min="10" max="10" width="3.42578125" customWidth="1"/>
    <col min="11" max="11" width="35.5703125" customWidth="1"/>
    <col min="12" max="12" width="16.5703125" style="100" customWidth="1"/>
  </cols>
  <sheetData>
    <row r="2" spans="2:12" x14ac:dyDescent="0.3">
      <c r="B2" s="589" t="s">
        <v>964</v>
      </c>
      <c r="C2" s="589"/>
      <c r="D2" s="593">
        <f>SUM(D3:D9)</f>
        <v>0</v>
      </c>
      <c r="F2" s="591" t="s">
        <v>965</v>
      </c>
      <c r="G2" s="591" t="s">
        <v>966</v>
      </c>
      <c r="H2" s="591" t="s">
        <v>967</v>
      </c>
      <c r="I2" s="591" t="s">
        <v>968</v>
      </c>
      <c r="K2" s="1078" t="s">
        <v>969</v>
      </c>
      <c r="L2" s="1078"/>
    </row>
    <row r="3" spans="2:12" x14ac:dyDescent="0.3">
      <c r="C3" s="590" t="s">
        <v>184</v>
      </c>
      <c r="D3" s="594">
        <f>+Materia_Prima!V85</f>
        <v>0</v>
      </c>
      <c r="G3" s="1"/>
      <c r="I3" s="1"/>
    </row>
    <row r="4" spans="2:12" x14ac:dyDescent="0.3">
      <c r="C4" s="590" t="s">
        <v>970</v>
      </c>
      <c r="D4" s="594">
        <f>+Mano_obra!O32</f>
        <v>0</v>
      </c>
      <c r="G4" s="1"/>
      <c r="H4" s="70"/>
      <c r="I4" s="1"/>
      <c r="K4" s="590" t="s">
        <v>971</v>
      </c>
      <c r="L4" s="594">
        <f ca="1">+Datos_Generales!S20</f>
        <v>0</v>
      </c>
    </row>
    <row r="5" spans="2:12" x14ac:dyDescent="0.3">
      <c r="C5" s="590" t="s">
        <v>972</v>
      </c>
      <c r="D5" s="594">
        <f>+Mano_obra!O64</f>
        <v>0</v>
      </c>
      <c r="G5" s="1"/>
      <c r="H5" s="70"/>
      <c r="I5" s="1"/>
      <c r="K5" s="590" t="s">
        <v>973</v>
      </c>
      <c r="L5" s="594">
        <f>+Datos_Generales!S21</f>
        <v>0</v>
      </c>
    </row>
    <row r="6" spans="2:12" x14ac:dyDescent="0.3">
      <c r="C6" s="590" t="s">
        <v>974</v>
      </c>
      <c r="D6" s="594">
        <f>+SUM(Complementos!AL107:ALX114)</f>
        <v>0</v>
      </c>
      <c r="G6" s="1"/>
      <c r="H6" s="146"/>
      <c r="I6" s="1"/>
      <c r="K6" s="590" t="s">
        <v>975</v>
      </c>
      <c r="L6" s="594">
        <f>+Datos_Generales!S18</f>
        <v>0</v>
      </c>
    </row>
    <row r="7" spans="2:12" x14ac:dyDescent="0.3">
      <c r="C7" s="590" t="s">
        <v>976</v>
      </c>
      <c r="D7" s="594">
        <f>SUM(Complementos!AL125:AL132)</f>
        <v>0</v>
      </c>
      <c r="G7" s="1"/>
      <c r="I7" s="1"/>
      <c r="K7" s="590" t="s">
        <v>360</v>
      </c>
      <c r="L7" s="594">
        <f>+Datos_Generales!S19</f>
        <v>0</v>
      </c>
    </row>
    <row r="8" spans="2:12" x14ac:dyDescent="0.3">
      <c r="C8" s="590" t="s">
        <v>977</v>
      </c>
      <c r="D8" s="594">
        <f>SUM(Complementos!AL116:AL123)</f>
        <v>0</v>
      </c>
    </row>
    <row r="9" spans="2:12" ht="5.25" customHeight="1" x14ac:dyDescent="0.3">
      <c r="K9" s="1"/>
    </row>
    <row r="10" spans="2:12" ht="18.75" x14ac:dyDescent="0.35">
      <c r="B10" s="589" t="s">
        <v>978</v>
      </c>
      <c r="C10" s="589"/>
      <c r="D10" s="593">
        <f>SUM(D11:D16)</f>
        <v>0</v>
      </c>
      <c r="F10" s="594">
        <f>+D2-D10</f>
        <v>0</v>
      </c>
      <c r="G10" s="588">
        <f>IFERROR(F10/D2,0)</f>
        <v>0</v>
      </c>
      <c r="H10" s="596" t="s">
        <v>273</v>
      </c>
      <c r="I10" s="729">
        <f>IFERROR(D10/$L$5,0)</f>
        <v>0</v>
      </c>
      <c r="K10" s="590" t="s">
        <v>979</v>
      </c>
      <c r="L10" s="592">
        <f ca="1">IFERROR(L11+L12,0)</f>
        <v>0</v>
      </c>
    </row>
    <row r="11" spans="2:12" x14ac:dyDescent="0.3">
      <c r="C11" s="590" t="s">
        <v>980</v>
      </c>
      <c r="D11" s="594">
        <f>+Materia_Prima!V84</f>
        <v>0</v>
      </c>
      <c r="F11" s="595"/>
      <c r="G11" s="146"/>
      <c r="I11" s="730"/>
      <c r="K11" s="590" t="s">
        <v>981</v>
      </c>
      <c r="L11" s="592">
        <f ca="1">IFERROR(D19/L5,0)</f>
        <v>0</v>
      </c>
    </row>
    <row r="12" spans="2:12" x14ac:dyDescent="0.3">
      <c r="C12" s="590" t="s">
        <v>982</v>
      </c>
      <c r="D12" s="594">
        <f>+SUM(Complementos!X107:X114)</f>
        <v>0</v>
      </c>
      <c r="F12" s="595"/>
      <c r="G12" s="146"/>
      <c r="I12" s="730"/>
      <c r="K12" s="590" t="s">
        <v>983</v>
      </c>
      <c r="L12" s="592">
        <f>IFERROR(D10/L5,0)</f>
        <v>0</v>
      </c>
    </row>
    <row r="13" spans="2:12" x14ac:dyDescent="0.3">
      <c r="C13" s="590" t="s">
        <v>29</v>
      </c>
      <c r="D13" s="608">
        <f>+Complementos!X42</f>
        <v>0</v>
      </c>
      <c r="F13" s="595">
        <f>+D3-D11</f>
        <v>0</v>
      </c>
      <c r="G13" s="146"/>
      <c r="I13" s="730"/>
    </row>
    <row r="14" spans="2:12" x14ac:dyDescent="0.3">
      <c r="C14" s="590" t="s">
        <v>286</v>
      </c>
      <c r="D14" s="594">
        <f>+Complementos!J32</f>
        <v>0</v>
      </c>
      <c r="F14" s="595"/>
      <c r="G14" s="146"/>
      <c r="I14" s="730"/>
      <c r="K14" s="599" t="s">
        <v>984</v>
      </c>
      <c r="L14" s="592">
        <f ca="1">+L10*1.1</f>
        <v>0</v>
      </c>
    </row>
    <row r="15" spans="2:12" x14ac:dyDescent="0.3">
      <c r="C15" s="590" t="s">
        <v>985</v>
      </c>
      <c r="D15" s="594"/>
      <c r="F15" s="595"/>
      <c r="G15" s="146"/>
      <c r="I15" s="730"/>
    </row>
    <row r="16" spans="2:12" ht="5.25" customHeight="1" x14ac:dyDescent="0.3">
      <c r="F16" s="595"/>
      <c r="G16" s="597"/>
      <c r="I16" s="13" t="e">
        <f>+D16/$D$2</f>
        <v>#DIV/0!</v>
      </c>
    </row>
    <row r="17" spans="2:9" ht="19.5" customHeight="1" x14ac:dyDescent="0.35">
      <c r="B17" s="589" t="s">
        <v>986</v>
      </c>
      <c r="C17" s="589"/>
      <c r="D17" s="593">
        <f ca="1">SUM(D18:D24)</f>
        <v>0</v>
      </c>
      <c r="F17" s="594">
        <f ca="1">+D2-D10-D17</f>
        <v>0</v>
      </c>
      <c r="G17" s="588">
        <f ca="1">IFERROR(F17/D2,0)</f>
        <v>0</v>
      </c>
      <c r="H17" s="596" t="s">
        <v>373</v>
      </c>
      <c r="I17" s="729">
        <f ca="1">IFERROR(D17/$L$5,0)</f>
        <v>0</v>
      </c>
    </row>
    <row r="18" spans="2:9" x14ac:dyDescent="0.3">
      <c r="C18" s="590" t="s">
        <v>146</v>
      </c>
      <c r="D18" s="594">
        <f ca="1">+(Mano_obra!F32+Mano_obra!I32)</f>
        <v>0</v>
      </c>
      <c r="F18" s="100"/>
      <c r="G18" s="598"/>
      <c r="I18" s="731"/>
    </row>
    <row r="19" spans="2:9" x14ac:dyDescent="0.3">
      <c r="C19" s="590" t="s">
        <v>163</v>
      </c>
      <c r="D19" s="594">
        <f ca="1">+(Mano_obra!F64+Mano_obra!I64)</f>
        <v>0</v>
      </c>
      <c r="I19" s="13"/>
    </row>
    <row r="20" spans="2:9" x14ac:dyDescent="0.3">
      <c r="C20" s="590" t="s">
        <v>987</v>
      </c>
      <c r="D20" s="608">
        <f>+Complementos!X63</f>
        <v>0</v>
      </c>
      <c r="F20" s="595"/>
      <c r="G20" s="598"/>
      <c r="I20" s="731"/>
    </row>
    <row r="21" spans="2:9" x14ac:dyDescent="0.3">
      <c r="C21" s="590" t="s">
        <v>988</v>
      </c>
      <c r="D21" s="594">
        <f>SUM(Complementos!X125:X132)</f>
        <v>0</v>
      </c>
      <c r="F21" s="595"/>
      <c r="G21" s="597"/>
      <c r="I21" s="13"/>
    </row>
    <row r="22" spans="2:9" x14ac:dyDescent="0.3">
      <c r="C22" s="590" t="s">
        <v>151</v>
      </c>
      <c r="D22" s="594">
        <f ca="1">+Mano_obra!G32+Mano_obra!G64</f>
        <v>0</v>
      </c>
      <c r="F22" s="595"/>
      <c r="G22" s="597"/>
      <c r="I22" s="13"/>
    </row>
    <row r="23" spans="2:9" x14ac:dyDescent="0.3">
      <c r="C23" s="599" t="s">
        <v>989</v>
      </c>
      <c r="D23" s="594">
        <f>+Mano_obra!L62</f>
        <v>0</v>
      </c>
      <c r="F23" s="595"/>
      <c r="G23" s="597"/>
      <c r="I23" s="13"/>
    </row>
    <row r="24" spans="2:9" x14ac:dyDescent="0.3">
      <c r="C24" s="706"/>
      <c r="D24" s="707"/>
      <c r="F24" s="595"/>
      <c r="G24" s="597"/>
      <c r="I24" s="13"/>
    </row>
    <row r="25" spans="2:9" ht="18.75" x14ac:dyDescent="0.35">
      <c r="B25" s="589" t="s">
        <v>990</v>
      </c>
      <c r="C25" s="589"/>
      <c r="D25" s="593">
        <f>+D26</f>
        <v>0</v>
      </c>
      <c r="F25" s="594">
        <f ca="1">+F17-D26</f>
        <v>0</v>
      </c>
      <c r="G25" s="588">
        <f ca="1">IFERROR(F25/$D$2,0)</f>
        <v>0</v>
      </c>
      <c r="H25" s="596"/>
      <c r="I25" s="729">
        <f>IFERROR(D25/$L$5,0)</f>
        <v>0</v>
      </c>
    </row>
    <row r="26" spans="2:9" ht="20.25" customHeight="1" x14ac:dyDescent="0.3">
      <c r="C26" s="590" t="s">
        <v>991</v>
      </c>
      <c r="D26" s="608">
        <f>+Complementos!X64</f>
        <v>0</v>
      </c>
      <c r="F26" s="601"/>
      <c r="G26" s="597"/>
      <c r="I26" s="13"/>
    </row>
    <row r="27" spans="2:9" ht="5.25" customHeight="1" x14ac:dyDescent="0.3">
      <c r="F27" s="601"/>
      <c r="G27" s="597"/>
      <c r="I27" s="13"/>
    </row>
    <row r="28" spans="2:9" ht="18.75" x14ac:dyDescent="0.35">
      <c r="B28" s="589" t="s">
        <v>992</v>
      </c>
      <c r="C28" s="589"/>
      <c r="D28" s="593">
        <f ca="1">SUM(D29:D34)</f>
        <v>0</v>
      </c>
      <c r="F28" s="594">
        <f ca="1">+F25-D28</f>
        <v>0</v>
      </c>
      <c r="G28" s="588">
        <f ca="1">IFERROR(F28/$D$2,0)</f>
        <v>0</v>
      </c>
      <c r="H28" s="596" t="s">
        <v>993</v>
      </c>
      <c r="I28" s="729">
        <f ca="1">IFERROR(D28/$L$5,0)</f>
        <v>0</v>
      </c>
    </row>
    <row r="29" spans="2:9" x14ac:dyDescent="0.3">
      <c r="C29" s="590" t="s">
        <v>994</v>
      </c>
      <c r="D29" s="608">
        <f>+Complementos!X40</f>
        <v>0</v>
      </c>
      <c r="F29" s="601"/>
      <c r="G29" s="597"/>
      <c r="I29" s="13"/>
    </row>
    <row r="30" spans="2:9" x14ac:dyDescent="0.3">
      <c r="C30" s="590" t="s">
        <v>995</v>
      </c>
      <c r="D30" s="608">
        <f>+Complementos!X48</f>
        <v>0</v>
      </c>
      <c r="I30" s="13"/>
    </row>
    <row r="31" spans="2:9" x14ac:dyDescent="0.3">
      <c r="C31" s="590" t="s">
        <v>996</v>
      </c>
      <c r="D31" s="608">
        <f>+Complementos!J101+Complementos!J38+Complementos!J39+Complementos!J41+Complementos!J43+Complementos!J44+Complementos!J46+Complementos!J47+Complementos!J49+Complementos!J50+Complementos!J51+Complementos!J52+Complementos!J53+Complementos!J54+Complementos!J55+Complementos!J56+Complementos!J57+Complementos!J58+Complementos!J59+Complementos!J60+Complementos!H116+Complementos!H117+Complementos!H118+Complementos!H119+Complementos!H120+Complementos!H121+Complementos!H122+Complementos!H123</f>
        <v>0</v>
      </c>
      <c r="I31" s="13"/>
    </row>
    <row r="32" spans="2:9" x14ac:dyDescent="0.3">
      <c r="C32" s="590" t="s">
        <v>997</v>
      </c>
      <c r="D32" s="608">
        <f>+Complementos!X45</f>
        <v>0</v>
      </c>
      <c r="I32" s="13"/>
    </row>
    <row r="33" spans="2:9" x14ac:dyDescent="0.3">
      <c r="C33" s="590" t="s">
        <v>998</v>
      </c>
      <c r="D33" s="594">
        <f ca="1">+Mano_obra!H64+Mano_obra!H32+Mano_obra!J31</f>
        <v>0</v>
      </c>
      <c r="F33" s="601"/>
      <c r="G33" s="597"/>
      <c r="I33" s="13"/>
    </row>
    <row r="34" spans="2:9" x14ac:dyDescent="0.3">
      <c r="C34" s="590"/>
      <c r="D34" s="594"/>
      <c r="F34" s="601"/>
      <c r="G34" s="597"/>
      <c r="I34" s="13"/>
    </row>
    <row r="35" spans="2:9" ht="5.25" customHeight="1" x14ac:dyDescent="0.3">
      <c r="F35" s="595"/>
      <c r="G35" s="597"/>
      <c r="I35" s="13"/>
    </row>
    <row r="36" spans="2:9" x14ac:dyDescent="0.3">
      <c r="B36" s="589" t="s">
        <v>365</v>
      </c>
      <c r="C36" s="589"/>
      <c r="D36" s="593">
        <f>+D37</f>
        <v>0</v>
      </c>
      <c r="F36" s="595"/>
      <c r="G36" s="597"/>
      <c r="I36" s="13"/>
    </row>
    <row r="37" spans="2:9" ht="18.75" x14ac:dyDescent="0.35">
      <c r="C37" s="590" t="s">
        <v>260</v>
      </c>
      <c r="D37" s="594">
        <f>+D2*0.07</f>
        <v>0</v>
      </c>
      <c r="F37" s="594">
        <f ca="1">+F28-D36</f>
        <v>0</v>
      </c>
      <c r="G37" s="588">
        <f ca="1">IFERROR(F37/D2,0)</f>
        <v>0</v>
      </c>
      <c r="H37" s="596" t="s">
        <v>999</v>
      </c>
      <c r="I37" s="729">
        <f>IFERROR(D37/$L$5,0)</f>
        <v>0</v>
      </c>
    </row>
    <row r="38" spans="2:9" x14ac:dyDescent="0.3">
      <c r="G38" s="597"/>
      <c r="I38" s="597"/>
    </row>
    <row r="39" spans="2:9" x14ac:dyDescent="0.3">
      <c r="F39" s="627"/>
      <c r="G39" s="70"/>
      <c r="I39" s="70"/>
    </row>
    <row r="40" spans="2:9" x14ac:dyDescent="0.3">
      <c r="F40" s="595"/>
    </row>
  </sheetData>
  <mergeCells count="1">
    <mergeCell ref="K2:L2"/>
  </mergeCells>
  <conditionalFormatting sqref="G37">
    <cfRule type="cellIs" dxfId="29" priority="46" operator="greaterThan">
      <formula>0.05</formula>
    </cfRule>
    <cfRule type="cellIs" dxfId="28" priority="47" operator="lessThan">
      <formula>0</formula>
    </cfRule>
    <cfRule type="cellIs" dxfId="27" priority="48" operator="between">
      <formula>0</formula>
      <formula>4.99</formula>
    </cfRule>
  </conditionalFormatting>
  <conditionalFormatting sqref="G28">
    <cfRule type="cellIs" dxfId="26" priority="43" operator="greaterThan">
      <formula>0.05</formula>
    </cfRule>
    <cfRule type="cellIs" dxfId="25" priority="44" operator="lessThan">
      <formula>0</formula>
    </cfRule>
    <cfRule type="cellIs" dxfId="24" priority="45" operator="between">
      <formula>0</formula>
      <formula>4.99</formula>
    </cfRule>
  </conditionalFormatting>
  <conditionalFormatting sqref="G25">
    <cfRule type="cellIs" dxfId="23" priority="37" operator="greaterThan">
      <formula>0.05</formula>
    </cfRule>
    <cfRule type="cellIs" dxfId="22" priority="38" operator="lessThan">
      <formula>0</formula>
    </cfRule>
    <cfRule type="cellIs" dxfId="21" priority="39" operator="between">
      <formula>0</formula>
      <formula>4.99</formula>
    </cfRule>
  </conditionalFormatting>
  <conditionalFormatting sqref="G17">
    <cfRule type="cellIs" dxfId="20" priority="34" operator="greaterThan">
      <formula>0.05</formula>
    </cfRule>
    <cfRule type="cellIs" dxfId="19" priority="35" operator="lessThan">
      <formula>0</formula>
    </cfRule>
    <cfRule type="cellIs" dxfId="18" priority="36" operator="between">
      <formula>0</formula>
      <formula>4.99</formula>
    </cfRule>
  </conditionalFormatting>
  <conditionalFormatting sqref="G10">
    <cfRule type="cellIs" dxfId="17" priority="31" operator="greaterThan">
      <formula>0.05</formula>
    </cfRule>
    <cfRule type="cellIs" dxfId="16" priority="32" operator="lessThan">
      <formula>0</formula>
    </cfRule>
    <cfRule type="cellIs" dxfId="15" priority="33" operator="between">
      <formula>0</formula>
      <formula>4.99</formula>
    </cfRule>
  </conditionalFormatting>
  <conditionalFormatting sqref="I10">
    <cfRule type="cellIs" dxfId="14" priority="16" operator="greaterThan">
      <formula>0.05</formula>
    </cfRule>
    <cfRule type="cellIs" dxfId="13" priority="17" operator="lessThan">
      <formula>0</formula>
    </cfRule>
    <cfRule type="cellIs" dxfId="12" priority="18" operator="between">
      <formula>0</formula>
      <formula>4.99</formula>
    </cfRule>
  </conditionalFormatting>
  <conditionalFormatting sqref="I17">
    <cfRule type="cellIs" dxfId="11" priority="13" operator="greaterThan">
      <formula>0.05</formula>
    </cfRule>
    <cfRule type="cellIs" dxfId="10" priority="14" operator="lessThan">
      <formula>0</formula>
    </cfRule>
    <cfRule type="cellIs" dxfId="9" priority="15" operator="between">
      <formula>0</formula>
      <formula>4.99</formula>
    </cfRule>
  </conditionalFormatting>
  <conditionalFormatting sqref="I25">
    <cfRule type="cellIs" dxfId="8" priority="10" operator="greaterThan">
      <formula>0.05</formula>
    </cfRule>
    <cfRule type="cellIs" dxfId="7" priority="11" operator="lessThan">
      <formula>0</formula>
    </cfRule>
    <cfRule type="cellIs" dxfId="6" priority="12" operator="between">
      <formula>0</formula>
      <formula>4.99</formula>
    </cfRule>
  </conditionalFormatting>
  <conditionalFormatting sqref="I28">
    <cfRule type="cellIs" dxfId="5" priority="7" operator="greaterThan">
      <formula>0.05</formula>
    </cfRule>
    <cfRule type="cellIs" dxfId="4" priority="8" operator="lessThan">
      <formula>0</formula>
    </cfRule>
    <cfRule type="cellIs" dxfId="3" priority="9" operator="between">
      <formula>0</formula>
      <formula>4.99</formula>
    </cfRule>
  </conditionalFormatting>
  <conditionalFormatting sqref="I37">
    <cfRule type="cellIs" dxfId="2" priority="1" operator="greaterThan">
      <formula>0.05</formula>
    </cfRule>
    <cfRule type="cellIs" dxfId="1" priority="2" operator="lessThan">
      <formula>0</formula>
    </cfRule>
    <cfRule type="cellIs" dxfId="0" priority="3" operator="between">
      <formula>0</formula>
      <formula>4.99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819E-7EA9-4545-A552-1FD197FB07C2}">
  <sheetPr codeName="Hoja24">
    <tabColor theme="6" tint="0.39997558519241921"/>
  </sheetPr>
  <dimension ref="B3:Q35"/>
  <sheetViews>
    <sheetView showGridLines="0" zoomScale="85" zoomScaleNormal="85" zoomScaleSheetLayoutView="100" workbookViewId="0">
      <selection activeCell="L17" sqref="L17"/>
    </sheetView>
  </sheetViews>
  <sheetFormatPr baseColWidth="10" defaultColWidth="11.42578125" defaultRowHeight="12.75" x14ac:dyDescent="0.2"/>
  <cols>
    <col min="1" max="1" width="4.5703125" customWidth="1"/>
    <col min="2" max="2" width="31.5703125" customWidth="1"/>
    <col min="5" max="5" width="11.5703125" customWidth="1"/>
    <col min="6" max="6" width="4.5703125" customWidth="1"/>
    <col min="7" max="7" width="3.42578125" customWidth="1"/>
    <col min="8" max="8" width="4" customWidth="1"/>
    <col min="9" max="9" width="22.42578125" customWidth="1"/>
    <col min="12" max="12" width="14.42578125" bestFit="1" customWidth="1"/>
    <col min="13" max="13" width="18.42578125" customWidth="1"/>
    <col min="14" max="14" width="18.5703125" customWidth="1"/>
    <col min="15" max="15" width="4.5703125" customWidth="1"/>
  </cols>
  <sheetData>
    <row r="3" spans="2:16" ht="18" x14ac:dyDescent="0.25">
      <c r="B3" s="51" t="s">
        <v>1000</v>
      </c>
      <c r="H3" s="85"/>
      <c r="I3" s="86" t="s">
        <v>1001</v>
      </c>
      <c r="J3" s="82"/>
      <c r="K3" s="82"/>
      <c r="L3" s="82"/>
      <c r="M3" s="82"/>
      <c r="N3" s="82"/>
      <c r="O3" s="73"/>
    </row>
    <row r="4" spans="2:16" x14ac:dyDescent="0.2">
      <c r="B4" s="1"/>
      <c r="H4" s="83"/>
      <c r="O4" s="69"/>
    </row>
    <row r="5" spans="2:16" x14ac:dyDescent="0.2">
      <c r="B5" s="1"/>
      <c r="H5" s="83"/>
      <c r="O5" s="69"/>
    </row>
    <row r="6" spans="2:16" x14ac:dyDescent="0.2">
      <c r="B6" s="54" t="s">
        <v>1002</v>
      </c>
      <c r="C6" s="1079">
        <f>+Datos_Generales!E8</f>
        <v>0</v>
      </c>
      <c r="D6" s="1079"/>
      <c r="E6" s="1080"/>
      <c r="H6" s="83"/>
      <c r="I6" s="1" t="s">
        <v>1003</v>
      </c>
      <c r="J6" s="1" t="s">
        <v>1004</v>
      </c>
      <c r="O6" s="69"/>
    </row>
    <row r="7" spans="2:16" x14ac:dyDescent="0.2">
      <c r="B7" s="57" t="s">
        <v>1005</v>
      </c>
      <c r="C7">
        <f>+Datos_Generales!S21</f>
        <v>0</v>
      </c>
      <c r="E7" s="69"/>
      <c r="H7" s="83"/>
      <c r="I7" s="1" t="s">
        <v>1006</v>
      </c>
      <c r="J7">
        <f>+C6</f>
        <v>0</v>
      </c>
      <c r="O7" s="69"/>
    </row>
    <row r="8" spans="2:16" x14ac:dyDescent="0.2">
      <c r="B8" s="57" t="s">
        <v>181</v>
      </c>
      <c r="C8" s="70">
        <f>+Datos_Generales!S18</f>
        <v>0</v>
      </c>
      <c r="E8" s="69"/>
      <c r="H8" s="83"/>
      <c r="O8" s="69"/>
    </row>
    <row r="9" spans="2:16" x14ac:dyDescent="0.2">
      <c r="B9" s="61" t="s">
        <v>1007</v>
      </c>
      <c r="C9" s="53">
        <f>+Datos_Generales!K13</f>
        <v>0</v>
      </c>
      <c r="D9" s="53"/>
      <c r="E9" s="71"/>
      <c r="H9" s="83"/>
      <c r="I9" s="1" t="s">
        <v>1008</v>
      </c>
      <c r="J9" s="52">
        <v>4.3499999999999996</v>
      </c>
      <c r="O9" s="69"/>
    </row>
    <row r="10" spans="2:16" x14ac:dyDescent="0.2">
      <c r="B10" s="50"/>
      <c r="H10" s="83"/>
      <c r="I10" s="1" t="s">
        <v>1009</v>
      </c>
      <c r="J10" s="97">
        <f>IF(J14&lt;100,1.8,IF(J14&lt;250,1.7,1.5))</f>
        <v>1.8</v>
      </c>
      <c r="O10" s="69"/>
    </row>
    <row r="11" spans="2:16" ht="15.75" x14ac:dyDescent="0.25">
      <c r="B11" s="54"/>
      <c r="C11" s="55" t="s">
        <v>1010</v>
      </c>
      <c r="D11" s="55" t="s">
        <v>1011</v>
      </c>
      <c r="E11" s="56" t="s">
        <v>1012</v>
      </c>
      <c r="H11" s="83"/>
      <c r="I11" s="1" t="s">
        <v>1013</v>
      </c>
      <c r="J11" s="98">
        <f>+J9+J10</f>
        <v>6.1499999999999995</v>
      </c>
      <c r="O11" s="69"/>
    </row>
    <row r="12" spans="2:16" ht="6.6" customHeight="1" x14ac:dyDescent="0.2">
      <c r="B12" s="57"/>
      <c r="C12" s="58"/>
      <c r="D12" s="58"/>
      <c r="E12" s="59"/>
      <c r="H12" s="83"/>
      <c r="O12" s="69"/>
    </row>
    <row r="13" spans="2:16" x14ac:dyDescent="0.2">
      <c r="B13" s="57" t="s">
        <v>1014</v>
      </c>
      <c r="C13" s="52"/>
      <c r="D13" s="52"/>
      <c r="E13" s="60"/>
      <c r="H13" s="83"/>
      <c r="O13" s="69"/>
    </row>
    <row r="14" spans="2:16" x14ac:dyDescent="0.2">
      <c r="B14" s="61" t="s">
        <v>1015</v>
      </c>
      <c r="C14" s="62"/>
      <c r="D14" s="62"/>
      <c r="E14" s="63"/>
      <c r="H14" s="83"/>
      <c r="I14" s="1" t="s">
        <v>1016</v>
      </c>
      <c r="J14" s="70">
        <f>IFERROR(Datos_Generales!S21/Datos_Generales!K13,0)</f>
        <v>0</v>
      </c>
      <c r="M14" s="99" t="s">
        <v>143</v>
      </c>
      <c r="N14" s="99" t="s">
        <v>142</v>
      </c>
      <c r="O14" s="69"/>
    </row>
    <row r="15" spans="2:16" x14ac:dyDescent="0.2">
      <c r="B15" s="50"/>
      <c r="C15" s="52"/>
      <c r="D15" s="52"/>
      <c r="E15" s="52"/>
      <c r="H15" s="83"/>
      <c r="I15" s="1" t="s">
        <v>1017</v>
      </c>
      <c r="J15">
        <f>+Datos_Generales!K13</f>
        <v>0</v>
      </c>
      <c r="M15" s="100"/>
      <c r="O15" s="69"/>
    </row>
    <row r="16" spans="2:16" ht="15.75" x14ac:dyDescent="0.25">
      <c r="B16" s="54" t="s">
        <v>1018</v>
      </c>
      <c r="C16" s="64">
        <f>+Presupuesto_final!D27+Presupuesto_final!D28+Presupuesto_final!D30</f>
        <v>0</v>
      </c>
      <c r="D16" s="64"/>
      <c r="E16" s="65"/>
      <c r="H16" s="83"/>
      <c r="I16" s="2" t="s">
        <v>1019</v>
      </c>
      <c r="J16" s="101">
        <f>+J14*J15</f>
        <v>0</v>
      </c>
      <c r="M16" s="102">
        <f>+J11*J16</f>
        <v>0</v>
      </c>
      <c r="O16" s="69"/>
      <c r="P16" s="1"/>
    </row>
    <row r="17" spans="2:17" ht="15.75" x14ac:dyDescent="0.25">
      <c r="B17" s="61" t="s">
        <v>1020</v>
      </c>
      <c r="C17" s="62">
        <f>+Presupuesto_final!D15</f>
        <v>0</v>
      </c>
      <c r="D17" s="62"/>
      <c r="E17" s="63"/>
      <c r="H17" s="83"/>
      <c r="I17" s="1" t="s">
        <v>1021</v>
      </c>
      <c r="J17" s="70">
        <f>+Datos_Generales!R18</f>
        <v>0</v>
      </c>
      <c r="M17" s="103"/>
      <c r="N17" s="103">
        <f>((J17*J18*J15)*1.1)*-1</f>
        <v>0</v>
      </c>
      <c r="O17" s="69"/>
      <c r="P17" s="1"/>
    </row>
    <row r="18" spans="2:17" ht="15.75" x14ac:dyDescent="0.25">
      <c r="H18" s="83"/>
      <c r="I18" s="1" t="s">
        <v>2346</v>
      </c>
      <c r="J18" s="13">
        <f>+Datos_Generales!J21</f>
        <v>0</v>
      </c>
      <c r="M18" s="102"/>
      <c r="N18" s="103">
        <f>+(J18*J16)*1.1</f>
        <v>0</v>
      </c>
      <c r="O18" s="69"/>
      <c r="P18" s="882"/>
    </row>
    <row r="19" spans="2:17" ht="15.75" x14ac:dyDescent="0.25">
      <c r="B19" s="54" t="s">
        <v>1022</v>
      </c>
      <c r="C19" s="64">
        <f ca="1">+Presupuesto_final!H27</f>
        <v>0</v>
      </c>
      <c r="D19" s="64"/>
      <c r="E19" s="65"/>
      <c r="H19" s="83"/>
      <c r="I19" s="1" t="s">
        <v>1023</v>
      </c>
      <c r="J19" s="13">
        <f>+Mano_obra!L64</f>
        <v>0</v>
      </c>
      <c r="M19" s="102"/>
      <c r="N19" s="103">
        <f>IF(Datos_Generales!K8="SI",Resumen!P21*1.1,0)</f>
        <v>0</v>
      </c>
      <c r="O19" s="69"/>
      <c r="P19" s="458"/>
      <c r="Q19" s="1"/>
    </row>
    <row r="20" spans="2:17" ht="15.75" x14ac:dyDescent="0.25">
      <c r="B20" s="61" t="s">
        <v>1024</v>
      </c>
      <c r="C20" s="62">
        <f>+Presupuesto_final!H15</f>
        <v>0</v>
      </c>
      <c r="D20" s="62"/>
      <c r="E20" s="63"/>
      <c r="H20" s="83"/>
      <c r="I20" s="1" t="s">
        <v>1025</v>
      </c>
      <c r="J20" s="13">
        <f>+Resumen!P25</f>
        <v>0</v>
      </c>
      <c r="M20" s="102"/>
      <c r="N20" s="103">
        <f>+(Resumen!P25)*1.1</f>
        <v>0</v>
      </c>
      <c r="O20" s="69"/>
    </row>
    <row r="21" spans="2:17" ht="15.75" x14ac:dyDescent="0.25">
      <c r="B21" s="50"/>
      <c r="C21" s="52"/>
      <c r="D21" s="52"/>
      <c r="E21" s="52"/>
      <c r="H21" s="83"/>
      <c r="I21" s="50" t="s">
        <v>1026</v>
      </c>
      <c r="J21" s="50"/>
      <c r="K21" s="50"/>
      <c r="L21" s="50"/>
      <c r="M21" s="50"/>
      <c r="N21" s="103">
        <f>SUM(N17:N20)</f>
        <v>0</v>
      </c>
      <c r="O21" s="69"/>
    </row>
    <row r="22" spans="2:17" x14ac:dyDescent="0.2">
      <c r="B22" s="54" t="s">
        <v>1027</v>
      </c>
      <c r="C22" s="64">
        <f ca="1">+Presupuesto_final!D31</f>
        <v>0</v>
      </c>
      <c r="D22" s="64"/>
      <c r="E22" s="65"/>
      <c r="H22" s="83"/>
      <c r="I22" s="104"/>
      <c r="J22" s="104"/>
      <c r="K22" s="104"/>
      <c r="L22" s="104"/>
      <c r="M22" s="104"/>
      <c r="N22" s="104"/>
      <c r="O22" s="69"/>
    </row>
    <row r="23" spans="2:17" x14ac:dyDescent="0.2">
      <c r="B23" s="61" t="s">
        <v>1028</v>
      </c>
      <c r="C23" s="62">
        <f>+Presupuesto_final!D16</f>
        <v>0</v>
      </c>
      <c r="D23" s="62"/>
      <c r="E23" s="63"/>
      <c r="H23" s="83"/>
      <c r="J23" s="105" t="s">
        <v>1029</v>
      </c>
      <c r="K23" s="105" t="s">
        <v>1030</v>
      </c>
      <c r="L23" s="105" t="s">
        <v>1031</v>
      </c>
      <c r="M23" s="105" t="s">
        <v>1032</v>
      </c>
      <c r="O23" s="69"/>
    </row>
    <row r="24" spans="2:17" ht="15.75" x14ac:dyDescent="0.25">
      <c r="B24" s="50"/>
      <c r="C24" s="52"/>
      <c r="D24" s="52"/>
      <c r="E24" s="52"/>
      <c r="H24" s="83"/>
      <c r="I24" s="1" t="s">
        <v>1033</v>
      </c>
      <c r="J24" s="106">
        <f>+Mano_obra!A31</f>
        <v>0</v>
      </c>
      <c r="K24" s="100">
        <f>+Mano_obra!E31</f>
        <v>0</v>
      </c>
      <c r="L24" s="304">
        <f>IFERROR(M24/J24/8,0)</f>
        <v>0</v>
      </c>
      <c r="M24" s="305">
        <f>+Mano_obra!O32</f>
        <v>0</v>
      </c>
      <c r="N24" s="103">
        <f>+Presupuesto_final!H15</f>
        <v>0</v>
      </c>
      <c r="O24" s="69"/>
    </row>
    <row r="25" spans="2:17" x14ac:dyDescent="0.2">
      <c r="B25" s="66" t="s">
        <v>1034</v>
      </c>
      <c r="C25" s="67">
        <f>+Presupuesto_final!H28</f>
        <v>0</v>
      </c>
      <c r="D25" s="67"/>
      <c r="E25" s="68"/>
      <c r="H25" s="83"/>
      <c r="O25" s="69"/>
    </row>
    <row r="26" spans="2:17" x14ac:dyDescent="0.2">
      <c r="B26" s="50"/>
      <c r="C26" s="52"/>
      <c r="D26" s="52"/>
      <c r="E26" s="52"/>
      <c r="H26" s="83"/>
      <c r="I26" s="104"/>
      <c r="J26" s="104"/>
      <c r="K26" s="104"/>
      <c r="L26" s="104"/>
      <c r="M26" s="104"/>
      <c r="N26" s="104"/>
      <c r="O26" s="69"/>
    </row>
    <row r="27" spans="2:17" x14ac:dyDescent="0.2">
      <c r="B27" s="54" t="s">
        <v>1035</v>
      </c>
      <c r="C27" s="64">
        <f ca="1">+Presupuesto_final!J25</f>
        <v>0</v>
      </c>
      <c r="D27" s="64"/>
      <c r="E27" s="65"/>
      <c r="H27" s="83"/>
      <c r="J27" s="105" t="s">
        <v>1036</v>
      </c>
      <c r="K27" s="105" t="s">
        <v>180</v>
      </c>
      <c r="L27" s="105" t="s">
        <v>1037</v>
      </c>
      <c r="M27" s="105"/>
      <c r="N27" s="105"/>
      <c r="O27" s="69"/>
    </row>
    <row r="28" spans="2:17" ht="15.75" x14ac:dyDescent="0.25">
      <c r="B28" s="61" t="s">
        <v>1038</v>
      </c>
      <c r="C28" s="72">
        <f>+Presupuesto_final!J13</f>
        <v>0</v>
      </c>
      <c r="D28" s="62"/>
      <c r="E28" s="63"/>
      <c r="H28" s="83"/>
      <c r="I28" s="1" t="s">
        <v>1039</v>
      </c>
      <c r="J28" s="109">
        <v>3</v>
      </c>
      <c r="K28">
        <f>+Datos_Generales!K13</f>
        <v>0</v>
      </c>
      <c r="L28" s="100">
        <v>23</v>
      </c>
      <c r="N28" s="103">
        <f>+J28*L28*K28</f>
        <v>0</v>
      </c>
      <c r="O28" s="69"/>
    </row>
    <row r="29" spans="2:17" x14ac:dyDescent="0.2">
      <c r="C29" s="13"/>
      <c r="H29" s="83"/>
      <c r="O29" s="69"/>
    </row>
    <row r="30" spans="2:17" ht="18" x14ac:dyDescent="0.25">
      <c r="C30" s="13"/>
      <c r="H30" s="83"/>
      <c r="L30" s="107"/>
      <c r="M30" s="107" t="s">
        <v>1040</v>
      </c>
      <c r="N30" s="108">
        <f>+M16-N21-N24-N28</f>
        <v>0</v>
      </c>
      <c r="O30" s="69"/>
    </row>
    <row r="31" spans="2:17" x14ac:dyDescent="0.2">
      <c r="B31" s="74" t="s">
        <v>1041</v>
      </c>
      <c r="C31" s="75">
        <f ca="1">+Presupuesto_final!D38</f>
        <v>0</v>
      </c>
      <c r="D31" s="76" t="str">
        <f ca="1">+Presupuesto_final!F38</f>
        <v/>
      </c>
      <c r="E31" s="77"/>
      <c r="H31" s="83"/>
      <c r="O31" s="69"/>
    </row>
    <row r="32" spans="2:17" x14ac:dyDescent="0.2">
      <c r="B32" s="78" t="s">
        <v>186</v>
      </c>
      <c r="C32" s="79">
        <f ca="1">+Presupuesto_final!D44</f>
        <v>0</v>
      </c>
      <c r="D32" s="80" t="str">
        <f ca="1">+Presupuesto_final!G44</f>
        <v/>
      </c>
      <c r="E32" s="81"/>
      <c r="H32" s="83"/>
      <c r="O32" s="69"/>
    </row>
    <row r="33" spans="3:15" x14ac:dyDescent="0.2">
      <c r="H33" s="83"/>
      <c r="O33" s="69"/>
    </row>
    <row r="34" spans="3:15" x14ac:dyDescent="0.2">
      <c r="H34" s="83"/>
      <c r="O34" s="69"/>
    </row>
    <row r="35" spans="3:15" x14ac:dyDescent="0.2">
      <c r="C35" s="13"/>
      <c r="H35" s="84"/>
      <c r="I35" s="53"/>
      <c r="J35" s="53"/>
      <c r="K35" s="53"/>
      <c r="L35" s="53"/>
      <c r="M35" s="53"/>
      <c r="N35" s="53"/>
      <c r="O35" s="71"/>
    </row>
  </sheetData>
  <mergeCells count="1">
    <mergeCell ref="C6:E6"/>
  </mergeCells>
  <dataValidations count="1">
    <dataValidation type="list" allowBlank="1" showInputMessage="1" showErrorMessage="1" sqref="P19" xr:uid="{B51ACC90-19F0-4235-AD5A-6104C118CF49}">
      <formula1>"SI,NO"</formula1>
    </dataValidation>
  </dataValidations>
  <pageMargins left="0.25" right="0.25" top="0.75" bottom="0.75" header="0.3" footer="0.3"/>
  <pageSetup paperSize="9" scale="7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71754-DAA0-422B-B402-1A42C0F1AB86}">
  <sheetPr codeName="Hoja1">
    <tabColor theme="9" tint="-0.249977111117893"/>
  </sheetPr>
  <dimension ref="A1:AE34"/>
  <sheetViews>
    <sheetView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V33" sqref="V33"/>
    </sheetView>
  </sheetViews>
  <sheetFormatPr baseColWidth="10" defaultColWidth="11.42578125" defaultRowHeight="12.75" outlineLevelCol="1" x14ac:dyDescent="0.2"/>
  <cols>
    <col min="1" max="1" width="31.5703125" style="7" customWidth="1"/>
    <col min="2" max="2" width="5.5703125" style="7" bestFit="1" customWidth="1"/>
    <col min="3" max="3" width="7" style="7" bestFit="1" customWidth="1"/>
    <col min="4" max="4" width="7.5703125" style="7" customWidth="1"/>
    <col min="5" max="5" width="24.42578125" style="7" customWidth="1"/>
    <col min="6" max="6" width="4.42578125" style="7" bestFit="1" customWidth="1"/>
    <col min="7" max="7" width="11.42578125" style="7" customWidth="1" outlineLevel="1"/>
    <col min="8" max="8" width="10.42578125" style="7" customWidth="1" outlineLevel="1"/>
    <col min="9" max="9" width="15.42578125" style="7" customWidth="1" outlineLevel="1"/>
    <col min="10" max="10" width="8.5703125" style="7" customWidth="1" outlineLevel="1"/>
    <col min="11" max="11" width="7.42578125" style="7" customWidth="1" outlineLevel="1"/>
    <col min="12" max="12" width="9.5703125" style="7" customWidth="1" outlineLevel="1"/>
    <col min="13" max="13" width="5.5703125" style="7" customWidth="1" outlineLevel="1"/>
    <col min="14" max="14" width="8" style="7" customWidth="1" outlineLevel="1"/>
    <col min="15" max="15" width="5.5703125" style="7" customWidth="1" outlineLevel="1"/>
    <col min="16" max="16" width="7.42578125" style="7" customWidth="1" outlineLevel="1"/>
    <col min="17" max="17" width="4.5703125" style="7" customWidth="1" outlineLevel="1"/>
    <col min="18" max="18" width="8.42578125" style="7" customWidth="1" outlineLevel="1"/>
    <col min="19" max="19" width="4.5703125" style="7" customWidth="1" outlineLevel="1"/>
    <col min="20" max="20" width="8.42578125" style="7" customWidth="1" outlineLevel="1"/>
    <col min="21" max="21" width="4.5703125" style="7" customWidth="1" outlineLevel="1"/>
    <col min="22" max="22" width="8.42578125" style="7" customWidth="1" outlineLevel="1"/>
    <col min="23" max="23" width="9.5703125" style="384" customWidth="1" outlineLevel="1"/>
    <col min="24" max="24" width="4.5703125" style="7" customWidth="1" outlineLevel="1"/>
    <col min="25" max="25" width="11.28515625" style="7" customWidth="1" outlineLevel="1"/>
    <col min="26" max="26" width="6.42578125" style="7" customWidth="1" outlineLevel="1"/>
    <col min="27" max="27" width="11.42578125" style="7" customWidth="1" outlineLevel="1"/>
    <col min="28" max="28" width="10.5703125" style="7" customWidth="1" outlineLevel="1"/>
    <col min="29" max="29" width="15.5703125" style="348" customWidth="1" outlineLevel="1"/>
    <col min="30" max="31" width="15.5703125" style="348" customWidth="1"/>
    <col min="32" max="16384" width="11.42578125" style="7"/>
  </cols>
  <sheetData>
    <row r="1" spans="1:31" s="348" customFormat="1" ht="13.5" thickBot="1" x14ac:dyDescent="0.25">
      <c r="A1" s="348">
        <v>1</v>
      </c>
      <c r="B1" s="348">
        <v>2</v>
      </c>
      <c r="C1" s="348">
        <v>3</v>
      </c>
      <c r="D1" s="348">
        <v>4</v>
      </c>
      <c r="E1" s="348">
        <v>1</v>
      </c>
      <c r="F1" s="348">
        <v>2</v>
      </c>
      <c r="G1" s="348">
        <v>3</v>
      </c>
      <c r="H1" s="348">
        <v>4</v>
      </c>
      <c r="I1" s="348">
        <v>5</v>
      </c>
      <c r="J1" s="348">
        <v>6</v>
      </c>
      <c r="K1" s="348">
        <v>7</v>
      </c>
      <c r="L1" s="348">
        <v>8</v>
      </c>
      <c r="M1" s="348">
        <v>9</v>
      </c>
      <c r="N1" s="348">
        <v>10</v>
      </c>
      <c r="O1" s="348">
        <v>11</v>
      </c>
      <c r="P1" s="348">
        <v>12</v>
      </c>
      <c r="Q1" s="348">
        <v>13</v>
      </c>
      <c r="R1" s="348">
        <v>20</v>
      </c>
      <c r="S1" s="348">
        <v>21</v>
      </c>
      <c r="T1" s="348">
        <v>28</v>
      </c>
      <c r="W1" s="349">
        <v>30</v>
      </c>
      <c r="AA1" s="348">
        <v>31</v>
      </c>
      <c r="AB1" s="348">
        <v>32</v>
      </c>
    </row>
    <row r="2" spans="1:31" ht="69.75" thickBot="1" x14ac:dyDescent="0.25">
      <c r="A2" s="423" t="s">
        <v>94</v>
      </c>
      <c r="B2" s="424" t="s">
        <v>1042</v>
      </c>
      <c r="C2" s="425" t="s">
        <v>1043</v>
      </c>
      <c r="D2" s="425" t="s">
        <v>1044</v>
      </c>
      <c r="E2" s="426" t="s">
        <v>1045</v>
      </c>
      <c r="F2" s="426"/>
      <c r="G2" s="426" t="s">
        <v>1046</v>
      </c>
      <c r="H2" s="426" t="s">
        <v>1047</v>
      </c>
      <c r="I2" s="426" t="s">
        <v>1048</v>
      </c>
      <c r="J2" s="426" t="s">
        <v>1049</v>
      </c>
      <c r="K2" s="426" t="s">
        <v>1050</v>
      </c>
      <c r="L2" s="426" t="s">
        <v>1051</v>
      </c>
      <c r="M2" s="1083" t="s">
        <v>1052</v>
      </c>
      <c r="N2" s="1084"/>
      <c r="O2" s="1083" t="s">
        <v>1053</v>
      </c>
      <c r="P2" s="1084"/>
      <c r="Q2" s="1083" t="s">
        <v>1054</v>
      </c>
      <c r="R2" s="1084"/>
      <c r="S2" s="1083" t="s">
        <v>1055</v>
      </c>
      <c r="T2" s="1084"/>
      <c r="U2" s="1083" t="s">
        <v>2347</v>
      </c>
      <c r="V2" s="1084"/>
      <c r="W2" s="427" t="s">
        <v>1056</v>
      </c>
      <c r="X2" s="1085" t="s">
        <v>2348</v>
      </c>
      <c r="Y2" s="1086"/>
      <c r="Z2" s="1081" t="s">
        <v>1057</v>
      </c>
      <c r="AA2" s="1082"/>
      <c r="AB2" s="443" t="s">
        <v>1058</v>
      </c>
      <c r="AC2" s="426" t="s">
        <v>1059</v>
      </c>
      <c r="AD2" s="447" t="s">
        <v>1060</v>
      </c>
      <c r="AE2" s="428" t="s">
        <v>1061</v>
      </c>
    </row>
    <row r="3" spans="1:31" x14ac:dyDescent="0.2">
      <c r="A3" s="429" t="s">
        <v>1062</v>
      </c>
      <c r="B3" s="350">
        <v>2023</v>
      </c>
      <c r="C3" s="351"/>
      <c r="D3" s="352">
        <v>1795</v>
      </c>
      <c r="E3" s="353" t="s">
        <v>1063</v>
      </c>
      <c r="F3" s="354" t="s">
        <v>1064</v>
      </c>
      <c r="G3" s="355">
        <v>40</v>
      </c>
      <c r="H3" s="356">
        <v>8</v>
      </c>
      <c r="I3" s="356">
        <v>1429.9569999999999</v>
      </c>
      <c r="J3" s="357">
        <v>1429.9569999999999</v>
      </c>
      <c r="K3" s="356">
        <v>15</v>
      </c>
      <c r="L3" s="358">
        <v>357.48924999999991</v>
      </c>
      <c r="M3" s="359" t="s">
        <v>223</v>
      </c>
      <c r="N3" s="360">
        <f>IF(M3="SI",0.27,0)</f>
        <v>0.27</v>
      </c>
      <c r="O3" s="359" t="s">
        <v>223</v>
      </c>
      <c r="P3" s="360">
        <f t="shared" ref="P3:P25" si="0">IF(O3="SI",0.26,0)</f>
        <v>0.26</v>
      </c>
      <c r="Q3" s="359" t="s">
        <v>98</v>
      </c>
      <c r="R3" s="360">
        <f t="shared" ref="R3:R25" si="1">IF(Q3="SI",15,0)</f>
        <v>0</v>
      </c>
      <c r="S3" s="361" t="s">
        <v>98</v>
      </c>
      <c r="T3" s="360">
        <f t="shared" ref="T3:T25" si="2">IF(S3="SI",18.36,0)</f>
        <v>0</v>
      </c>
      <c r="U3" s="361"/>
      <c r="V3" s="360"/>
      <c r="W3" s="362">
        <v>0.33</v>
      </c>
      <c r="X3" s="890"/>
      <c r="Y3" s="892">
        <f>+I3+L3+N3+P3+V3</f>
        <v>1787.9762499999997</v>
      </c>
      <c r="Z3" s="363"/>
      <c r="AA3" s="364">
        <f>IF(Z3="SI",IFERROR(31.77/AD3,""),0)</f>
        <v>0</v>
      </c>
      <c r="AB3" s="444">
        <f t="shared" ref="AB3:AB25" si="3">+((J3*K3)*(1+W3))/D3</f>
        <v>15.892836852367688</v>
      </c>
      <c r="AC3" s="451">
        <f t="shared" ref="AC3:AC25" si="4">IFERROR(N3+P3+AA3+(R3/AD3)+(T3/AD3),0)</f>
        <v>0</v>
      </c>
      <c r="AD3" s="448"/>
      <c r="AE3" s="365" t="str">
        <f>IF(AD3&lt;&gt;"",AB3+AC3,"")</f>
        <v/>
      </c>
    </row>
    <row r="4" spans="1:31" x14ac:dyDescent="0.2">
      <c r="A4" s="430" t="s">
        <v>1062</v>
      </c>
      <c r="B4" s="366">
        <v>2023</v>
      </c>
      <c r="C4" s="367"/>
      <c r="D4" s="368">
        <v>1795</v>
      </c>
      <c r="E4" s="369" t="s">
        <v>1065</v>
      </c>
      <c r="F4" s="370" t="s">
        <v>1066</v>
      </c>
      <c r="G4" s="371">
        <v>40</v>
      </c>
      <c r="H4" s="372">
        <v>8</v>
      </c>
      <c r="I4" s="372">
        <v>1377.3744999999999</v>
      </c>
      <c r="J4" s="373">
        <v>1377.3744999999999</v>
      </c>
      <c r="K4" s="372">
        <v>15</v>
      </c>
      <c r="L4" s="374">
        <v>344.34362499999997</v>
      </c>
      <c r="M4" s="359" t="s">
        <v>98</v>
      </c>
      <c r="N4" s="360">
        <f t="shared" ref="N4:N25" si="5">IF(M4="SI",0.27,0)</f>
        <v>0</v>
      </c>
      <c r="O4" s="359" t="s">
        <v>98</v>
      </c>
      <c r="P4" s="360">
        <f t="shared" si="0"/>
        <v>0</v>
      </c>
      <c r="Q4" s="359" t="s">
        <v>98</v>
      </c>
      <c r="R4" s="360">
        <f t="shared" si="1"/>
        <v>0</v>
      </c>
      <c r="S4" s="361" t="s">
        <v>98</v>
      </c>
      <c r="T4" s="360">
        <f t="shared" si="2"/>
        <v>0</v>
      </c>
      <c r="U4" s="361"/>
      <c r="V4" s="360"/>
      <c r="W4" s="375">
        <v>0.33</v>
      </c>
      <c r="X4" s="890"/>
      <c r="Y4" s="892">
        <f t="shared" ref="Y4:Y25" si="6">+I4+L4+N4+P4+V4</f>
        <v>1721.7181249999999</v>
      </c>
      <c r="Z4" s="376"/>
      <c r="AA4" s="360">
        <f>IF(Z4="SI",IFERROR(31.77/AD4,""),0)</f>
        <v>0</v>
      </c>
      <c r="AB4" s="445">
        <f t="shared" si="3"/>
        <v>15.308424108635098</v>
      </c>
      <c r="AC4" s="452">
        <f t="shared" si="4"/>
        <v>0</v>
      </c>
      <c r="AD4" s="449"/>
      <c r="AE4" s="377" t="str">
        <f t="shared" ref="AE4:AE25" si="7">IF(AD4&lt;&gt;"",AB4+AC4,"")</f>
        <v/>
      </c>
    </row>
    <row r="5" spans="1:31" x14ac:dyDescent="0.2">
      <c r="A5" s="430" t="s">
        <v>1062</v>
      </c>
      <c r="B5" s="366">
        <v>2023</v>
      </c>
      <c r="C5" s="367"/>
      <c r="D5" s="368">
        <v>1795</v>
      </c>
      <c r="E5" s="369" t="s">
        <v>1067</v>
      </c>
      <c r="F5" s="370" t="s">
        <v>1068</v>
      </c>
      <c r="G5" s="371">
        <v>40</v>
      </c>
      <c r="H5" s="372">
        <v>8</v>
      </c>
      <c r="I5" s="372">
        <v>1298.4392499999999</v>
      </c>
      <c r="J5" s="373">
        <v>1298.4392499999999</v>
      </c>
      <c r="K5" s="372">
        <v>15</v>
      </c>
      <c r="L5" s="374">
        <v>324.60981249999998</v>
      </c>
      <c r="M5" s="359" t="s">
        <v>98</v>
      </c>
      <c r="N5" s="360">
        <f t="shared" si="5"/>
        <v>0</v>
      </c>
      <c r="O5" s="359" t="s">
        <v>98</v>
      </c>
      <c r="P5" s="360">
        <f t="shared" si="0"/>
        <v>0</v>
      </c>
      <c r="Q5" s="359" t="s">
        <v>223</v>
      </c>
      <c r="R5" s="360">
        <f t="shared" si="1"/>
        <v>15</v>
      </c>
      <c r="S5" s="361" t="s">
        <v>223</v>
      </c>
      <c r="T5" s="360">
        <f t="shared" si="2"/>
        <v>18.36</v>
      </c>
      <c r="U5" s="361"/>
      <c r="V5" s="360"/>
      <c r="W5" s="375">
        <v>0.33</v>
      </c>
      <c r="X5" s="890"/>
      <c r="Y5" s="892">
        <f t="shared" si="6"/>
        <v>1623.0490624999998</v>
      </c>
      <c r="Z5" s="376" t="s">
        <v>223</v>
      </c>
      <c r="AA5" s="360">
        <f t="shared" ref="AA5:AA24" si="8">IF(Z5="SI",IFERROR(31.77/AD5,""),0)</f>
        <v>6.3540000000000001</v>
      </c>
      <c r="AB5" s="445">
        <f t="shared" si="3"/>
        <v>14.431121469359331</v>
      </c>
      <c r="AC5" s="452">
        <f t="shared" si="4"/>
        <v>13.026</v>
      </c>
      <c r="AD5" s="449">
        <v>5</v>
      </c>
      <c r="AE5" s="377">
        <f t="shared" si="7"/>
        <v>27.457121469359329</v>
      </c>
    </row>
    <row r="6" spans="1:31" x14ac:dyDescent="0.2">
      <c r="A6" s="430" t="s">
        <v>1062</v>
      </c>
      <c r="B6" s="366">
        <v>2023</v>
      </c>
      <c r="C6" s="367"/>
      <c r="D6" s="368">
        <v>1795</v>
      </c>
      <c r="E6" s="369" t="s">
        <v>1069</v>
      </c>
      <c r="F6" s="370" t="s">
        <v>1070</v>
      </c>
      <c r="G6" s="371">
        <v>40</v>
      </c>
      <c r="H6" s="372">
        <v>8</v>
      </c>
      <c r="I6" s="372">
        <v>1245.8054999999999</v>
      </c>
      <c r="J6" s="373">
        <v>1245.8054999999999</v>
      </c>
      <c r="K6" s="372">
        <v>15</v>
      </c>
      <c r="L6" s="374">
        <v>311.45137499999998</v>
      </c>
      <c r="M6" s="359" t="s">
        <v>98</v>
      </c>
      <c r="N6" s="360">
        <f t="shared" si="5"/>
        <v>0</v>
      </c>
      <c r="O6" s="359" t="s">
        <v>98</v>
      </c>
      <c r="P6" s="360">
        <f t="shared" si="0"/>
        <v>0</v>
      </c>
      <c r="Q6" s="359" t="s">
        <v>98</v>
      </c>
      <c r="R6" s="360">
        <f t="shared" si="1"/>
        <v>0</v>
      </c>
      <c r="S6" s="361" t="s">
        <v>98</v>
      </c>
      <c r="T6" s="360">
        <f t="shared" si="2"/>
        <v>0</v>
      </c>
      <c r="U6" s="361"/>
      <c r="V6" s="360"/>
      <c r="W6" s="375">
        <v>0.33</v>
      </c>
      <c r="X6" s="890"/>
      <c r="Y6" s="892">
        <f t="shared" si="6"/>
        <v>1557.256875</v>
      </c>
      <c r="Z6" s="376"/>
      <c r="AA6" s="360">
        <f t="shared" si="8"/>
        <v>0</v>
      </c>
      <c r="AB6" s="445">
        <f t="shared" si="3"/>
        <v>13.846139122562676</v>
      </c>
      <c r="AC6" s="452">
        <f t="shared" si="4"/>
        <v>0</v>
      </c>
      <c r="AD6" s="449"/>
      <c r="AE6" s="377" t="str">
        <f t="shared" si="7"/>
        <v/>
      </c>
    </row>
    <row r="7" spans="1:31" x14ac:dyDescent="0.2">
      <c r="A7" s="430" t="s">
        <v>1062</v>
      </c>
      <c r="B7" s="366">
        <v>2023</v>
      </c>
      <c r="C7" s="367"/>
      <c r="D7" s="368">
        <v>1795</v>
      </c>
      <c r="E7" s="369" t="s">
        <v>1071</v>
      </c>
      <c r="F7" s="370" t="s">
        <v>1072</v>
      </c>
      <c r="G7" s="371">
        <v>40</v>
      </c>
      <c r="H7" s="372">
        <v>8</v>
      </c>
      <c r="I7" s="372">
        <v>1176.1977499999998</v>
      </c>
      <c r="J7" s="373">
        <v>1176.1977499999998</v>
      </c>
      <c r="K7" s="372">
        <v>15</v>
      </c>
      <c r="L7" s="374">
        <v>294.04943749999995</v>
      </c>
      <c r="M7" s="359" t="s">
        <v>98</v>
      </c>
      <c r="N7" s="360">
        <f t="shared" si="5"/>
        <v>0</v>
      </c>
      <c r="O7" s="359" t="s">
        <v>98</v>
      </c>
      <c r="P7" s="360">
        <f t="shared" si="0"/>
        <v>0</v>
      </c>
      <c r="Q7" s="359" t="s">
        <v>98</v>
      </c>
      <c r="R7" s="360">
        <f t="shared" si="1"/>
        <v>0</v>
      </c>
      <c r="S7" s="361" t="s">
        <v>98</v>
      </c>
      <c r="T7" s="360">
        <f t="shared" si="2"/>
        <v>0</v>
      </c>
      <c r="U7" s="361"/>
      <c r="V7" s="360"/>
      <c r="W7" s="375">
        <v>0.33</v>
      </c>
      <c r="X7" s="890"/>
      <c r="Y7" s="892">
        <f t="shared" si="6"/>
        <v>1470.2471874999997</v>
      </c>
      <c r="Z7" s="376"/>
      <c r="AA7" s="360">
        <f t="shared" si="8"/>
        <v>0</v>
      </c>
      <c r="AB7" s="445">
        <f t="shared" si="3"/>
        <v>13.072504240947074</v>
      </c>
      <c r="AC7" s="452">
        <f t="shared" si="4"/>
        <v>0</v>
      </c>
      <c r="AD7" s="449"/>
      <c r="AE7" s="377" t="str">
        <f t="shared" si="7"/>
        <v/>
      </c>
    </row>
    <row r="8" spans="1:31" x14ac:dyDescent="0.2">
      <c r="A8" s="430" t="s">
        <v>1062</v>
      </c>
      <c r="B8" s="366">
        <v>2023</v>
      </c>
      <c r="C8" s="367"/>
      <c r="D8" s="368">
        <v>1795</v>
      </c>
      <c r="E8" s="369" t="s">
        <v>1073</v>
      </c>
      <c r="F8" s="370" t="s">
        <v>1072</v>
      </c>
      <c r="G8" s="371">
        <v>40</v>
      </c>
      <c r="H8" s="372">
        <v>8</v>
      </c>
      <c r="I8" s="372">
        <v>1176.2</v>
      </c>
      <c r="J8" s="373">
        <v>1176.1977499999998</v>
      </c>
      <c r="K8" s="372">
        <v>15</v>
      </c>
      <c r="L8" s="374">
        <v>294.04943749999995</v>
      </c>
      <c r="M8" s="359" t="s">
        <v>98</v>
      </c>
      <c r="N8" s="360">
        <f t="shared" si="5"/>
        <v>0</v>
      </c>
      <c r="O8" s="359" t="s">
        <v>98</v>
      </c>
      <c r="P8" s="360">
        <f t="shared" si="0"/>
        <v>0</v>
      </c>
      <c r="Q8" s="359" t="s">
        <v>98</v>
      </c>
      <c r="R8" s="360">
        <f t="shared" si="1"/>
        <v>0</v>
      </c>
      <c r="S8" s="361" t="s">
        <v>98</v>
      </c>
      <c r="T8" s="360">
        <f t="shared" si="2"/>
        <v>0</v>
      </c>
      <c r="U8" s="361"/>
      <c r="V8" s="360"/>
      <c r="W8" s="375">
        <v>0.33</v>
      </c>
      <c r="X8" s="890"/>
      <c r="Y8" s="892">
        <f t="shared" si="6"/>
        <v>1470.2494375000001</v>
      </c>
      <c r="Z8" s="376" t="s">
        <v>98</v>
      </c>
      <c r="AA8" s="360">
        <f t="shared" si="8"/>
        <v>0</v>
      </c>
      <c r="AB8" s="445">
        <f t="shared" si="3"/>
        <v>13.072504240947074</v>
      </c>
      <c r="AC8" s="452">
        <f t="shared" si="4"/>
        <v>0</v>
      </c>
      <c r="AD8" s="449"/>
      <c r="AE8" s="377" t="str">
        <f t="shared" si="7"/>
        <v/>
      </c>
    </row>
    <row r="9" spans="1:31" x14ac:dyDescent="0.2">
      <c r="A9" s="430" t="s">
        <v>1074</v>
      </c>
      <c r="B9" s="366">
        <v>2023</v>
      </c>
      <c r="C9" s="174"/>
      <c r="D9" s="378">
        <v>1795</v>
      </c>
      <c r="E9" s="379" t="s">
        <v>1063</v>
      </c>
      <c r="F9" s="370" t="s">
        <v>1064</v>
      </c>
      <c r="G9" s="371">
        <v>40</v>
      </c>
      <c r="H9" s="372">
        <v>8</v>
      </c>
      <c r="I9" s="372">
        <v>1252.0374999999999</v>
      </c>
      <c r="J9" s="373">
        <v>1252.0374999999999</v>
      </c>
      <c r="K9" s="372">
        <v>15</v>
      </c>
      <c r="L9" s="374">
        <v>313.00937499999998</v>
      </c>
      <c r="M9" s="359" t="s">
        <v>98</v>
      </c>
      <c r="N9" s="360">
        <f t="shared" si="5"/>
        <v>0</v>
      </c>
      <c r="O9" s="359" t="s">
        <v>98</v>
      </c>
      <c r="P9" s="360">
        <f t="shared" si="0"/>
        <v>0</v>
      </c>
      <c r="Q9" s="359" t="s">
        <v>98</v>
      </c>
      <c r="R9" s="360">
        <f t="shared" si="1"/>
        <v>0</v>
      </c>
      <c r="S9" s="361" t="s">
        <v>98</v>
      </c>
      <c r="T9" s="360">
        <f t="shared" si="2"/>
        <v>0</v>
      </c>
      <c r="U9" s="361"/>
      <c r="V9" s="360"/>
      <c r="W9" s="375">
        <v>0.33</v>
      </c>
      <c r="X9" s="890"/>
      <c r="Y9" s="892">
        <f t="shared" si="6"/>
        <v>1565.046875</v>
      </c>
      <c r="Z9" s="376"/>
      <c r="AA9" s="360">
        <f t="shared" si="8"/>
        <v>0</v>
      </c>
      <c r="AB9" s="445">
        <f t="shared" si="3"/>
        <v>13.915402855153204</v>
      </c>
      <c r="AC9" s="452">
        <f t="shared" si="4"/>
        <v>0</v>
      </c>
      <c r="AD9" s="449"/>
      <c r="AE9" s="377" t="str">
        <f t="shared" si="7"/>
        <v/>
      </c>
    </row>
    <row r="10" spans="1:31" x14ac:dyDescent="0.2">
      <c r="A10" s="430" t="s">
        <v>1074</v>
      </c>
      <c r="B10" s="366">
        <v>2023</v>
      </c>
      <c r="C10" s="367"/>
      <c r="D10" s="368">
        <v>1795</v>
      </c>
      <c r="E10" s="369" t="s">
        <v>1065</v>
      </c>
      <c r="F10" s="370" t="s">
        <v>1075</v>
      </c>
      <c r="G10" s="371">
        <v>40</v>
      </c>
      <c r="H10" s="372">
        <v>8</v>
      </c>
      <c r="I10" s="372">
        <v>1244.8419999999999</v>
      </c>
      <c r="J10" s="373">
        <v>1244.8419999999999</v>
      </c>
      <c r="K10" s="372">
        <v>15</v>
      </c>
      <c r="L10" s="374">
        <v>311.21049999999997</v>
      </c>
      <c r="M10" s="359" t="s">
        <v>98</v>
      </c>
      <c r="N10" s="360">
        <f t="shared" si="5"/>
        <v>0</v>
      </c>
      <c r="O10" s="359" t="s">
        <v>98</v>
      </c>
      <c r="P10" s="360">
        <f t="shared" si="0"/>
        <v>0</v>
      </c>
      <c r="Q10" s="359" t="s">
        <v>98</v>
      </c>
      <c r="R10" s="360">
        <f t="shared" si="1"/>
        <v>0</v>
      </c>
      <c r="S10" s="361" t="s">
        <v>98</v>
      </c>
      <c r="T10" s="360">
        <f t="shared" si="2"/>
        <v>0</v>
      </c>
      <c r="U10" s="361"/>
      <c r="V10" s="360"/>
      <c r="W10" s="375">
        <v>0.33</v>
      </c>
      <c r="X10" s="890"/>
      <c r="Y10" s="892">
        <f t="shared" si="6"/>
        <v>1556.0524999999998</v>
      </c>
      <c r="Z10" s="376"/>
      <c r="AA10" s="360">
        <f t="shared" si="8"/>
        <v>0</v>
      </c>
      <c r="AB10" s="445">
        <f t="shared" si="3"/>
        <v>13.835430584958216</v>
      </c>
      <c r="AC10" s="452">
        <f t="shared" si="4"/>
        <v>0</v>
      </c>
      <c r="AD10" s="449"/>
      <c r="AE10" s="377" t="str">
        <f t="shared" si="7"/>
        <v/>
      </c>
    </row>
    <row r="11" spans="1:31" x14ac:dyDescent="0.2">
      <c r="A11" s="430" t="s">
        <v>1074</v>
      </c>
      <c r="B11" s="366">
        <v>2023</v>
      </c>
      <c r="C11" s="367"/>
      <c r="D11" s="368">
        <v>1795</v>
      </c>
      <c r="E11" s="369" t="s">
        <v>1067</v>
      </c>
      <c r="F11" s="370" t="s">
        <v>1076</v>
      </c>
      <c r="G11" s="371">
        <v>40</v>
      </c>
      <c r="H11" s="372">
        <v>8</v>
      </c>
      <c r="I11" s="372">
        <v>1213.5282500000001</v>
      </c>
      <c r="J11" s="373">
        <v>1213.5282500000001</v>
      </c>
      <c r="K11" s="372">
        <v>15</v>
      </c>
      <c r="L11" s="374">
        <v>303.38206250000002</v>
      </c>
      <c r="M11" s="359" t="s">
        <v>98</v>
      </c>
      <c r="N11" s="360">
        <f t="shared" si="5"/>
        <v>0</v>
      </c>
      <c r="O11" s="359" t="s">
        <v>98</v>
      </c>
      <c r="P11" s="360">
        <f t="shared" si="0"/>
        <v>0</v>
      </c>
      <c r="Q11" s="359" t="s">
        <v>98</v>
      </c>
      <c r="R11" s="360">
        <f t="shared" si="1"/>
        <v>0</v>
      </c>
      <c r="S11" s="361" t="s">
        <v>98</v>
      </c>
      <c r="T11" s="360">
        <f t="shared" si="2"/>
        <v>0</v>
      </c>
      <c r="U11" s="361"/>
      <c r="V11" s="360"/>
      <c r="W11" s="375">
        <v>0.33</v>
      </c>
      <c r="X11" s="890"/>
      <c r="Y11" s="892">
        <f t="shared" si="6"/>
        <v>1516.9103125000001</v>
      </c>
      <c r="Z11" s="376"/>
      <c r="AA11" s="360">
        <f t="shared" si="8"/>
        <v>0</v>
      </c>
      <c r="AB11" s="445">
        <f t="shared" si="3"/>
        <v>13.487403112813373</v>
      </c>
      <c r="AC11" s="452">
        <f t="shared" si="4"/>
        <v>0</v>
      </c>
      <c r="AD11" s="449"/>
      <c r="AE11" s="377" t="str">
        <f t="shared" si="7"/>
        <v/>
      </c>
    </row>
    <row r="12" spans="1:31" x14ac:dyDescent="0.2">
      <c r="A12" s="430" t="s">
        <v>1074</v>
      </c>
      <c r="B12" s="366">
        <v>2023</v>
      </c>
      <c r="C12" s="367"/>
      <c r="D12" s="368">
        <v>1795</v>
      </c>
      <c r="E12" s="369" t="s">
        <v>1069</v>
      </c>
      <c r="F12" s="370" t="s">
        <v>1077</v>
      </c>
      <c r="G12" s="371">
        <v>40</v>
      </c>
      <c r="H12" s="372">
        <v>8</v>
      </c>
      <c r="I12" s="372">
        <f>1182.85</f>
        <v>1182.8499999999999</v>
      </c>
      <c r="J12" s="373">
        <v>1182.8499999999999</v>
      </c>
      <c r="K12" s="372">
        <v>15</v>
      </c>
      <c r="L12" s="374">
        <v>295.71249999999998</v>
      </c>
      <c r="M12" s="359" t="s">
        <v>98</v>
      </c>
      <c r="N12" s="360">
        <f t="shared" si="5"/>
        <v>0</v>
      </c>
      <c r="O12" s="359" t="s">
        <v>98</v>
      </c>
      <c r="P12" s="360">
        <f t="shared" si="0"/>
        <v>0</v>
      </c>
      <c r="Q12" s="359" t="s">
        <v>98</v>
      </c>
      <c r="R12" s="360">
        <f t="shared" si="1"/>
        <v>0</v>
      </c>
      <c r="S12" s="361" t="s">
        <v>98</v>
      </c>
      <c r="T12" s="360">
        <f t="shared" si="2"/>
        <v>0</v>
      </c>
      <c r="U12" s="361"/>
      <c r="V12" s="360"/>
      <c r="W12" s="375">
        <v>0.33</v>
      </c>
      <c r="X12" s="890"/>
      <c r="Y12" s="892">
        <f t="shared" si="6"/>
        <v>1478.5625</v>
      </c>
      <c r="Z12" s="376"/>
      <c r="AA12" s="360">
        <f t="shared" si="8"/>
        <v>0</v>
      </c>
      <c r="AB12" s="445">
        <f t="shared" si="3"/>
        <v>13.146438718662953</v>
      </c>
      <c r="AC12" s="452">
        <f t="shared" si="4"/>
        <v>0</v>
      </c>
      <c r="AD12" s="449"/>
      <c r="AE12" s="377" t="str">
        <f t="shared" si="7"/>
        <v/>
      </c>
    </row>
    <row r="13" spans="1:31" x14ac:dyDescent="0.2">
      <c r="A13" s="430" t="s">
        <v>1074</v>
      </c>
      <c r="B13" s="366">
        <v>2023</v>
      </c>
      <c r="C13" s="367"/>
      <c r="D13" s="368">
        <v>1795</v>
      </c>
      <c r="E13" s="369" t="s">
        <v>1073</v>
      </c>
      <c r="F13" s="370" t="s">
        <v>1078</v>
      </c>
      <c r="G13" s="371">
        <v>40</v>
      </c>
      <c r="H13" s="372">
        <v>8</v>
      </c>
      <c r="I13" s="372">
        <v>1174.57825</v>
      </c>
      <c r="J13" s="373">
        <v>1174.57825</v>
      </c>
      <c r="K13" s="372">
        <v>15</v>
      </c>
      <c r="L13" s="374">
        <v>293.64456250000001</v>
      </c>
      <c r="M13" s="359" t="s">
        <v>98</v>
      </c>
      <c r="N13" s="360">
        <f t="shared" si="5"/>
        <v>0</v>
      </c>
      <c r="O13" s="359" t="s">
        <v>98</v>
      </c>
      <c r="P13" s="360">
        <f t="shared" si="0"/>
        <v>0</v>
      </c>
      <c r="Q13" s="359" t="s">
        <v>98</v>
      </c>
      <c r="R13" s="360">
        <f t="shared" si="1"/>
        <v>0</v>
      </c>
      <c r="S13" s="361" t="s">
        <v>98</v>
      </c>
      <c r="T13" s="360">
        <f t="shared" si="2"/>
        <v>0</v>
      </c>
      <c r="U13" s="361"/>
      <c r="V13" s="360"/>
      <c r="W13" s="375">
        <v>0.33</v>
      </c>
      <c r="X13" s="890"/>
      <c r="Y13" s="892">
        <f t="shared" si="6"/>
        <v>1468.2228125000001</v>
      </c>
      <c r="Z13" s="376" t="s">
        <v>98</v>
      </c>
      <c r="AA13" s="360">
        <f t="shared" si="8"/>
        <v>0</v>
      </c>
      <c r="AB13" s="445">
        <f t="shared" si="3"/>
        <v>13.054504784122564</v>
      </c>
      <c r="AC13" s="452">
        <f t="shared" si="4"/>
        <v>0</v>
      </c>
      <c r="AD13" s="449"/>
      <c r="AE13" s="377" t="str">
        <f t="shared" si="7"/>
        <v/>
      </c>
    </row>
    <row r="14" spans="1:31" x14ac:dyDescent="0.2">
      <c r="A14" s="430" t="s">
        <v>1074</v>
      </c>
      <c r="B14" s="366">
        <v>2023</v>
      </c>
      <c r="C14" s="367"/>
      <c r="D14" s="368">
        <v>1795</v>
      </c>
      <c r="E14" s="369" t="s">
        <v>1079</v>
      </c>
      <c r="F14" s="370" t="s">
        <v>1078</v>
      </c>
      <c r="G14" s="371">
        <v>40</v>
      </c>
      <c r="H14" s="372">
        <v>8</v>
      </c>
      <c r="I14" s="372">
        <v>1516.98</v>
      </c>
      <c r="J14" s="373">
        <v>1516.98</v>
      </c>
      <c r="K14" s="372">
        <v>15</v>
      </c>
      <c r="L14" s="374">
        <v>379.21</v>
      </c>
      <c r="M14" s="359" t="s">
        <v>98</v>
      </c>
      <c r="N14" s="360">
        <f t="shared" si="5"/>
        <v>0</v>
      </c>
      <c r="O14" s="359" t="s">
        <v>98</v>
      </c>
      <c r="P14" s="360">
        <f t="shared" si="0"/>
        <v>0</v>
      </c>
      <c r="Q14" s="359" t="s">
        <v>98</v>
      </c>
      <c r="R14" s="360">
        <f t="shared" si="1"/>
        <v>0</v>
      </c>
      <c r="S14" s="361" t="s">
        <v>98</v>
      </c>
      <c r="T14" s="360">
        <f t="shared" si="2"/>
        <v>0</v>
      </c>
      <c r="U14" s="361"/>
      <c r="V14" s="360"/>
      <c r="W14" s="375">
        <v>0.33</v>
      </c>
      <c r="X14" s="890"/>
      <c r="Y14" s="892">
        <f t="shared" si="6"/>
        <v>1896.19</v>
      </c>
      <c r="Z14" s="376" t="s">
        <v>98</v>
      </c>
      <c r="AA14" s="360">
        <f t="shared" si="8"/>
        <v>0</v>
      </c>
      <c r="AB14" s="445">
        <f t="shared" si="3"/>
        <v>16.86002841225627</v>
      </c>
      <c r="AC14" s="452">
        <f t="shared" si="4"/>
        <v>0</v>
      </c>
      <c r="AD14" s="449"/>
      <c r="AE14" s="377" t="str">
        <f t="shared" si="7"/>
        <v/>
      </c>
    </row>
    <row r="15" spans="1:31" x14ac:dyDescent="0.2">
      <c r="A15" s="430" t="s">
        <v>1080</v>
      </c>
      <c r="B15" s="366">
        <v>2023</v>
      </c>
      <c r="C15" s="367"/>
      <c r="D15" s="368">
        <v>1795</v>
      </c>
      <c r="E15" s="369" t="s">
        <v>1063</v>
      </c>
      <c r="F15" s="370" t="s">
        <v>1081</v>
      </c>
      <c r="G15" s="371">
        <v>40</v>
      </c>
      <c r="H15" s="372">
        <v>8</v>
      </c>
      <c r="I15" s="372">
        <v>1326.94</v>
      </c>
      <c r="J15" s="373">
        <v>1326.6472499999998</v>
      </c>
      <c r="K15" s="372">
        <v>15</v>
      </c>
      <c r="L15" s="374">
        <v>311.52454166666661</v>
      </c>
      <c r="M15" s="359" t="s">
        <v>98</v>
      </c>
      <c r="N15" s="360">
        <f t="shared" si="5"/>
        <v>0</v>
      </c>
      <c r="O15" s="359" t="s">
        <v>98</v>
      </c>
      <c r="P15" s="360">
        <f t="shared" si="0"/>
        <v>0</v>
      </c>
      <c r="Q15" s="359" t="s">
        <v>98</v>
      </c>
      <c r="R15" s="360">
        <f t="shared" si="1"/>
        <v>0</v>
      </c>
      <c r="S15" s="361" t="s">
        <v>98</v>
      </c>
      <c r="T15" s="360">
        <f t="shared" si="2"/>
        <v>0</v>
      </c>
      <c r="U15" s="361"/>
      <c r="V15" s="360"/>
      <c r="W15" s="375">
        <v>0.33</v>
      </c>
      <c r="X15" s="890"/>
      <c r="Y15" s="892">
        <f t="shared" si="6"/>
        <v>1638.4645416666667</v>
      </c>
      <c r="Z15" s="376"/>
      <c r="AA15" s="360">
        <f t="shared" si="8"/>
        <v>0</v>
      </c>
      <c r="AB15" s="445">
        <f t="shared" si="3"/>
        <v>14.744630995821726</v>
      </c>
      <c r="AC15" s="452">
        <f t="shared" si="4"/>
        <v>0</v>
      </c>
      <c r="AD15" s="449"/>
      <c r="AE15" s="377" t="str">
        <f t="shared" si="7"/>
        <v/>
      </c>
    </row>
    <row r="16" spans="1:31" x14ac:dyDescent="0.2">
      <c r="A16" s="430" t="s">
        <v>1080</v>
      </c>
      <c r="B16" s="366">
        <v>2023</v>
      </c>
      <c r="C16" s="367"/>
      <c r="D16" s="368">
        <v>1795</v>
      </c>
      <c r="E16" s="369" t="s">
        <v>1065</v>
      </c>
      <c r="F16" s="370" t="s">
        <v>1082</v>
      </c>
      <c r="G16" s="371">
        <v>40</v>
      </c>
      <c r="H16" s="372">
        <v>8</v>
      </c>
      <c r="I16" s="372">
        <v>1263.3534999999999</v>
      </c>
      <c r="J16" s="373">
        <v>1263.3534999999999</v>
      </c>
      <c r="K16" s="372">
        <v>15</v>
      </c>
      <c r="L16" s="374">
        <v>300.9755833333333</v>
      </c>
      <c r="M16" s="359" t="s">
        <v>98</v>
      </c>
      <c r="N16" s="360">
        <f t="shared" si="5"/>
        <v>0</v>
      </c>
      <c r="O16" s="359" t="s">
        <v>98</v>
      </c>
      <c r="P16" s="360">
        <f t="shared" si="0"/>
        <v>0</v>
      </c>
      <c r="Q16" s="359" t="s">
        <v>98</v>
      </c>
      <c r="R16" s="360">
        <f t="shared" si="1"/>
        <v>0</v>
      </c>
      <c r="S16" s="361" t="s">
        <v>98</v>
      </c>
      <c r="T16" s="360">
        <f t="shared" si="2"/>
        <v>0</v>
      </c>
      <c r="U16" s="361"/>
      <c r="V16" s="360"/>
      <c r="W16" s="375">
        <v>0.33</v>
      </c>
      <c r="X16" s="890"/>
      <c r="Y16" s="892">
        <f t="shared" si="6"/>
        <v>1564.3290833333333</v>
      </c>
      <c r="Z16" s="376"/>
      <c r="AA16" s="360">
        <f t="shared" si="8"/>
        <v>0</v>
      </c>
      <c r="AB16" s="445">
        <f t="shared" si="3"/>
        <v>14.041171211699163</v>
      </c>
      <c r="AC16" s="452">
        <f t="shared" si="4"/>
        <v>0</v>
      </c>
      <c r="AD16" s="449"/>
      <c r="AE16" s="377" t="str">
        <f t="shared" si="7"/>
        <v/>
      </c>
    </row>
    <row r="17" spans="1:31" x14ac:dyDescent="0.2">
      <c r="A17" s="430" t="s">
        <v>1080</v>
      </c>
      <c r="B17" s="366">
        <v>2023</v>
      </c>
      <c r="C17" s="367"/>
      <c r="D17" s="368">
        <v>1795</v>
      </c>
      <c r="E17" s="369" t="s">
        <v>1067</v>
      </c>
      <c r="F17" s="370" t="s">
        <v>1083</v>
      </c>
      <c r="G17" s="371">
        <v>40</v>
      </c>
      <c r="H17" s="372">
        <v>8</v>
      </c>
      <c r="I17" s="372">
        <v>1162.5754999999999</v>
      </c>
      <c r="J17" s="373">
        <v>1162.5754999999999</v>
      </c>
      <c r="K17" s="372">
        <v>15</v>
      </c>
      <c r="L17" s="374">
        <v>284.17924999999997</v>
      </c>
      <c r="M17" s="359" t="s">
        <v>98</v>
      </c>
      <c r="N17" s="360">
        <f t="shared" si="5"/>
        <v>0</v>
      </c>
      <c r="O17" s="359" t="s">
        <v>98</v>
      </c>
      <c r="P17" s="360">
        <f t="shared" si="0"/>
        <v>0</v>
      </c>
      <c r="Q17" s="359" t="s">
        <v>98</v>
      </c>
      <c r="R17" s="360">
        <f t="shared" si="1"/>
        <v>0</v>
      </c>
      <c r="S17" s="361" t="s">
        <v>98</v>
      </c>
      <c r="T17" s="360">
        <f t="shared" si="2"/>
        <v>0</v>
      </c>
      <c r="U17" s="361"/>
      <c r="V17" s="360"/>
      <c r="W17" s="375">
        <v>0.33</v>
      </c>
      <c r="X17" s="890"/>
      <c r="Y17" s="892">
        <f t="shared" si="6"/>
        <v>1446.7547499999998</v>
      </c>
      <c r="Z17" s="376"/>
      <c r="AA17" s="360">
        <f t="shared" si="8"/>
        <v>0</v>
      </c>
      <c r="AB17" s="445">
        <f t="shared" si="3"/>
        <v>12.921103746518106</v>
      </c>
      <c r="AC17" s="452">
        <f t="shared" si="4"/>
        <v>0</v>
      </c>
      <c r="AD17" s="449"/>
      <c r="AE17" s="377" t="str">
        <f t="shared" si="7"/>
        <v/>
      </c>
    </row>
    <row r="18" spans="1:31" x14ac:dyDescent="0.2">
      <c r="A18" s="430" t="s">
        <v>1080</v>
      </c>
      <c r="B18" s="366">
        <v>2023</v>
      </c>
      <c r="C18" s="174"/>
      <c r="D18" s="378">
        <v>1795</v>
      </c>
      <c r="E18" s="379" t="s">
        <v>1084</v>
      </c>
      <c r="F18" s="370" t="s">
        <v>1083</v>
      </c>
      <c r="G18" s="371">
        <v>40</v>
      </c>
      <c r="H18" s="372">
        <v>8</v>
      </c>
      <c r="I18" s="372">
        <v>1162.5754999999999</v>
      </c>
      <c r="J18" s="373">
        <v>1162.5754999999999</v>
      </c>
      <c r="K18" s="372">
        <v>15</v>
      </c>
      <c r="L18" s="374">
        <v>284.17924999999997</v>
      </c>
      <c r="M18" s="359" t="s">
        <v>98</v>
      </c>
      <c r="N18" s="360">
        <f t="shared" si="5"/>
        <v>0</v>
      </c>
      <c r="O18" s="359" t="s">
        <v>98</v>
      </c>
      <c r="P18" s="360">
        <f t="shared" si="0"/>
        <v>0</v>
      </c>
      <c r="Q18" s="359" t="s">
        <v>98</v>
      </c>
      <c r="R18" s="360">
        <f t="shared" si="1"/>
        <v>0</v>
      </c>
      <c r="S18" s="361" t="s">
        <v>98</v>
      </c>
      <c r="T18" s="360">
        <f t="shared" si="2"/>
        <v>0</v>
      </c>
      <c r="U18" s="361"/>
      <c r="V18" s="360"/>
      <c r="W18" s="375">
        <v>0.33</v>
      </c>
      <c r="X18" s="890"/>
      <c r="Y18" s="892">
        <f t="shared" si="6"/>
        <v>1446.7547499999998</v>
      </c>
      <c r="Z18" s="376"/>
      <c r="AA18" s="360">
        <f t="shared" si="8"/>
        <v>0</v>
      </c>
      <c r="AB18" s="445">
        <f t="shared" si="3"/>
        <v>12.921103746518106</v>
      </c>
      <c r="AC18" s="452">
        <f t="shared" si="4"/>
        <v>0</v>
      </c>
      <c r="AD18" s="449"/>
      <c r="AE18" s="377" t="str">
        <f t="shared" si="7"/>
        <v/>
      </c>
    </row>
    <row r="19" spans="1:31" x14ac:dyDescent="0.2">
      <c r="A19" s="430" t="s">
        <v>1080</v>
      </c>
      <c r="B19" s="366">
        <v>2023</v>
      </c>
      <c r="C19" s="367"/>
      <c r="D19" s="368">
        <v>1795</v>
      </c>
      <c r="E19" s="369" t="s">
        <v>1069</v>
      </c>
      <c r="F19" s="370" t="s">
        <v>1085</v>
      </c>
      <c r="G19" s="371">
        <v>40</v>
      </c>
      <c r="H19" s="372">
        <v>8</v>
      </c>
      <c r="I19" s="372">
        <v>1130.0214999999998</v>
      </c>
      <c r="J19" s="373">
        <v>1130.0214999999998</v>
      </c>
      <c r="K19" s="372">
        <v>15</v>
      </c>
      <c r="L19" s="374">
        <v>278.75358333333332</v>
      </c>
      <c r="M19" s="359" t="s">
        <v>98</v>
      </c>
      <c r="N19" s="360">
        <f t="shared" si="5"/>
        <v>0</v>
      </c>
      <c r="O19" s="359" t="s">
        <v>98</v>
      </c>
      <c r="P19" s="360">
        <f t="shared" si="0"/>
        <v>0</v>
      </c>
      <c r="Q19" s="359" t="s">
        <v>98</v>
      </c>
      <c r="R19" s="360">
        <f t="shared" si="1"/>
        <v>0</v>
      </c>
      <c r="S19" s="361" t="s">
        <v>98</v>
      </c>
      <c r="T19" s="360">
        <f t="shared" si="2"/>
        <v>0</v>
      </c>
      <c r="U19" s="361"/>
      <c r="V19" s="360"/>
      <c r="W19" s="375">
        <v>0.33</v>
      </c>
      <c r="X19" s="890"/>
      <c r="Y19" s="892">
        <f t="shared" si="6"/>
        <v>1408.7750833333332</v>
      </c>
      <c r="Z19" s="376"/>
      <c r="AA19" s="360">
        <f t="shared" si="8"/>
        <v>0</v>
      </c>
      <c r="AB19" s="445">
        <f t="shared" si="3"/>
        <v>12.559291880222842</v>
      </c>
      <c r="AC19" s="452">
        <f t="shared" si="4"/>
        <v>0</v>
      </c>
      <c r="AD19" s="449"/>
      <c r="AE19" s="377" t="str">
        <f t="shared" si="7"/>
        <v/>
      </c>
    </row>
    <row r="20" spans="1:31" x14ac:dyDescent="0.2">
      <c r="A20" s="430" t="s">
        <v>1080</v>
      </c>
      <c r="B20" s="366">
        <v>2023</v>
      </c>
      <c r="C20" s="367"/>
      <c r="D20" s="368">
        <v>1795</v>
      </c>
      <c r="E20" s="369" t="s">
        <v>1073</v>
      </c>
      <c r="F20" s="370" t="s">
        <v>1086</v>
      </c>
      <c r="G20" s="371">
        <v>40</v>
      </c>
      <c r="H20" s="372">
        <v>8</v>
      </c>
      <c r="I20" s="372">
        <v>1122.375</v>
      </c>
      <c r="J20" s="373">
        <v>1122.375</v>
      </c>
      <c r="K20" s="372">
        <v>15</v>
      </c>
      <c r="L20" s="374">
        <v>277.47916666666669</v>
      </c>
      <c r="M20" s="359" t="s">
        <v>98</v>
      </c>
      <c r="N20" s="360">
        <f t="shared" si="5"/>
        <v>0</v>
      </c>
      <c r="O20" s="359" t="s">
        <v>98</v>
      </c>
      <c r="P20" s="360">
        <f t="shared" si="0"/>
        <v>0</v>
      </c>
      <c r="Q20" s="359" t="s">
        <v>98</v>
      </c>
      <c r="R20" s="360">
        <f t="shared" si="1"/>
        <v>0</v>
      </c>
      <c r="S20" s="361" t="s">
        <v>98</v>
      </c>
      <c r="T20" s="360">
        <f t="shared" si="2"/>
        <v>0</v>
      </c>
      <c r="U20" s="361"/>
      <c r="V20" s="360"/>
      <c r="W20" s="375">
        <v>0.33</v>
      </c>
      <c r="X20" s="890"/>
      <c r="Y20" s="892">
        <f t="shared" si="6"/>
        <v>1399.8541666666667</v>
      </c>
      <c r="Z20" s="376"/>
      <c r="AA20" s="360">
        <f t="shared" si="8"/>
        <v>0</v>
      </c>
      <c r="AB20" s="445">
        <f t="shared" si="3"/>
        <v>12.474307103064069</v>
      </c>
      <c r="AC20" s="452">
        <f t="shared" si="4"/>
        <v>0</v>
      </c>
      <c r="AD20" s="449"/>
      <c r="AE20" s="377" t="str">
        <f t="shared" si="7"/>
        <v/>
      </c>
    </row>
    <row r="21" spans="1:31" x14ac:dyDescent="0.2">
      <c r="A21" s="430" t="s">
        <v>1087</v>
      </c>
      <c r="B21" s="366">
        <v>2023</v>
      </c>
      <c r="C21" s="367"/>
      <c r="D21" s="368">
        <v>1795</v>
      </c>
      <c r="E21" s="369" t="s">
        <v>1063</v>
      </c>
      <c r="F21" s="370" t="s">
        <v>1064</v>
      </c>
      <c r="G21" s="371">
        <v>40</v>
      </c>
      <c r="H21" s="372">
        <v>8</v>
      </c>
      <c r="I21" s="372">
        <v>998.07324999999992</v>
      </c>
      <c r="J21" s="373">
        <v>998.07324999999992</v>
      </c>
      <c r="K21" s="372">
        <v>14</v>
      </c>
      <c r="L21" s="374">
        <v>249.51831249999998</v>
      </c>
      <c r="M21" s="359" t="s">
        <v>98</v>
      </c>
      <c r="N21" s="360">
        <f t="shared" si="5"/>
        <v>0</v>
      </c>
      <c r="O21" s="359" t="s">
        <v>98</v>
      </c>
      <c r="P21" s="360">
        <f t="shared" si="0"/>
        <v>0</v>
      </c>
      <c r="Q21" s="359" t="s">
        <v>98</v>
      </c>
      <c r="R21" s="360">
        <f t="shared" si="1"/>
        <v>0</v>
      </c>
      <c r="S21" s="361" t="s">
        <v>98</v>
      </c>
      <c r="T21" s="360">
        <f t="shared" si="2"/>
        <v>0</v>
      </c>
      <c r="U21" s="361"/>
      <c r="V21" s="360"/>
      <c r="W21" s="375">
        <v>0.33</v>
      </c>
      <c r="X21" s="890"/>
      <c r="Y21" s="892">
        <f t="shared" si="6"/>
        <v>1247.5915624999998</v>
      </c>
      <c r="Z21" s="376"/>
      <c r="AA21" s="360">
        <f t="shared" si="8"/>
        <v>0</v>
      </c>
      <c r="AB21" s="445">
        <f t="shared" si="3"/>
        <v>10.353272376044568</v>
      </c>
      <c r="AC21" s="452">
        <f t="shared" si="4"/>
        <v>0</v>
      </c>
      <c r="AD21" s="449"/>
      <c r="AE21" s="377" t="str">
        <f t="shared" si="7"/>
        <v/>
      </c>
    </row>
    <row r="22" spans="1:31" x14ac:dyDescent="0.2">
      <c r="A22" s="430" t="s">
        <v>1087</v>
      </c>
      <c r="B22" s="366">
        <v>2023</v>
      </c>
      <c r="C22" s="367"/>
      <c r="D22" s="368">
        <v>1795</v>
      </c>
      <c r="E22" s="369" t="s">
        <v>1065</v>
      </c>
      <c r="F22" s="370" t="s">
        <v>1066</v>
      </c>
      <c r="G22" s="371">
        <v>40</v>
      </c>
      <c r="H22" s="372">
        <v>8</v>
      </c>
      <c r="I22" s="372">
        <v>970.46999999999991</v>
      </c>
      <c r="J22" s="373">
        <v>970.46999999999991</v>
      </c>
      <c r="K22" s="372">
        <v>14</v>
      </c>
      <c r="L22" s="374">
        <v>242.61749999999998</v>
      </c>
      <c r="M22" s="359" t="s">
        <v>98</v>
      </c>
      <c r="N22" s="360">
        <f t="shared" si="5"/>
        <v>0</v>
      </c>
      <c r="O22" s="359" t="s">
        <v>98</v>
      </c>
      <c r="P22" s="360">
        <f t="shared" si="0"/>
        <v>0</v>
      </c>
      <c r="Q22" s="359" t="s">
        <v>98</v>
      </c>
      <c r="R22" s="360">
        <f t="shared" si="1"/>
        <v>0</v>
      </c>
      <c r="S22" s="361" t="s">
        <v>98</v>
      </c>
      <c r="T22" s="360">
        <f t="shared" si="2"/>
        <v>0</v>
      </c>
      <c r="U22" s="361"/>
      <c r="V22" s="360"/>
      <c r="W22" s="375">
        <v>0.33</v>
      </c>
      <c r="X22" s="890"/>
      <c r="Y22" s="892">
        <f t="shared" si="6"/>
        <v>1213.0874999999999</v>
      </c>
      <c r="Z22" s="376"/>
      <c r="AA22" s="360">
        <f t="shared" si="8"/>
        <v>0</v>
      </c>
      <c r="AB22" s="445">
        <f t="shared" si="3"/>
        <v>10.066936713091922</v>
      </c>
      <c r="AC22" s="452">
        <f t="shared" si="4"/>
        <v>0</v>
      </c>
      <c r="AD22" s="449"/>
      <c r="AE22" s="377" t="str">
        <f t="shared" si="7"/>
        <v/>
      </c>
    </row>
    <row r="23" spans="1:31" x14ac:dyDescent="0.2">
      <c r="A23" s="430" t="s">
        <v>1087</v>
      </c>
      <c r="B23" s="366">
        <v>2023</v>
      </c>
      <c r="C23" s="174"/>
      <c r="D23" s="378">
        <v>1795</v>
      </c>
      <c r="E23" s="379" t="s">
        <v>1067</v>
      </c>
      <c r="F23" s="370" t="s">
        <v>1068</v>
      </c>
      <c r="G23" s="371">
        <v>40</v>
      </c>
      <c r="H23" s="372">
        <v>8</v>
      </c>
      <c r="I23" s="372">
        <v>961.64474999999993</v>
      </c>
      <c r="J23" s="373">
        <v>961.64474999999993</v>
      </c>
      <c r="K23" s="372">
        <v>14</v>
      </c>
      <c r="L23" s="374">
        <v>240.41118749999998</v>
      </c>
      <c r="M23" s="359" t="s">
        <v>98</v>
      </c>
      <c r="N23" s="360">
        <f t="shared" si="5"/>
        <v>0</v>
      </c>
      <c r="O23" s="359" t="s">
        <v>98</v>
      </c>
      <c r="P23" s="360">
        <f t="shared" si="0"/>
        <v>0</v>
      </c>
      <c r="Q23" s="359" t="s">
        <v>98</v>
      </c>
      <c r="R23" s="360">
        <f t="shared" si="1"/>
        <v>0</v>
      </c>
      <c r="S23" s="361" t="s">
        <v>98</v>
      </c>
      <c r="T23" s="360">
        <f t="shared" si="2"/>
        <v>0</v>
      </c>
      <c r="U23" s="361"/>
      <c r="V23" s="360"/>
      <c r="W23" s="375">
        <v>0.33</v>
      </c>
      <c r="X23" s="890"/>
      <c r="Y23" s="892">
        <f t="shared" si="6"/>
        <v>1202.0559374999998</v>
      </c>
      <c r="Z23" s="376"/>
      <c r="AA23" s="360">
        <f t="shared" si="8"/>
        <v>0</v>
      </c>
      <c r="AB23" s="445">
        <f t="shared" si="3"/>
        <v>9.9753901086350982</v>
      </c>
      <c r="AC23" s="452">
        <f t="shared" si="4"/>
        <v>0</v>
      </c>
      <c r="AD23" s="449"/>
      <c r="AE23" s="377" t="str">
        <f t="shared" si="7"/>
        <v/>
      </c>
    </row>
    <row r="24" spans="1:31" x14ac:dyDescent="0.2">
      <c r="A24" s="430" t="s">
        <v>1087</v>
      </c>
      <c r="B24" s="366">
        <v>2023</v>
      </c>
      <c r="C24" s="367"/>
      <c r="D24" s="368">
        <v>1795</v>
      </c>
      <c r="E24" s="369" t="s">
        <v>1069</v>
      </c>
      <c r="F24" s="370" t="s">
        <v>1070</v>
      </c>
      <c r="G24" s="371">
        <v>40</v>
      </c>
      <c r="H24" s="372">
        <v>8</v>
      </c>
      <c r="I24" s="372">
        <v>961.64474999999993</v>
      </c>
      <c r="J24" s="373">
        <v>961.64474999999993</v>
      </c>
      <c r="K24" s="372">
        <v>14</v>
      </c>
      <c r="L24" s="374">
        <v>240.41118749999998</v>
      </c>
      <c r="M24" s="359" t="s">
        <v>98</v>
      </c>
      <c r="N24" s="360">
        <f t="shared" si="5"/>
        <v>0</v>
      </c>
      <c r="O24" s="359" t="s">
        <v>98</v>
      </c>
      <c r="P24" s="360">
        <f t="shared" si="0"/>
        <v>0</v>
      </c>
      <c r="Q24" s="359" t="s">
        <v>98</v>
      </c>
      <c r="R24" s="360">
        <f t="shared" si="1"/>
        <v>0</v>
      </c>
      <c r="S24" s="361" t="s">
        <v>98</v>
      </c>
      <c r="T24" s="360">
        <f t="shared" si="2"/>
        <v>0</v>
      </c>
      <c r="U24" s="361"/>
      <c r="V24" s="360"/>
      <c r="W24" s="375">
        <v>0.33</v>
      </c>
      <c r="X24" s="890"/>
      <c r="Y24" s="892">
        <f t="shared" si="6"/>
        <v>1202.0559374999998</v>
      </c>
      <c r="Z24" s="376"/>
      <c r="AA24" s="360">
        <f t="shared" si="8"/>
        <v>0</v>
      </c>
      <c r="AB24" s="445">
        <f t="shared" si="3"/>
        <v>9.9753901086350982</v>
      </c>
      <c r="AC24" s="452">
        <f t="shared" si="4"/>
        <v>0</v>
      </c>
      <c r="AD24" s="449"/>
      <c r="AE24" s="377" t="str">
        <f t="shared" si="7"/>
        <v/>
      </c>
    </row>
    <row r="25" spans="1:31" ht="13.5" thickBot="1" x14ac:dyDescent="0.25">
      <c r="A25" s="431" t="s">
        <v>1087</v>
      </c>
      <c r="B25" s="432">
        <v>2019</v>
      </c>
      <c r="C25" s="433"/>
      <c r="D25" s="434">
        <v>1795</v>
      </c>
      <c r="E25" s="435" t="s">
        <v>1073</v>
      </c>
      <c r="F25" s="436" t="s">
        <v>1072</v>
      </c>
      <c r="G25" s="437">
        <v>40</v>
      </c>
      <c r="H25" s="438">
        <v>8</v>
      </c>
      <c r="I25" s="438">
        <v>961.64474999999993</v>
      </c>
      <c r="J25" s="439">
        <v>961.64474999999993</v>
      </c>
      <c r="K25" s="438">
        <v>14</v>
      </c>
      <c r="L25" s="440">
        <v>240.41118749999998</v>
      </c>
      <c r="M25" s="441" t="s">
        <v>98</v>
      </c>
      <c r="N25" s="380">
        <f t="shared" si="5"/>
        <v>0</v>
      </c>
      <c r="O25" s="441" t="s">
        <v>98</v>
      </c>
      <c r="P25" s="380">
        <f t="shared" si="0"/>
        <v>0</v>
      </c>
      <c r="Q25" s="441" t="s">
        <v>98</v>
      </c>
      <c r="R25" s="380">
        <f t="shared" si="1"/>
        <v>0</v>
      </c>
      <c r="S25" s="442" t="s">
        <v>98</v>
      </c>
      <c r="T25" s="380">
        <f t="shared" si="2"/>
        <v>0</v>
      </c>
      <c r="U25" s="442"/>
      <c r="V25" s="380"/>
      <c r="W25" s="381">
        <v>0.33</v>
      </c>
      <c r="X25" s="891"/>
      <c r="Y25" s="893">
        <f t="shared" si="6"/>
        <v>1202.0559374999998</v>
      </c>
      <c r="Z25" s="382"/>
      <c r="AA25" s="380">
        <f>IF(Z25="SI",IFERROR(31.77/AD25,""),0)</f>
        <v>0</v>
      </c>
      <c r="AB25" s="446">
        <f t="shared" si="3"/>
        <v>9.9753901086350982</v>
      </c>
      <c r="AC25" s="453">
        <f t="shared" si="4"/>
        <v>0</v>
      </c>
      <c r="AD25" s="450"/>
      <c r="AE25" s="383" t="str">
        <f t="shared" si="7"/>
        <v/>
      </c>
    </row>
    <row r="29" spans="1:31" x14ac:dyDescent="0.2">
      <c r="H29" s="385"/>
    </row>
    <row r="31" spans="1:31" x14ac:dyDescent="0.2">
      <c r="K31" s="386"/>
    </row>
    <row r="32" spans="1:31" x14ac:dyDescent="0.2">
      <c r="K32" s="386"/>
    </row>
    <row r="33" spans="11:11" x14ac:dyDescent="0.2">
      <c r="K33" s="386"/>
    </row>
    <row r="34" spans="11:11" x14ac:dyDescent="0.2">
      <c r="K34" s="386"/>
    </row>
  </sheetData>
  <autoFilter ref="A2:AE25" xr:uid="{7A860EC7-823D-42AF-AF8E-0A66EAFF7208}"/>
  <mergeCells count="7">
    <mergeCell ref="Z2:AA2"/>
    <mergeCell ref="M2:N2"/>
    <mergeCell ref="O2:P2"/>
    <mergeCell ref="Q2:R2"/>
    <mergeCell ref="S2:T2"/>
    <mergeCell ref="X2:Y2"/>
    <mergeCell ref="U2:V2"/>
  </mergeCells>
  <dataValidations count="1">
    <dataValidation type="list" allowBlank="1" showInputMessage="1" showErrorMessage="1" sqref="Z3:Z25 O3:O25 Q3:Q25 S3:S25 M3:M25" xr:uid="{FDEED76A-15D6-4FB1-8CC9-4D2A8140C33C}">
      <formula1>"SI,NO"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9B74D-9AC4-4ABA-BD99-D86748D0A778}">
  <sheetPr codeName="Hoja6">
    <tabColor theme="9" tint="-0.249977111117893"/>
  </sheetPr>
  <dimension ref="B1:DB413"/>
  <sheetViews>
    <sheetView topLeftCell="X1" zoomScale="85" zoomScaleNormal="85" workbookViewId="0">
      <selection activeCell="AP3" sqref="AP3:AP22"/>
    </sheetView>
  </sheetViews>
  <sheetFormatPr baseColWidth="10" defaultColWidth="11.42578125" defaultRowHeight="12.75" x14ac:dyDescent="0.2"/>
  <cols>
    <col min="1" max="1" width="2.42578125" style="96" customWidth="1"/>
    <col min="2" max="3" width="19.42578125" style="96" customWidth="1"/>
    <col min="4" max="4" width="1" style="96" customWidth="1"/>
    <col min="5" max="5" width="19.42578125" style="96" customWidth="1"/>
    <col min="6" max="6" width="0.5703125" style="96" customWidth="1"/>
    <col min="7" max="7" width="19.42578125" style="96" customWidth="1"/>
    <col min="8" max="8" width="0.5703125" style="96" customWidth="1"/>
    <col min="9" max="10" width="19.42578125" style="96" customWidth="1"/>
    <col min="11" max="11" width="1" style="96" customWidth="1"/>
    <col min="12" max="12" width="19.42578125" style="96" customWidth="1"/>
    <col min="13" max="13" width="0.5703125" style="96" customWidth="1"/>
    <col min="14" max="14" width="19.42578125" style="265" customWidth="1"/>
    <col min="15" max="15" width="1.42578125" style="265" customWidth="1"/>
    <col min="16" max="16" width="8.42578125" style="265" customWidth="1"/>
    <col min="17" max="21" width="10.5703125" style="265"/>
    <col min="22" max="23" width="11.42578125" style="265"/>
    <col min="24" max="24" width="1.42578125" style="265" customWidth="1"/>
    <col min="25" max="25" width="13.42578125" style="265" customWidth="1"/>
    <col min="26" max="26" width="5.5703125" style="266" customWidth="1"/>
    <col min="27" max="27" width="1.42578125" style="96" customWidth="1"/>
    <col min="28" max="28" width="19.42578125" style="265" customWidth="1"/>
    <col min="29" max="29" width="1.42578125" style="96" customWidth="1"/>
    <col min="30" max="30" width="19.42578125" style="265" customWidth="1"/>
    <col min="31" max="31" width="1.42578125" style="96" customWidth="1"/>
    <col min="32" max="32" width="19.42578125" style="265" customWidth="1"/>
    <col min="33" max="33" width="1.42578125" style="96" customWidth="1"/>
    <col min="34" max="34" width="19.42578125" style="265" customWidth="1"/>
    <col min="35" max="35" width="1.42578125" style="96" customWidth="1"/>
    <col min="36" max="36" width="19.42578125" style="265" customWidth="1"/>
    <col min="37" max="37" width="1.42578125" style="96" customWidth="1"/>
    <col min="38" max="38" width="19.42578125" style="265" customWidth="1"/>
    <col min="39" max="39" width="1.42578125" style="96" customWidth="1"/>
    <col min="40" max="40" width="19.42578125" style="265" customWidth="1"/>
    <col min="41" max="41" width="1.42578125" style="96" customWidth="1"/>
    <col min="42" max="42" width="19.42578125" style="265" customWidth="1"/>
    <col min="43" max="43" width="1.42578125" style="96" customWidth="1"/>
    <col min="44" max="44" width="19.42578125" style="265" customWidth="1"/>
    <col min="45" max="45" width="1.42578125" style="96" customWidth="1"/>
    <col min="46" max="46" width="19.42578125" style="265" customWidth="1"/>
    <col min="47" max="47" width="2.5703125" style="96" customWidth="1"/>
    <col min="48" max="48" width="32.5703125" style="267" customWidth="1"/>
    <col min="49" max="49" width="11" style="267" customWidth="1"/>
    <col min="50" max="50" width="2.5703125" style="96" customWidth="1"/>
    <col min="51" max="51" width="32.5703125" style="267" customWidth="1"/>
    <col min="52" max="52" width="11" style="267" customWidth="1"/>
    <col min="53" max="53" width="2.5703125" style="96" customWidth="1"/>
    <col min="54" max="54" width="32.5703125" style="267" customWidth="1"/>
    <col min="55" max="55" width="11" style="267" customWidth="1"/>
    <col min="56" max="56" width="2.5703125" style="96" customWidth="1"/>
    <col min="57" max="57" width="32.5703125" style="267" customWidth="1"/>
    <col min="58" max="58" width="2.5703125" style="96" customWidth="1"/>
    <col min="59" max="59" width="45.140625" style="267" customWidth="1"/>
    <col min="60" max="60" width="2.5703125" style="96" customWidth="1"/>
    <col min="61" max="61" width="32.5703125" style="267" customWidth="1"/>
    <col min="62" max="62" width="2.5703125" style="96" customWidth="1"/>
    <col min="63" max="63" width="32.5703125" style="267" customWidth="1"/>
    <col min="64" max="64" width="2.5703125" style="96" customWidth="1"/>
    <col min="65" max="65" width="32.5703125" style="267" customWidth="1"/>
    <col min="66" max="66" width="2.5703125" style="96" customWidth="1"/>
    <col min="67" max="67" width="32.5703125" style="267" customWidth="1"/>
    <col min="68" max="68" width="2.5703125" style="96" customWidth="1"/>
    <col min="69" max="69" width="32.5703125" style="267" customWidth="1"/>
    <col min="70" max="70" width="2.5703125" style="96" customWidth="1"/>
    <col min="71" max="71" width="32.5703125" style="267" customWidth="1"/>
    <col min="72" max="72" width="2.5703125" style="96" customWidth="1"/>
    <col min="73" max="73" width="32.5703125" style="267" customWidth="1"/>
    <col min="74" max="74" width="2.5703125" style="96" customWidth="1"/>
    <col min="75" max="75" width="32.5703125" style="267" customWidth="1"/>
    <col min="76" max="76" width="2.5703125" style="96" customWidth="1"/>
    <col min="77" max="77" width="32.5703125" style="267" customWidth="1"/>
    <col min="78" max="78" width="2.5703125" style="96" customWidth="1"/>
    <col min="79" max="79" width="32.5703125" style="267" customWidth="1"/>
    <col min="80" max="80" width="2.5703125" style="96" customWidth="1"/>
    <col min="81" max="81" width="32.5703125" style="267" customWidth="1"/>
    <col min="82" max="82" width="2.5703125" style="96" customWidth="1"/>
    <col min="83" max="83" width="32.5703125" style="267" customWidth="1"/>
    <col min="84" max="84" width="3.42578125" style="96" customWidth="1"/>
    <col min="85" max="85" width="32.5703125" style="267" customWidth="1"/>
    <col min="86" max="86" width="19.5703125" style="268" customWidth="1"/>
    <col min="87" max="87" width="17.42578125" style="268" customWidth="1"/>
    <col min="88" max="88" width="15.5703125" style="268" customWidth="1"/>
    <col min="89" max="90" width="13.42578125" style="268" customWidth="1"/>
    <col min="91" max="95" width="13.42578125" style="518" customWidth="1"/>
    <col min="96" max="96" width="13.42578125" style="548" customWidth="1"/>
    <col min="97" max="97" width="3.42578125" style="96" customWidth="1"/>
    <col min="98" max="98" width="18" style="96" customWidth="1"/>
    <col min="99" max="100" width="11.42578125" style="620"/>
    <col min="101" max="101" width="11.42578125" style="96"/>
    <col min="102" max="102" width="11.42578125" style="96" customWidth="1"/>
    <col min="103" max="103" width="28.42578125" style="96" customWidth="1"/>
    <col min="104" max="104" width="11.42578125" style="96"/>
    <col min="105" max="105" width="28.42578125" style="96" customWidth="1"/>
    <col min="106" max="106" width="11.42578125" style="505"/>
    <col min="107" max="16384" width="11.42578125" style="96"/>
  </cols>
  <sheetData>
    <row r="1" spans="2:104" x14ac:dyDescent="0.2">
      <c r="I1" s="1087" t="s">
        <v>1088</v>
      </c>
      <c r="J1" s="1088"/>
      <c r="AU1" s="504" t="s">
        <v>1089</v>
      </c>
    </row>
    <row r="2" spans="2:104" ht="33.75" customHeight="1" x14ac:dyDescent="0.2">
      <c r="B2" s="269" t="s">
        <v>1090</v>
      </c>
      <c r="C2" s="269" t="s">
        <v>1091</v>
      </c>
      <c r="E2" s="269" t="s">
        <v>1092</v>
      </c>
      <c r="G2" s="269" t="s">
        <v>1093</v>
      </c>
      <c r="I2" s="269" t="s">
        <v>1094</v>
      </c>
      <c r="J2" s="269" t="s">
        <v>1091</v>
      </c>
      <c r="L2" s="269" t="s">
        <v>1095</v>
      </c>
      <c r="N2" s="270" t="s">
        <v>1096</v>
      </c>
      <c r="P2" s="271" t="s">
        <v>135</v>
      </c>
      <c r="Q2" s="271" t="s">
        <v>1097</v>
      </c>
      <c r="R2" s="271" t="s">
        <v>1098</v>
      </c>
      <c r="S2" s="271" t="s">
        <v>1099</v>
      </c>
      <c r="T2" s="271" t="s">
        <v>1100</v>
      </c>
      <c r="U2" s="271" t="s">
        <v>1101</v>
      </c>
      <c r="V2" s="271" t="s">
        <v>1102</v>
      </c>
      <c r="W2" s="271" t="s">
        <v>1103</v>
      </c>
      <c r="Y2" s="271" t="s">
        <v>1104</v>
      </c>
      <c r="Z2" s="271" t="s">
        <v>1105</v>
      </c>
      <c r="AB2" s="270" t="s">
        <v>1106</v>
      </c>
      <c r="AD2" s="270" t="s">
        <v>1107</v>
      </c>
      <c r="AF2" s="270" t="s">
        <v>1187</v>
      </c>
      <c r="AH2" s="270" t="s">
        <v>2255</v>
      </c>
      <c r="AJ2" s="270" t="s">
        <v>2254</v>
      </c>
      <c r="AL2" s="270" t="s">
        <v>2342</v>
      </c>
      <c r="AN2" s="270" t="s">
        <v>1108</v>
      </c>
      <c r="AP2" s="270" t="s">
        <v>1232</v>
      </c>
      <c r="AR2" s="270" t="s">
        <v>1109</v>
      </c>
      <c r="AT2" s="272" t="s">
        <v>1110</v>
      </c>
      <c r="AV2" s="272" t="s">
        <v>1111</v>
      </c>
      <c r="AW2" s="272" t="s">
        <v>1112</v>
      </c>
      <c r="AY2" s="272" t="s">
        <v>287</v>
      </c>
      <c r="AZ2" s="272" t="s">
        <v>1112</v>
      </c>
      <c r="BB2" s="272" t="s">
        <v>1113</v>
      </c>
      <c r="BC2" s="272" t="s">
        <v>1112</v>
      </c>
      <c r="BE2" s="273" t="s">
        <v>1114</v>
      </c>
      <c r="BG2" s="273" t="s">
        <v>1115</v>
      </c>
      <c r="BI2" s="273" t="s">
        <v>1116</v>
      </c>
      <c r="BK2" s="273" t="s">
        <v>1117</v>
      </c>
      <c r="BM2" s="273" t="s">
        <v>1118</v>
      </c>
      <c r="BO2" s="273" t="s">
        <v>1119</v>
      </c>
      <c r="BQ2" s="273" t="s">
        <v>1120</v>
      </c>
      <c r="BS2" s="273" t="s">
        <v>1121</v>
      </c>
      <c r="BU2" s="273" t="s">
        <v>1122</v>
      </c>
      <c r="BW2" s="273" t="s">
        <v>1123</v>
      </c>
      <c r="BY2" s="273" t="s">
        <v>1124</v>
      </c>
      <c r="CA2" s="273" t="s">
        <v>1125</v>
      </c>
      <c r="CC2" s="274" t="s">
        <v>1126</v>
      </c>
      <c r="CE2" s="274" t="s">
        <v>1127</v>
      </c>
      <c r="CG2" s="542" t="s">
        <v>295</v>
      </c>
      <c r="CH2" s="543" t="s">
        <v>1128</v>
      </c>
      <c r="CI2" s="543" t="s">
        <v>105</v>
      </c>
      <c r="CJ2" s="543" t="s">
        <v>1129</v>
      </c>
      <c r="CK2" s="543" t="s">
        <v>1130</v>
      </c>
      <c r="CL2" s="543" t="s">
        <v>1131</v>
      </c>
      <c r="CM2" s="544" t="s">
        <v>151</v>
      </c>
      <c r="CN2" s="544" t="s">
        <v>1132</v>
      </c>
      <c r="CO2" s="544" t="s">
        <v>1133</v>
      </c>
      <c r="CP2" s="544" t="s">
        <v>1134</v>
      </c>
      <c r="CQ2" s="544" t="s">
        <v>53</v>
      </c>
      <c r="CR2" s="549" t="s">
        <v>128</v>
      </c>
      <c r="CS2" s="504"/>
      <c r="CT2" s="293" t="s">
        <v>1135</v>
      </c>
      <c r="CU2" s="621" t="s">
        <v>1136</v>
      </c>
      <c r="CV2" s="293" t="s">
        <v>1137</v>
      </c>
      <c r="CW2" s="293" t="s">
        <v>1138</v>
      </c>
    </row>
    <row r="3" spans="2:104" ht="15" x14ac:dyDescent="0.25">
      <c r="B3" s="285" t="s">
        <v>1139</v>
      </c>
      <c r="C3" s="285" t="s">
        <v>1140</v>
      </c>
      <c r="E3" s="275" t="s">
        <v>1010</v>
      </c>
      <c r="G3" s="275" t="s">
        <v>1141</v>
      </c>
      <c r="I3" s="275" t="s">
        <v>1106</v>
      </c>
      <c r="J3" s="275" t="s">
        <v>1142</v>
      </c>
      <c r="L3" s="275" t="s">
        <v>1143</v>
      </c>
      <c r="N3" s="275" t="s">
        <v>2341</v>
      </c>
      <c r="P3" s="276">
        <v>45230</v>
      </c>
      <c r="Q3" s="275">
        <v>20</v>
      </c>
      <c r="R3" s="275">
        <v>20</v>
      </c>
      <c r="S3" s="275">
        <v>31</v>
      </c>
      <c r="T3" s="275">
        <v>20</v>
      </c>
      <c r="U3" s="275">
        <v>22</v>
      </c>
      <c r="V3" s="275"/>
      <c r="W3" s="275"/>
      <c r="Y3" s="275" t="s">
        <v>1145</v>
      </c>
      <c r="Z3" s="277">
        <v>3</v>
      </c>
      <c r="AB3" s="278" t="s">
        <v>1065</v>
      </c>
      <c r="AD3" s="278" t="s">
        <v>1065</v>
      </c>
      <c r="AF3" s="278" t="s">
        <v>1063</v>
      </c>
      <c r="AH3" s="278" t="s">
        <v>2303</v>
      </c>
      <c r="AJ3" s="278" t="s">
        <v>1063</v>
      </c>
      <c r="AL3" s="278" t="s">
        <v>1063</v>
      </c>
      <c r="AN3" s="278" t="s">
        <v>1146</v>
      </c>
      <c r="AP3" s="278" t="s">
        <v>1063</v>
      </c>
      <c r="AR3" s="278" t="s">
        <v>1065</v>
      </c>
      <c r="AT3" s="278" t="s">
        <v>1065</v>
      </c>
      <c r="AV3" s="278" t="s">
        <v>1147</v>
      </c>
      <c r="AW3" s="279">
        <v>0.06</v>
      </c>
      <c r="AY3" s="278" t="s">
        <v>1148</v>
      </c>
      <c r="AZ3" s="279">
        <v>5.36</v>
      </c>
      <c r="BB3" s="278" t="s">
        <v>1149</v>
      </c>
      <c r="BC3" s="280"/>
      <c r="BE3" s="278" t="s">
        <v>1150</v>
      </c>
      <c r="BG3" s="278" t="s">
        <v>1151</v>
      </c>
      <c r="BI3" s="278" t="s">
        <v>596</v>
      </c>
      <c r="BK3" s="278"/>
      <c r="BM3" s="278"/>
      <c r="BO3" s="278" t="s">
        <v>1152</v>
      </c>
      <c r="BQ3" s="278" t="s">
        <v>730</v>
      </c>
      <c r="BS3" s="278" t="s">
        <v>1153</v>
      </c>
      <c r="BU3" s="278" t="s">
        <v>1154</v>
      </c>
      <c r="BW3" s="278"/>
      <c r="BY3" s="278" t="s">
        <v>1155</v>
      </c>
      <c r="CA3" s="278" t="s">
        <v>1156</v>
      </c>
      <c r="CC3" s="278" t="s">
        <v>1157</v>
      </c>
      <c r="CE3" s="278" t="s">
        <v>1158</v>
      </c>
      <c r="CG3" s="278" t="s">
        <v>1151</v>
      </c>
      <c r="CH3" s="281" t="str">
        <f t="shared" ref="CH3:CH34" si="0">IFERROR(VLOOKUP(CI3,controller,3,FALSE),0)</f>
        <v>ESG46188041</v>
      </c>
      <c r="CI3" s="281">
        <v>29359</v>
      </c>
      <c r="CJ3" s="507">
        <v>47</v>
      </c>
      <c r="CK3" s="506">
        <v>2.61</v>
      </c>
      <c r="CL3" s="506"/>
      <c r="CM3" s="519">
        <f>IFERROR(VLOOKUP(CI3,'calculo_abs.'!$E$2:$F$280,2,FALSE),"sin dato")</f>
        <v>0.25816251034210747</v>
      </c>
      <c r="CN3" s="545">
        <v>6148</v>
      </c>
      <c r="CO3" s="545">
        <v>7340.99</v>
      </c>
      <c r="CP3" s="545">
        <v>4755.3975052000014</v>
      </c>
      <c r="CQ3" s="545">
        <f t="shared" ref="CQ3:CQ34" si="1">+CO3+CP3</f>
        <v>12096.3875052</v>
      </c>
      <c r="CR3" s="545">
        <f t="shared" ref="CR3:CR43" si="2">IFERROR(CQ3/CN3,0)</f>
        <v>1.9675321251138582</v>
      </c>
      <c r="CT3" s="294" t="s">
        <v>1159</v>
      </c>
      <c r="CU3" s="622">
        <v>29.03</v>
      </c>
      <c r="CV3" s="282">
        <v>1.31</v>
      </c>
      <c r="CW3" s="282">
        <v>0.56000000000000005</v>
      </c>
      <c r="CX3" s="547">
        <v>53473</v>
      </c>
      <c r="CY3" s="546" t="s">
        <v>1160</v>
      </c>
      <c r="CZ3" s="546">
        <v>2015297.07</v>
      </c>
    </row>
    <row r="4" spans="2:104" ht="15" x14ac:dyDescent="0.25">
      <c r="B4" s="285" t="s">
        <v>233</v>
      </c>
      <c r="C4" s="285" t="s">
        <v>1161</v>
      </c>
      <c r="E4" s="275" t="s">
        <v>1162</v>
      </c>
      <c r="G4" s="275" t="s">
        <v>1163</v>
      </c>
      <c r="I4" s="275" t="s">
        <v>1107</v>
      </c>
      <c r="J4" s="275" t="s">
        <v>1164</v>
      </c>
      <c r="L4" s="275" t="s">
        <v>1165</v>
      </c>
      <c r="N4" s="275" t="s">
        <v>1144</v>
      </c>
      <c r="P4" s="276">
        <f>EOMONTH(P3,1)</f>
        <v>45260</v>
      </c>
      <c r="Q4" s="275">
        <v>21</v>
      </c>
      <c r="R4" s="275">
        <v>21</v>
      </c>
      <c r="S4" s="275">
        <v>30</v>
      </c>
      <c r="T4" s="275">
        <v>22</v>
      </c>
      <c r="U4" s="275">
        <v>22</v>
      </c>
      <c r="V4" s="275"/>
      <c r="W4" s="275"/>
      <c r="Y4" s="275" t="s">
        <v>1167</v>
      </c>
      <c r="Z4" s="277">
        <v>2</v>
      </c>
      <c r="AB4" s="278" t="s">
        <v>1168</v>
      </c>
      <c r="AD4" s="278" t="s">
        <v>1168</v>
      </c>
      <c r="AF4" s="278" t="s">
        <v>1065</v>
      </c>
      <c r="AH4" s="278" t="s">
        <v>1063</v>
      </c>
      <c r="AJ4" s="278" t="s">
        <v>2268</v>
      </c>
      <c r="AL4" s="278" t="s">
        <v>2328</v>
      </c>
      <c r="AN4" s="278" t="s">
        <v>1069</v>
      </c>
      <c r="AP4" s="278" t="s">
        <v>1065</v>
      </c>
      <c r="AR4" s="278" t="s">
        <v>1168</v>
      </c>
      <c r="AT4" s="278" t="s">
        <v>1071</v>
      </c>
      <c r="AV4" s="278" t="s">
        <v>1169</v>
      </c>
      <c r="AW4" s="279">
        <v>3.1E-2</v>
      </c>
      <c r="AY4" s="278" t="s">
        <v>1170</v>
      </c>
      <c r="AZ4" s="279">
        <v>0</v>
      </c>
      <c r="BB4" s="278" t="s">
        <v>1171</v>
      </c>
      <c r="BC4" s="280">
        <v>1</v>
      </c>
      <c r="BE4" s="278" t="s">
        <v>1172</v>
      </c>
      <c r="BG4" s="278" t="s">
        <v>1173</v>
      </c>
      <c r="BI4" s="278" t="s">
        <v>1174</v>
      </c>
      <c r="BK4" s="278"/>
      <c r="BM4" s="278"/>
      <c r="BO4" s="278" t="s">
        <v>1175</v>
      </c>
      <c r="BQ4" s="278" t="s">
        <v>1176</v>
      </c>
      <c r="BS4" s="278" t="s">
        <v>1177</v>
      </c>
      <c r="BU4" s="278" t="s">
        <v>1178</v>
      </c>
      <c r="BW4" s="278"/>
      <c r="BY4" s="278" t="s">
        <v>1179</v>
      </c>
      <c r="CA4" s="278" t="s">
        <v>1180</v>
      </c>
      <c r="CC4" s="278" t="s">
        <v>1181</v>
      </c>
      <c r="CE4" s="278" t="s">
        <v>1182</v>
      </c>
      <c r="CG4" s="278" t="s">
        <v>1154</v>
      </c>
      <c r="CH4" s="281" t="str">
        <f t="shared" si="0"/>
        <v>12007395</v>
      </c>
      <c r="CI4" s="281">
        <v>29343</v>
      </c>
      <c r="CJ4" s="507">
        <v>40.65</v>
      </c>
      <c r="CK4" s="506">
        <v>2.59</v>
      </c>
      <c r="CL4" s="506"/>
      <c r="CM4" s="519">
        <f>IFERROR(VLOOKUP(CI4,'calculo_abs.'!$E$2:$F$280,2,FALSE),"sin dato")</f>
        <v>0</v>
      </c>
      <c r="CN4" s="545">
        <v>6035</v>
      </c>
      <c r="CO4" s="545">
        <v>4993.18</v>
      </c>
      <c r="CP4" s="545">
        <v>1350</v>
      </c>
      <c r="CQ4" s="545">
        <f t="shared" si="1"/>
        <v>6343.18</v>
      </c>
      <c r="CR4" s="545">
        <f t="shared" si="2"/>
        <v>1.0510654515327258</v>
      </c>
      <c r="CT4" s="294" t="s">
        <v>1183</v>
      </c>
      <c r="CU4" s="622">
        <v>36</v>
      </c>
      <c r="CV4" s="282">
        <v>1.32</v>
      </c>
      <c r="CW4" s="282"/>
      <c r="CX4" s="547">
        <v>53473</v>
      </c>
      <c r="CY4" s="546" t="s">
        <v>1184</v>
      </c>
      <c r="CZ4" s="546">
        <v>1956504.93</v>
      </c>
    </row>
    <row r="5" spans="2:104" ht="15" x14ac:dyDescent="0.25">
      <c r="B5" s="285" t="s">
        <v>287</v>
      </c>
      <c r="C5" s="285" t="s">
        <v>1185</v>
      </c>
      <c r="E5" s="275" t="s">
        <v>1011</v>
      </c>
      <c r="G5" s="275" t="s">
        <v>1186</v>
      </c>
      <c r="I5" s="275" t="s">
        <v>1187</v>
      </c>
      <c r="J5" s="275" t="s">
        <v>1188</v>
      </c>
      <c r="L5" s="275" t="s">
        <v>1189</v>
      </c>
      <c r="N5" s="275" t="s">
        <v>1166</v>
      </c>
      <c r="P5" s="276">
        <f t="shared" ref="P5:P41" si="3">EOMONTH(P4,1)</f>
        <v>45291</v>
      </c>
      <c r="Q5" s="275">
        <v>18</v>
      </c>
      <c r="R5" s="275">
        <v>18</v>
      </c>
      <c r="S5" s="275">
        <v>31</v>
      </c>
      <c r="T5" s="275">
        <v>18</v>
      </c>
      <c r="U5" s="275">
        <v>21</v>
      </c>
      <c r="V5" s="275"/>
      <c r="W5" s="275"/>
      <c r="Y5" s="275" t="s">
        <v>1191</v>
      </c>
      <c r="Z5" s="277">
        <v>4</v>
      </c>
      <c r="AB5" s="278" t="s">
        <v>1069</v>
      </c>
      <c r="AD5" s="278" t="s">
        <v>1069</v>
      </c>
      <c r="AF5" s="278" t="s">
        <v>2308</v>
      </c>
      <c r="AH5" s="278" t="s">
        <v>1067</v>
      </c>
      <c r="AJ5" s="278" t="s">
        <v>1065</v>
      </c>
      <c r="AL5" s="278" t="s">
        <v>2329</v>
      </c>
      <c r="AN5" s="278" t="s">
        <v>1067</v>
      </c>
      <c r="AP5" s="278" t="s">
        <v>1067</v>
      </c>
      <c r="AR5" s="278" t="s">
        <v>1069</v>
      </c>
      <c r="AT5" s="278" t="s">
        <v>1069</v>
      </c>
      <c r="AV5" s="278" t="s">
        <v>1192</v>
      </c>
      <c r="AW5" s="279">
        <v>3.1E-2</v>
      </c>
      <c r="AY5" s="278" t="s">
        <v>224</v>
      </c>
      <c r="AZ5" s="279">
        <v>0</v>
      </c>
      <c r="BB5" s="278" t="s">
        <v>1193</v>
      </c>
      <c r="BC5" s="280">
        <v>1</v>
      </c>
      <c r="BE5" s="278" t="s">
        <v>1194</v>
      </c>
      <c r="BG5" s="278" t="s">
        <v>1195</v>
      </c>
      <c r="BI5" s="278" t="s">
        <v>1196</v>
      </c>
      <c r="BK5" s="278"/>
      <c r="BM5" s="278"/>
      <c r="BO5" s="278" t="s">
        <v>1197</v>
      </c>
      <c r="BQ5" s="278" t="s">
        <v>1198</v>
      </c>
      <c r="BS5" s="278" t="s">
        <v>1199</v>
      </c>
      <c r="BU5" s="278" t="s">
        <v>791</v>
      </c>
      <c r="BW5" s="278"/>
      <c r="BY5" s="278" t="s">
        <v>1200</v>
      </c>
      <c r="CA5" s="278" t="s">
        <v>1201</v>
      </c>
      <c r="CC5" s="278" t="s">
        <v>1202</v>
      </c>
      <c r="CE5" s="278" t="s">
        <v>1203</v>
      </c>
      <c r="CG5" s="278" t="s">
        <v>1150</v>
      </c>
      <c r="CH5" s="281" t="str">
        <f t="shared" si="0"/>
        <v>46020741</v>
      </c>
      <c r="CI5" s="281">
        <v>29537</v>
      </c>
      <c r="CJ5" s="507">
        <v>28.5</v>
      </c>
      <c r="CK5" s="506">
        <v>3.4</v>
      </c>
      <c r="CL5" s="506"/>
      <c r="CM5" s="519" t="str">
        <f>IFERROR(VLOOKUP(CI5,'calculo_abs.'!$E$2:$F$280,2,FALSE),"sin dato")</f>
        <v>sin dato</v>
      </c>
      <c r="CN5" s="545" t="s">
        <v>1204</v>
      </c>
      <c r="CO5" s="545">
        <v>0</v>
      </c>
      <c r="CP5" s="545">
        <v>0</v>
      </c>
      <c r="CQ5" s="545">
        <f t="shared" si="1"/>
        <v>0</v>
      </c>
      <c r="CR5" s="545">
        <f t="shared" si="2"/>
        <v>0</v>
      </c>
      <c r="CT5" s="294" t="s">
        <v>1205</v>
      </c>
      <c r="CU5" s="622">
        <v>29.03</v>
      </c>
      <c r="CV5" s="282">
        <v>1.31</v>
      </c>
      <c r="CW5" s="282"/>
      <c r="CX5" s="547">
        <v>53473</v>
      </c>
      <c r="CY5" s="546" t="s">
        <v>1206</v>
      </c>
      <c r="CZ5" s="546">
        <v>633886.94999999995</v>
      </c>
    </row>
    <row r="6" spans="2:104" ht="15" x14ac:dyDescent="0.25">
      <c r="B6" s="285" t="s">
        <v>286</v>
      </c>
      <c r="C6" s="285" t="s">
        <v>1207</v>
      </c>
      <c r="E6" s="275" t="s">
        <v>1208</v>
      </c>
      <c r="G6" s="275" t="s">
        <v>1209</v>
      </c>
      <c r="I6" s="275" t="s">
        <v>1108</v>
      </c>
      <c r="J6" s="275" t="s">
        <v>1210</v>
      </c>
      <c r="L6" s="275" t="s">
        <v>1211</v>
      </c>
      <c r="N6" s="275" t="s">
        <v>1190</v>
      </c>
      <c r="P6" s="276">
        <f t="shared" si="3"/>
        <v>45322</v>
      </c>
      <c r="Q6" s="275">
        <v>15</v>
      </c>
      <c r="R6" s="275">
        <v>15</v>
      </c>
      <c r="S6" s="275">
        <v>31</v>
      </c>
      <c r="T6" s="275">
        <v>21</v>
      </c>
      <c r="U6" s="275">
        <v>22</v>
      </c>
      <c r="V6" s="275">
        <f t="shared" ref="V6:V16" si="4">+U6-4</f>
        <v>18</v>
      </c>
      <c r="W6" s="275"/>
      <c r="Y6" s="275" t="s">
        <v>1212</v>
      </c>
      <c r="Z6" s="277">
        <v>5</v>
      </c>
      <c r="AB6" s="278" t="s">
        <v>1067</v>
      </c>
      <c r="AD6" s="278" t="s">
        <v>1067</v>
      </c>
      <c r="AF6" s="278" t="s">
        <v>2309</v>
      </c>
      <c r="AH6" s="278" t="s">
        <v>2267</v>
      </c>
      <c r="AJ6" s="278" t="s">
        <v>1084</v>
      </c>
      <c r="AL6" s="278" t="s">
        <v>2322</v>
      </c>
      <c r="AN6" s="278" t="s">
        <v>1067</v>
      </c>
      <c r="AP6" s="278" t="s">
        <v>2331</v>
      </c>
      <c r="AR6" s="278" t="s">
        <v>1067</v>
      </c>
      <c r="AT6" s="278" t="s">
        <v>1067</v>
      </c>
      <c r="AV6" s="278" t="s">
        <v>1213</v>
      </c>
      <c r="AW6" s="279">
        <v>0.19</v>
      </c>
      <c r="AY6" s="278" t="s">
        <v>1214</v>
      </c>
      <c r="AZ6" s="279">
        <v>0</v>
      </c>
      <c r="BB6" s="278" t="s">
        <v>1215</v>
      </c>
      <c r="BC6" s="280">
        <v>1</v>
      </c>
      <c r="BE6" s="278" t="s">
        <v>1216</v>
      </c>
      <c r="BG6" s="278" t="s">
        <v>1217</v>
      </c>
      <c r="BI6" s="278" t="s">
        <v>1218</v>
      </c>
      <c r="BK6" s="278"/>
      <c r="BM6" s="278"/>
      <c r="BO6" s="278" t="s">
        <v>1219</v>
      </c>
      <c r="BQ6" s="278" t="s">
        <v>1220</v>
      </c>
      <c r="BS6" s="278" t="s">
        <v>1221</v>
      </c>
      <c r="BU6" s="278" t="s">
        <v>1222</v>
      </c>
      <c r="BW6" s="278"/>
      <c r="BY6" s="278" t="s">
        <v>1223</v>
      </c>
      <c r="CA6" s="278" t="s">
        <v>1224</v>
      </c>
      <c r="CC6" s="278" t="s">
        <v>1225</v>
      </c>
      <c r="CE6" s="278" t="s">
        <v>1226</v>
      </c>
      <c r="CG6" s="278" t="s">
        <v>1172</v>
      </c>
      <c r="CH6" s="281" t="str">
        <f t="shared" si="0"/>
        <v>ESG46448270</v>
      </c>
      <c r="CI6" s="281">
        <v>29418</v>
      </c>
      <c r="CJ6" s="507">
        <v>37.200000000000003</v>
      </c>
      <c r="CK6" s="506">
        <v>3.39</v>
      </c>
      <c r="CL6" s="506"/>
      <c r="CM6" s="519" t="str">
        <f>IFERROR(VLOOKUP(CI6,'calculo_abs.'!$E$2:$F$280,2,FALSE),"sin dato")</f>
        <v>sin dato</v>
      </c>
      <c r="CN6" s="545" t="s">
        <v>1204</v>
      </c>
      <c r="CO6" s="545">
        <v>0</v>
      </c>
      <c r="CP6" s="545">
        <v>0</v>
      </c>
      <c r="CQ6" s="545">
        <f t="shared" si="1"/>
        <v>0</v>
      </c>
      <c r="CR6" s="545">
        <f t="shared" si="2"/>
        <v>0</v>
      </c>
      <c r="CT6" s="294" t="s">
        <v>1227</v>
      </c>
      <c r="CU6" s="622">
        <v>28.03</v>
      </c>
      <c r="CV6" s="282">
        <v>1.36</v>
      </c>
      <c r="CW6" s="282">
        <v>0.39</v>
      </c>
      <c r="CX6" s="547">
        <v>53981</v>
      </c>
      <c r="CY6" s="546" t="s">
        <v>1228</v>
      </c>
      <c r="CZ6" s="546">
        <v>173665.49</v>
      </c>
    </row>
    <row r="7" spans="2:104" ht="15" x14ac:dyDescent="0.25">
      <c r="B7" s="285" t="s">
        <v>1229</v>
      </c>
      <c r="C7" s="285" t="s">
        <v>1230</v>
      </c>
      <c r="E7" s="275" t="s">
        <v>1231</v>
      </c>
      <c r="G7" s="275" t="s">
        <v>110</v>
      </c>
      <c r="I7" s="275" t="s">
        <v>1232</v>
      </c>
      <c r="J7" s="275" t="s">
        <v>1233</v>
      </c>
      <c r="L7" s="275" t="s">
        <v>1234</v>
      </c>
      <c r="N7" s="275" t="s">
        <v>1117</v>
      </c>
      <c r="P7" s="276">
        <f t="shared" si="3"/>
        <v>45351</v>
      </c>
      <c r="Q7" s="275">
        <v>21</v>
      </c>
      <c r="R7" s="275">
        <v>21</v>
      </c>
      <c r="S7" s="275">
        <v>29</v>
      </c>
      <c r="T7" s="275">
        <v>21</v>
      </c>
      <c r="U7" s="275">
        <v>21</v>
      </c>
      <c r="V7" s="275">
        <f t="shared" si="4"/>
        <v>17</v>
      </c>
      <c r="W7" s="275"/>
      <c r="Y7" s="275" t="s">
        <v>1101</v>
      </c>
      <c r="Z7" s="277">
        <v>6</v>
      </c>
      <c r="AB7" s="278" t="s">
        <v>1063</v>
      </c>
      <c r="AD7" s="278" t="s">
        <v>1063</v>
      </c>
      <c r="AF7" s="278" t="s">
        <v>1067</v>
      </c>
      <c r="AH7" s="278" t="s">
        <v>2322</v>
      </c>
      <c r="AJ7" s="278" t="s">
        <v>1067</v>
      </c>
      <c r="AL7" s="278" t="s">
        <v>1067</v>
      </c>
      <c r="AN7" s="278" t="s">
        <v>1063</v>
      </c>
      <c r="AP7" s="278" t="s">
        <v>1069</v>
      </c>
      <c r="AR7" s="278" t="s">
        <v>1063</v>
      </c>
      <c r="AT7" s="278" t="s">
        <v>1063</v>
      </c>
      <c r="AV7" s="278" t="s">
        <v>1237</v>
      </c>
      <c r="AW7" s="279">
        <v>0.16</v>
      </c>
      <c r="AY7" s="278" t="s">
        <v>221</v>
      </c>
      <c r="AZ7" s="280">
        <v>628</v>
      </c>
      <c r="BB7" s="278" t="s">
        <v>1238</v>
      </c>
      <c r="BC7" s="280">
        <v>1</v>
      </c>
      <c r="BE7" s="278" t="s">
        <v>1239</v>
      </c>
      <c r="BG7" s="278" t="s">
        <v>1240</v>
      </c>
      <c r="BI7" s="278" t="s">
        <v>1241</v>
      </c>
      <c r="BK7" s="278"/>
      <c r="BM7" s="278"/>
      <c r="BO7" s="278" t="s">
        <v>1242</v>
      </c>
      <c r="BQ7" s="278" t="s">
        <v>1243</v>
      </c>
      <c r="BS7" s="278" t="s">
        <v>1244</v>
      </c>
      <c r="BU7" s="278" t="s">
        <v>1245</v>
      </c>
      <c r="BW7" s="278"/>
      <c r="BY7" s="278" t="s">
        <v>1246</v>
      </c>
      <c r="CA7" s="278" t="s">
        <v>1247</v>
      </c>
      <c r="CC7" s="278" t="s">
        <v>1248</v>
      </c>
      <c r="CE7" s="278" t="s">
        <v>1249</v>
      </c>
      <c r="CG7" s="278" t="s">
        <v>1157</v>
      </c>
      <c r="CH7" s="281" t="str">
        <f t="shared" si="0"/>
        <v>46015174</v>
      </c>
      <c r="CI7" s="281">
        <v>29371</v>
      </c>
      <c r="CJ7" s="507">
        <v>80.900000000000006</v>
      </c>
      <c r="CK7" s="506">
        <v>1.82</v>
      </c>
      <c r="CL7" s="506"/>
      <c r="CM7" s="519">
        <f>IFERROR(VLOOKUP(CI7,'calculo_abs.'!$E$2:$F$280,2,FALSE),"sin dato")</f>
        <v>0.19454915040161042</v>
      </c>
      <c r="CN7" s="545">
        <v>10125</v>
      </c>
      <c r="CO7" s="545">
        <v>5289.21</v>
      </c>
      <c r="CP7" s="545">
        <v>5078.5473139999976</v>
      </c>
      <c r="CQ7" s="545">
        <f t="shared" si="1"/>
        <v>10367.757313999999</v>
      </c>
      <c r="CR7" s="545">
        <v>0.91</v>
      </c>
      <c r="CT7" s="294" t="s">
        <v>1250</v>
      </c>
      <c r="CU7" s="622">
        <v>29.03</v>
      </c>
      <c r="CV7" s="282">
        <v>1</v>
      </c>
      <c r="CW7" s="282">
        <v>0.56000000000000005</v>
      </c>
      <c r="CX7" s="547">
        <v>53842</v>
      </c>
      <c r="CY7" s="546" t="s">
        <v>1251</v>
      </c>
      <c r="CZ7" s="546">
        <v>93170.03</v>
      </c>
    </row>
    <row r="8" spans="2:104" ht="15" x14ac:dyDescent="0.25">
      <c r="B8" s="285" t="s">
        <v>1252</v>
      </c>
      <c r="C8" s="285" t="s">
        <v>1253</v>
      </c>
      <c r="E8" s="275" t="s">
        <v>1254</v>
      </c>
      <c r="G8" s="275" t="s">
        <v>1255</v>
      </c>
      <c r="I8" s="275" t="s">
        <v>1109</v>
      </c>
      <c r="J8" s="275" t="s">
        <v>1256</v>
      </c>
      <c r="L8" s="294" t="s">
        <v>1257</v>
      </c>
      <c r="N8" s="275" t="s">
        <v>1235</v>
      </c>
      <c r="P8" s="276">
        <f t="shared" si="3"/>
        <v>45382</v>
      </c>
      <c r="Q8" s="275">
        <v>18</v>
      </c>
      <c r="R8" s="275">
        <v>18</v>
      </c>
      <c r="S8" s="275">
        <v>31</v>
      </c>
      <c r="T8" s="275">
        <v>20</v>
      </c>
      <c r="U8" s="275">
        <v>20</v>
      </c>
      <c r="V8" s="275">
        <f>+U8-5</f>
        <v>15</v>
      </c>
      <c r="W8" s="275"/>
      <c r="Y8" s="275" t="s">
        <v>1102</v>
      </c>
      <c r="Z8" s="277">
        <v>7</v>
      </c>
      <c r="AB8" s="278" t="s">
        <v>1073</v>
      </c>
      <c r="AD8" s="278" t="s">
        <v>1073</v>
      </c>
      <c r="AF8" s="278" t="s">
        <v>1084</v>
      </c>
      <c r="AH8" s="278" t="s">
        <v>2268</v>
      </c>
      <c r="AJ8" s="278" t="s">
        <v>1069</v>
      </c>
      <c r="AL8" s="278" t="s">
        <v>1084</v>
      </c>
      <c r="AN8" s="278" t="s">
        <v>1073</v>
      </c>
      <c r="AP8" s="278" t="s">
        <v>2332</v>
      </c>
      <c r="AR8" s="278" t="s">
        <v>1073</v>
      </c>
      <c r="AT8" s="278" t="s">
        <v>1073</v>
      </c>
      <c r="AV8" s="278" t="s">
        <v>1259</v>
      </c>
      <c r="AW8" s="279">
        <v>0.08</v>
      </c>
      <c r="AY8" s="278" t="s">
        <v>1260</v>
      </c>
      <c r="AZ8" s="279">
        <v>0</v>
      </c>
      <c r="BB8" s="278" t="s">
        <v>1261</v>
      </c>
      <c r="BC8" s="280">
        <v>1</v>
      </c>
      <c r="BE8" s="278" t="s">
        <v>1262</v>
      </c>
      <c r="BG8" s="278" t="s">
        <v>1263</v>
      </c>
      <c r="BI8" s="278" t="s">
        <v>1264</v>
      </c>
      <c r="BK8" s="278"/>
      <c r="BM8" s="278"/>
      <c r="BO8" s="278" t="s">
        <v>1265</v>
      </c>
      <c r="BQ8" s="278" t="s">
        <v>1266</v>
      </c>
      <c r="BS8" s="278" t="s">
        <v>1267</v>
      </c>
      <c r="BU8" s="278" t="s">
        <v>1268</v>
      </c>
      <c r="BW8" s="278"/>
      <c r="BY8" s="278" t="s">
        <v>1269</v>
      </c>
      <c r="CA8" s="278" t="s">
        <v>1270</v>
      </c>
      <c r="CC8" s="278" t="s">
        <v>1271</v>
      </c>
      <c r="CE8" s="278" t="s">
        <v>1272</v>
      </c>
      <c r="CG8" s="278" t="s">
        <v>1158</v>
      </c>
      <c r="CH8" s="281" t="str">
        <f t="shared" si="0"/>
        <v>ARANCO</v>
      </c>
      <c r="CI8" s="281">
        <v>51869</v>
      </c>
      <c r="CJ8" s="507">
        <v>88.2</v>
      </c>
      <c r="CK8" s="506">
        <v>4.9000000000000004</v>
      </c>
      <c r="CL8" s="506"/>
      <c r="CM8" s="519">
        <f>IFERROR(VLOOKUP(CI8,'calculo_abs.'!$E$2:$F$280,2,FALSE),"sin dato")</f>
        <v>0</v>
      </c>
      <c r="CN8" s="545" t="s">
        <v>1204</v>
      </c>
      <c r="CO8" s="545">
        <v>0</v>
      </c>
      <c r="CP8" s="545">
        <v>0</v>
      </c>
      <c r="CQ8" s="545">
        <f t="shared" si="1"/>
        <v>0</v>
      </c>
      <c r="CR8" s="545">
        <f t="shared" si="2"/>
        <v>0</v>
      </c>
      <c r="CT8" s="294" t="s">
        <v>1273</v>
      </c>
      <c r="CU8" s="622">
        <v>28</v>
      </c>
      <c r="CV8" s="282">
        <v>1.44</v>
      </c>
      <c r="CW8" s="282"/>
      <c r="CX8" s="547">
        <v>29296</v>
      </c>
      <c r="CY8" s="546" t="s">
        <v>1274</v>
      </c>
      <c r="CZ8" s="546">
        <v>91849.1</v>
      </c>
    </row>
    <row r="9" spans="2:104" ht="15" x14ac:dyDescent="0.25">
      <c r="B9" s="285"/>
      <c r="C9" s="285"/>
      <c r="E9" s="275" t="s">
        <v>1012</v>
      </c>
      <c r="G9" s="275" t="s">
        <v>1275</v>
      </c>
      <c r="I9" s="275" t="s">
        <v>1110</v>
      </c>
      <c r="J9" s="275" t="s">
        <v>1276</v>
      </c>
      <c r="L9" s="275" t="s">
        <v>1277</v>
      </c>
      <c r="N9" s="275" t="s">
        <v>1258</v>
      </c>
      <c r="P9" s="276">
        <f t="shared" si="3"/>
        <v>45412</v>
      </c>
      <c r="Q9" s="275">
        <v>15</v>
      </c>
      <c r="R9" s="275">
        <v>15</v>
      </c>
      <c r="S9" s="275">
        <v>30</v>
      </c>
      <c r="T9" s="275">
        <v>20</v>
      </c>
      <c r="U9" s="275">
        <v>20</v>
      </c>
      <c r="V9" s="275">
        <f>+U9-5</f>
        <v>15</v>
      </c>
      <c r="W9" s="275"/>
      <c r="AB9" s="278"/>
      <c r="AD9" s="278" t="s">
        <v>1279</v>
      </c>
      <c r="AF9" s="278" t="s">
        <v>2267</v>
      </c>
      <c r="AH9" s="278" t="s">
        <v>1069</v>
      </c>
      <c r="AJ9" s="278" t="s">
        <v>1084</v>
      </c>
      <c r="AL9" s="278" t="s">
        <v>2268</v>
      </c>
      <c r="AN9" s="278"/>
      <c r="AP9" s="278" t="s">
        <v>2333</v>
      </c>
      <c r="AR9" s="278"/>
      <c r="AT9" s="278"/>
      <c r="AV9" s="278" t="s">
        <v>1280</v>
      </c>
      <c r="AW9" s="279">
        <v>0.5</v>
      </c>
      <c r="AY9" s="278" t="s">
        <v>1281</v>
      </c>
      <c r="AZ9" s="279">
        <v>0</v>
      </c>
      <c r="BB9" s="278" t="s">
        <v>1282</v>
      </c>
      <c r="BC9" s="280">
        <v>1</v>
      </c>
      <c r="BE9" s="278" t="s">
        <v>1283</v>
      </c>
      <c r="BG9" s="278" t="s">
        <v>1284</v>
      </c>
      <c r="BI9" s="278" t="s">
        <v>1285</v>
      </c>
      <c r="BK9" s="278"/>
      <c r="BM9" s="278"/>
      <c r="BO9" s="278" t="s">
        <v>1286</v>
      </c>
      <c r="BQ9" s="278" t="s">
        <v>1287</v>
      </c>
      <c r="BS9" s="278" t="s">
        <v>1288</v>
      </c>
      <c r="BU9" s="278" t="s">
        <v>1289</v>
      </c>
      <c r="BW9" s="278"/>
      <c r="BY9" s="278" t="s">
        <v>1290</v>
      </c>
      <c r="CA9" s="278" t="s">
        <v>1291</v>
      </c>
      <c r="CC9" s="278" t="s">
        <v>1292</v>
      </c>
      <c r="CE9" s="278" t="s">
        <v>1293</v>
      </c>
      <c r="CG9" s="278" t="s">
        <v>1173</v>
      </c>
      <c r="CH9" s="281" t="str">
        <f t="shared" si="0"/>
        <v>ESG12014965-2</v>
      </c>
      <c r="CI9" s="281">
        <v>52983</v>
      </c>
      <c r="CJ9" s="281">
        <v>268</v>
      </c>
      <c r="CK9" s="281">
        <v>2.0499999999999998</v>
      </c>
      <c r="CL9" s="281"/>
      <c r="CM9" s="519">
        <f>IFERROR(VLOOKUP(CI9,'calculo_abs.'!$E$2:$F$280,2,FALSE),"sin dato")</f>
        <v>0.36130471878797737</v>
      </c>
      <c r="CN9" s="545" t="s">
        <v>1204</v>
      </c>
      <c r="CO9" s="545">
        <v>73850.62</v>
      </c>
      <c r="CP9" s="545">
        <v>7415.5411427999989</v>
      </c>
      <c r="CQ9" s="545">
        <f t="shared" si="1"/>
        <v>81266.161142799989</v>
      </c>
      <c r="CR9" s="545">
        <f t="shared" si="2"/>
        <v>0</v>
      </c>
      <c r="CT9" s="294" t="s">
        <v>1294</v>
      </c>
      <c r="CU9" s="622">
        <v>0</v>
      </c>
      <c r="CV9" s="294">
        <v>1.27</v>
      </c>
      <c r="CW9" s="294"/>
      <c r="CX9" s="547">
        <v>53957</v>
      </c>
      <c r="CY9" s="546" t="s">
        <v>1295</v>
      </c>
      <c r="CZ9" s="546">
        <v>91430.49</v>
      </c>
    </row>
    <row r="10" spans="2:104" ht="15" x14ac:dyDescent="0.25">
      <c r="B10" s="285"/>
      <c r="C10" s="285"/>
      <c r="E10" s="275" t="s">
        <v>1296</v>
      </c>
      <c r="G10" s="275" t="s">
        <v>1297</v>
      </c>
      <c r="I10" s="275" t="s">
        <v>2255</v>
      </c>
      <c r="J10" s="275" t="s">
        <v>2343</v>
      </c>
      <c r="L10" s="275" t="s">
        <v>1298</v>
      </c>
      <c r="N10" s="275" t="s">
        <v>1278</v>
      </c>
      <c r="P10" s="276">
        <f t="shared" si="3"/>
        <v>45443</v>
      </c>
      <c r="Q10" s="275">
        <v>22</v>
      </c>
      <c r="R10" s="275">
        <v>22</v>
      </c>
      <c r="S10" s="275">
        <v>31</v>
      </c>
      <c r="T10" s="275">
        <v>22</v>
      </c>
      <c r="U10" s="275">
        <v>22</v>
      </c>
      <c r="V10" s="275">
        <f>+U10-5</f>
        <v>17</v>
      </c>
      <c r="W10" s="275"/>
      <c r="AB10" s="278"/>
      <c r="AD10" s="278" t="s">
        <v>1300</v>
      </c>
      <c r="AF10" s="278" t="s">
        <v>1069</v>
      </c>
      <c r="AH10" s="278" t="s">
        <v>1084</v>
      </c>
      <c r="AJ10" s="278" t="s">
        <v>1073</v>
      </c>
      <c r="AL10" s="278" t="s">
        <v>1069</v>
      </c>
      <c r="AN10" s="278"/>
      <c r="AP10" s="278" t="s">
        <v>2334</v>
      </c>
      <c r="AR10" s="278"/>
      <c r="AT10" s="278"/>
      <c r="AV10" s="278" t="s">
        <v>215</v>
      </c>
      <c r="AW10" s="279">
        <v>1.5</v>
      </c>
      <c r="AY10" s="278" t="s">
        <v>1301</v>
      </c>
      <c r="AZ10" s="279">
        <v>0.2</v>
      </c>
      <c r="BB10" s="278" t="s">
        <v>1302</v>
      </c>
      <c r="BC10" s="280">
        <v>310</v>
      </c>
      <c r="BE10" s="278" t="s">
        <v>500</v>
      </c>
      <c r="BG10" s="278" t="s">
        <v>1303</v>
      </c>
      <c r="BI10" s="278" t="s">
        <v>1533</v>
      </c>
      <c r="BK10" s="278"/>
      <c r="BM10" s="278"/>
      <c r="BO10" s="278" t="s">
        <v>1305</v>
      </c>
      <c r="BQ10" s="278" t="s">
        <v>1306</v>
      </c>
      <c r="BS10" s="278" t="s">
        <v>1307</v>
      </c>
      <c r="BU10" s="278" t="s">
        <v>1308</v>
      </c>
      <c r="BW10" s="278"/>
      <c r="BY10" s="278" t="s">
        <v>1309</v>
      </c>
      <c r="CA10" s="278" t="s">
        <v>1310</v>
      </c>
      <c r="CC10" s="278" t="s">
        <v>1311</v>
      </c>
      <c r="CE10" s="278" t="s">
        <v>1312</v>
      </c>
      <c r="CG10" s="278" t="s">
        <v>596</v>
      </c>
      <c r="CH10" s="281" t="str">
        <f t="shared" si="0"/>
        <v>46021-00</v>
      </c>
      <c r="CI10" s="281">
        <v>51193</v>
      </c>
      <c r="CJ10" s="507">
        <v>12.285714285714286</v>
      </c>
      <c r="CK10" s="506">
        <v>4.66</v>
      </c>
      <c r="CL10" s="506"/>
      <c r="CM10" s="519" t="str">
        <f>IFERROR(VLOOKUP(CI10,'calculo_abs.'!$E$2:$F$280,2,FALSE),"sin dato")</f>
        <v>sin dato</v>
      </c>
      <c r="CN10" s="545" t="s">
        <v>1204</v>
      </c>
      <c r="CO10" s="545">
        <v>0</v>
      </c>
      <c r="CP10" s="545">
        <v>0</v>
      </c>
      <c r="CQ10" s="545">
        <f t="shared" si="1"/>
        <v>0</v>
      </c>
      <c r="CR10" s="545">
        <f t="shared" si="2"/>
        <v>0</v>
      </c>
      <c r="CT10" s="294" t="s">
        <v>1313</v>
      </c>
      <c r="CU10" s="622">
        <v>36</v>
      </c>
      <c r="CV10" s="282">
        <v>1.32</v>
      </c>
      <c r="CW10" s="282"/>
      <c r="CX10" s="547">
        <v>53983</v>
      </c>
      <c r="CY10" s="546" t="s">
        <v>1314</v>
      </c>
      <c r="CZ10" s="546">
        <v>89664.44</v>
      </c>
    </row>
    <row r="11" spans="2:104" ht="15" x14ac:dyDescent="0.25">
      <c r="B11" s="285"/>
      <c r="C11" s="285"/>
      <c r="E11" s="275" t="s">
        <v>1315</v>
      </c>
      <c r="G11" s="275" t="s">
        <v>1316</v>
      </c>
      <c r="I11" s="275" t="s">
        <v>2342</v>
      </c>
      <c r="J11" s="275" t="s">
        <v>2344</v>
      </c>
      <c r="L11" s="275" t="s">
        <v>1317</v>
      </c>
      <c r="N11" s="275" t="s">
        <v>1299</v>
      </c>
      <c r="P11" s="276">
        <f t="shared" si="3"/>
        <v>45473</v>
      </c>
      <c r="Q11" s="275">
        <v>15</v>
      </c>
      <c r="R11" s="275">
        <v>15</v>
      </c>
      <c r="S11" s="275">
        <v>30</v>
      </c>
      <c r="T11" s="275">
        <v>20</v>
      </c>
      <c r="U11" s="275">
        <v>20</v>
      </c>
      <c r="V11" s="275">
        <f>+U11-5</f>
        <v>15</v>
      </c>
      <c r="W11" s="275"/>
      <c r="AB11" s="278"/>
      <c r="AD11" s="278" t="s">
        <v>1319</v>
      </c>
      <c r="AF11" s="278" t="s">
        <v>1084</v>
      </c>
      <c r="AH11" s="278" t="s">
        <v>2275</v>
      </c>
      <c r="AJ11" s="278" t="s">
        <v>2272</v>
      </c>
      <c r="AL11" s="278" t="s">
        <v>2284</v>
      </c>
      <c r="AN11" s="278"/>
      <c r="AP11" s="278" t="s">
        <v>1236</v>
      </c>
      <c r="AR11" s="278"/>
      <c r="AT11" s="278"/>
      <c r="AV11" s="278" t="s">
        <v>1320</v>
      </c>
      <c r="AW11" s="279">
        <v>0.16</v>
      </c>
      <c r="AY11" s="278" t="s">
        <v>1321</v>
      </c>
      <c r="AZ11" s="279">
        <v>0.06</v>
      </c>
      <c r="BB11" s="278" t="s">
        <v>1322</v>
      </c>
      <c r="BC11" s="280">
        <v>300</v>
      </c>
      <c r="BE11" s="278" t="s">
        <v>622</v>
      </c>
      <c r="BG11" s="278" t="s">
        <v>1323</v>
      </c>
      <c r="BI11" s="278" t="s">
        <v>1304</v>
      </c>
      <c r="BK11" s="278"/>
      <c r="BM11" s="278"/>
      <c r="BO11" s="278" t="s">
        <v>1325</v>
      </c>
      <c r="BQ11" s="278" t="s">
        <v>1326</v>
      </c>
      <c r="BS11" s="278" t="s">
        <v>1327</v>
      </c>
      <c r="BU11" s="278" t="s">
        <v>1328</v>
      </c>
      <c r="BW11" s="278"/>
      <c r="BY11" s="278" t="s">
        <v>1329</v>
      </c>
      <c r="CA11" s="278" t="s">
        <v>1330</v>
      </c>
      <c r="CC11" s="278" t="s">
        <v>1331</v>
      </c>
      <c r="CE11" s="278" t="s">
        <v>1332</v>
      </c>
      <c r="CG11" s="278" t="s">
        <v>730</v>
      </c>
      <c r="CH11" s="281" t="str">
        <f t="shared" si="0"/>
        <v>ESG03975034</v>
      </c>
      <c r="CI11" s="281">
        <v>53939</v>
      </c>
      <c r="CJ11" s="507">
        <v>30.647058823529413</v>
      </c>
      <c r="CK11" s="506">
        <v>4.99</v>
      </c>
      <c r="CL11" s="506"/>
      <c r="CM11" s="519" t="str">
        <f>IFERROR(VLOOKUP(CI11,'calculo_abs.'!$E$2:$F$280,2,FALSE),"sin dato")</f>
        <v>sin dato</v>
      </c>
      <c r="CN11" s="545" t="s">
        <v>1204</v>
      </c>
      <c r="CO11" s="545">
        <v>0</v>
      </c>
      <c r="CP11" s="545">
        <v>0</v>
      </c>
      <c r="CQ11" s="545">
        <f t="shared" si="1"/>
        <v>0</v>
      </c>
      <c r="CR11" s="545">
        <f t="shared" si="2"/>
        <v>0</v>
      </c>
      <c r="CX11" s="547">
        <v>53713</v>
      </c>
      <c r="CY11" s="546" t="s">
        <v>1333</v>
      </c>
      <c r="CZ11" s="546">
        <v>78751.19</v>
      </c>
    </row>
    <row r="12" spans="2:104" ht="15" x14ac:dyDescent="0.25">
      <c r="B12" s="285"/>
      <c r="C12" s="285"/>
      <c r="E12" s="275" t="s">
        <v>209</v>
      </c>
      <c r="G12" s="275"/>
      <c r="I12" s="275" t="s">
        <v>2254</v>
      </c>
      <c r="J12" s="275" t="s">
        <v>2345</v>
      </c>
      <c r="L12" s="275" t="s">
        <v>1334</v>
      </c>
      <c r="N12" s="275" t="s">
        <v>1318</v>
      </c>
      <c r="P12" s="276">
        <f t="shared" si="3"/>
        <v>45504</v>
      </c>
      <c r="Q12" s="275">
        <v>0</v>
      </c>
      <c r="R12" s="275">
        <v>0</v>
      </c>
      <c r="S12" s="275">
        <v>31</v>
      </c>
      <c r="T12" s="275">
        <v>22</v>
      </c>
      <c r="U12" s="275">
        <v>23</v>
      </c>
      <c r="V12" s="275">
        <v>19</v>
      </c>
      <c r="W12" s="275">
        <v>22</v>
      </c>
      <c r="AB12" s="278"/>
      <c r="AD12" s="278" t="s">
        <v>1336</v>
      </c>
      <c r="AF12" s="278" t="s">
        <v>2271</v>
      </c>
      <c r="AH12" s="278" t="s">
        <v>2284</v>
      </c>
      <c r="AJ12" s="278" t="s">
        <v>2314</v>
      </c>
      <c r="AL12" s="278" t="s">
        <v>2286</v>
      </c>
      <c r="AN12" s="278"/>
      <c r="AP12" s="278" t="s">
        <v>2335</v>
      </c>
      <c r="AR12" s="278"/>
      <c r="AT12" s="278"/>
      <c r="AV12" s="278" t="s">
        <v>1337</v>
      </c>
      <c r="AW12" s="279">
        <v>0.35</v>
      </c>
      <c r="AY12" s="278" t="s">
        <v>1338</v>
      </c>
      <c r="AZ12" s="279">
        <v>7.0000000000000007E-2</v>
      </c>
      <c r="BB12" s="278" t="s">
        <v>1339</v>
      </c>
      <c r="BC12" s="280">
        <v>350</v>
      </c>
      <c r="BE12" s="278" t="s">
        <v>1340</v>
      </c>
      <c r="BG12" s="278" t="s">
        <v>1341</v>
      </c>
      <c r="BI12" s="278" t="s">
        <v>1324</v>
      </c>
      <c r="BK12" s="278"/>
      <c r="BM12" s="278"/>
      <c r="BO12" s="278" t="s">
        <v>1343</v>
      </c>
      <c r="BQ12" s="278" t="s">
        <v>1344</v>
      </c>
      <c r="BS12" s="278" t="s">
        <v>1345</v>
      </c>
      <c r="BU12" s="278" t="s">
        <v>1346</v>
      </c>
      <c r="BW12" s="278"/>
      <c r="BY12" s="278" t="s">
        <v>1347</v>
      </c>
      <c r="CA12" s="278" t="s">
        <v>1348</v>
      </c>
      <c r="CC12" s="278" t="s">
        <v>1349</v>
      </c>
      <c r="CE12" s="278" t="s">
        <v>1350</v>
      </c>
      <c r="CG12" s="278" t="s">
        <v>1194</v>
      </c>
      <c r="CH12" s="281" t="str">
        <f t="shared" si="0"/>
        <v>ESG97162549</v>
      </c>
      <c r="CI12" s="281">
        <v>29502</v>
      </c>
      <c r="CJ12" s="507">
        <v>31</v>
      </c>
      <c r="CK12" s="506">
        <v>4.07</v>
      </c>
      <c r="CL12" s="506"/>
      <c r="CM12" s="519" t="str">
        <f>IFERROR(VLOOKUP(CI12,'calculo_abs.'!$E$2:$F$280,2,FALSE),"sin dato")</f>
        <v>sin dato</v>
      </c>
      <c r="CN12" s="545" t="s">
        <v>1204</v>
      </c>
      <c r="CO12" s="545">
        <v>0</v>
      </c>
      <c r="CP12" s="545">
        <v>0</v>
      </c>
      <c r="CQ12" s="545">
        <f t="shared" si="1"/>
        <v>0</v>
      </c>
      <c r="CR12" s="545">
        <f t="shared" si="2"/>
        <v>0</v>
      </c>
      <c r="CT12" s="504"/>
      <c r="CU12" s="619"/>
      <c r="CV12" s="619"/>
      <c r="CW12" s="504"/>
      <c r="CX12" s="547">
        <v>29303</v>
      </c>
      <c r="CY12" s="546" t="s">
        <v>1351</v>
      </c>
      <c r="CZ12" s="546">
        <v>75882.11</v>
      </c>
    </row>
    <row r="13" spans="2:104" ht="15" x14ac:dyDescent="0.25">
      <c r="B13" s="285"/>
      <c r="C13" s="285"/>
      <c r="E13" s="275"/>
      <c r="G13" s="275"/>
      <c r="I13" s="275"/>
      <c r="J13" s="275"/>
      <c r="L13" s="275" t="s">
        <v>1352</v>
      </c>
      <c r="N13" s="275" t="s">
        <v>1335</v>
      </c>
      <c r="P13" s="276">
        <f t="shared" si="3"/>
        <v>45535</v>
      </c>
      <c r="Q13" s="275">
        <v>0</v>
      </c>
      <c r="R13" s="275">
        <v>0</v>
      </c>
      <c r="S13" s="275">
        <v>31</v>
      </c>
      <c r="T13" s="275">
        <v>21</v>
      </c>
      <c r="U13" s="275">
        <v>22</v>
      </c>
      <c r="V13" s="275">
        <v>17</v>
      </c>
      <c r="W13" s="275">
        <v>21</v>
      </c>
      <c r="AB13" s="275"/>
      <c r="AD13" s="278" t="s">
        <v>1354</v>
      </c>
      <c r="AF13" s="278" t="s">
        <v>1236</v>
      </c>
      <c r="AH13" s="278" t="s">
        <v>1073</v>
      </c>
      <c r="AJ13" s="278" t="s">
        <v>1236</v>
      </c>
      <c r="AL13" s="278" t="s">
        <v>1073</v>
      </c>
      <c r="AN13" s="275"/>
      <c r="AP13" s="278" t="s">
        <v>1073</v>
      </c>
      <c r="AR13" s="275"/>
      <c r="AT13" s="278"/>
      <c r="AV13" s="278" t="s">
        <v>1355</v>
      </c>
      <c r="AW13" s="279">
        <v>0.15</v>
      </c>
      <c r="AY13" s="278" t="s">
        <v>1356</v>
      </c>
      <c r="AZ13" s="279">
        <v>0.08</v>
      </c>
      <c r="BB13" s="278" t="s">
        <v>1357</v>
      </c>
      <c r="BC13" s="280">
        <v>400</v>
      </c>
      <c r="BE13" s="278" t="s">
        <v>560</v>
      </c>
      <c r="BG13" s="278" t="s">
        <v>1358</v>
      </c>
      <c r="BI13" s="278" t="s">
        <v>1342</v>
      </c>
      <c r="BK13" s="278"/>
      <c r="BM13" s="278"/>
      <c r="BO13" s="278" t="s">
        <v>1360</v>
      </c>
      <c r="BQ13" s="278" t="s">
        <v>1361</v>
      </c>
      <c r="BS13" s="278" t="s">
        <v>1362</v>
      </c>
      <c r="BU13" s="278" t="s">
        <v>1363</v>
      </c>
      <c r="BW13" s="278"/>
      <c r="BY13" s="278" t="s">
        <v>1364</v>
      </c>
      <c r="CA13" s="278" t="s">
        <v>1365</v>
      </c>
      <c r="CC13" s="278" t="s">
        <v>1366</v>
      </c>
      <c r="CE13" s="278" t="s">
        <v>1367</v>
      </c>
      <c r="CG13" s="278" t="s">
        <v>1174</v>
      </c>
      <c r="CH13" s="281" t="str">
        <f t="shared" si="0"/>
        <v>CO_VALLBONA</v>
      </c>
      <c r="CI13" s="281">
        <v>51136</v>
      </c>
      <c r="CJ13" s="507">
        <v>34.1</v>
      </c>
      <c r="CK13" s="506">
        <v>3.96</v>
      </c>
      <c r="CL13" s="506"/>
      <c r="CM13" s="519" t="str">
        <f>IFERROR(VLOOKUP(CI13,'calculo_abs.'!$E$2:$F$280,2,FALSE),"sin dato")</f>
        <v>sin dato</v>
      </c>
      <c r="CN13" s="545" t="s">
        <v>1204</v>
      </c>
      <c r="CO13" s="545">
        <v>0</v>
      </c>
      <c r="CP13" s="545">
        <v>0</v>
      </c>
      <c r="CQ13" s="545">
        <f t="shared" si="1"/>
        <v>0</v>
      </c>
      <c r="CR13" s="545">
        <f t="shared" si="2"/>
        <v>0</v>
      </c>
      <c r="CX13" s="547">
        <v>52983</v>
      </c>
      <c r="CY13" s="546" t="s">
        <v>1368</v>
      </c>
      <c r="CZ13" s="546">
        <v>73850.62</v>
      </c>
    </row>
    <row r="14" spans="2:104" ht="15" x14ac:dyDescent="0.25">
      <c r="B14" s="285"/>
      <c r="C14" s="285"/>
      <c r="E14" s="275"/>
      <c r="G14" s="275"/>
      <c r="I14" s="275"/>
      <c r="J14" s="275"/>
      <c r="L14" s="275" t="s">
        <v>1369</v>
      </c>
      <c r="N14" s="275" t="s">
        <v>1353</v>
      </c>
      <c r="P14" s="276">
        <f t="shared" si="3"/>
        <v>45565</v>
      </c>
      <c r="Q14" s="275">
        <v>15</v>
      </c>
      <c r="R14" s="275">
        <v>15</v>
      </c>
      <c r="S14" s="275">
        <v>30</v>
      </c>
      <c r="T14" s="275">
        <v>21</v>
      </c>
      <c r="U14" s="275">
        <v>21</v>
      </c>
      <c r="V14" s="275">
        <f t="shared" si="4"/>
        <v>17</v>
      </c>
      <c r="W14" s="275">
        <v>22</v>
      </c>
      <c r="AB14" s="275"/>
      <c r="AD14" s="278" t="s">
        <v>1371</v>
      </c>
      <c r="AF14" s="278" t="s">
        <v>1073</v>
      </c>
      <c r="AH14" s="278" t="s">
        <v>1168</v>
      </c>
      <c r="AJ14" s="278" t="s">
        <v>2271</v>
      </c>
      <c r="AL14" s="278" t="s">
        <v>1168</v>
      </c>
      <c r="AN14" s="275"/>
      <c r="AP14" s="278" t="s">
        <v>2271</v>
      </c>
      <c r="AR14" s="275"/>
      <c r="AT14" s="278"/>
      <c r="AV14" s="278" t="s">
        <v>1372</v>
      </c>
      <c r="AW14" s="279">
        <v>0.15</v>
      </c>
      <c r="AY14" s="278" t="s">
        <v>1373</v>
      </c>
      <c r="AZ14" s="279">
        <v>0.06</v>
      </c>
      <c r="BB14" s="278" t="s">
        <v>1374</v>
      </c>
      <c r="BC14" s="280"/>
      <c r="BE14" s="278" t="s">
        <v>528</v>
      </c>
      <c r="BG14" s="278" t="s">
        <v>424</v>
      </c>
      <c r="BI14" s="278" t="s">
        <v>1359</v>
      </c>
      <c r="BK14" s="278"/>
      <c r="BM14" s="278"/>
      <c r="BO14" s="278" t="s">
        <v>1376</v>
      </c>
      <c r="BQ14" s="278" t="s">
        <v>1377</v>
      </c>
      <c r="BS14" s="278" t="s">
        <v>1378</v>
      </c>
      <c r="BU14" s="278" t="s">
        <v>1379</v>
      </c>
      <c r="BW14" s="278"/>
      <c r="BY14" s="278" t="s">
        <v>1380</v>
      </c>
      <c r="CA14" s="278" t="s">
        <v>1381</v>
      </c>
      <c r="CC14" s="278" t="s">
        <v>1397</v>
      </c>
      <c r="CE14" s="278" t="s">
        <v>1382</v>
      </c>
      <c r="CG14" s="278" t="s">
        <v>1383</v>
      </c>
      <c r="CH14" s="281" t="str">
        <f t="shared" si="0"/>
        <v>AY_ASPE</v>
      </c>
      <c r="CI14" s="281">
        <v>50388</v>
      </c>
      <c r="CJ14" s="507">
        <v>10</v>
      </c>
      <c r="CK14" s="506">
        <v>3.8719999999999999</v>
      </c>
      <c r="CL14" s="506"/>
      <c r="CM14" s="519" t="str">
        <f>IFERROR(VLOOKUP(CI14,'calculo_abs.'!$E$2:$F$280,2,FALSE),"sin dato")</f>
        <v>sin dato</v>
      </c>
      <c r="CN14" s="545" t="s">
        <v>1204</v>
      </c>
      <c r="CO14" s="545">
        <v>0</v>
      </c>
      <c r="CP14" s="545">
        <v>0</v>
      </c>
      <c r="CQ14" s="545">
        <f t="shared" si="1"/>
        <v>0</v>
      </c>
      <c r="CR14" s="545">
        <f t="shared" si="2"/>
        <v>0</v>
      </c>
      <c r="CX14" s="547">
        <v>53941</v>
      </c>
      <c r="CY14" s="546" t="s">
        <v>962</v>
      </c>
      <c r="CZ14" s="546">
        <v>70801.52</v>
      </c>
    </row>
    <row r="15" spans="2:104" ht="15" x14ac:dyDescent="0.25">
      <c r="B15" s="286"/>
      <c r="C15" s="286"/>
      <c r="E15" s="282"/>
      <c r="G15" s="282"/>
      <c r="I15" s="282"/>
      <c r="J15" s="282"/>
      <c r="L15" s="275" t="s">
        <v>1384</v>
      </c>
      <c r="N15" s="275" t="s">
        <v>1370</v>
      </c>
      <c r="P15" s="276">
        <f t="shared" si="3"/>
        <v>45596</v>
      </c>
      <c r="Q15" s="275">
        <v>20</v>
      </c>
      <c r="R15" s="275">
        <v>20</v>
      </c>
      <c r="S15" s="275">
        <v>31</v>
      </c>
      <c r="T15" s="275">
        <v>22</v>
      </c>
      <c r="U15" s="275">
        <v>22</v>
      </c>
      <c r="V15" s="275">
        <f t="shared" si="4"/>
        <v>18</v>
      </c>
      <c r="W15" s="275">
        <v>30</v>
      </c>
      <c r="AB15" s="275"/>
      <c r="AD15" s="278"/>
      <c r="AF15" s="278" t="s">
        <v>2310</v>
      </c>
      <c r="AH15" s="278" t="s">
        <v>2286</v>
      </c>
      <c r="AJ15" s="278" t="s">
        <v>2315</v>
      </c>
      <c r="AL15" s="278" t="s">
        <v>2275</v>
      </c>
      <c r="AN15" s="275"/>
      <c r="AP15" s="275"/>
      <c r="AR15" s="275"/>
      <c r="AT15" s="275"/>
      <c r="AV15" s="278" t="s">
        <v>201</v>
      </c>
      <c r="AW15" s="279">
        <v>0.66</v>
      </c>
      <c r="AY15" s="278" t="s">
        <v>1386</v>
      </c>
      <c r="AZ15" s="279">
        <v>0.08</v>
      </c>
      <c r="BB15" s="278" t="s">
        <v>1387</v>
      </c>
      <c r="BC15" s="280"/>
      <c r="BE15" s="278" t="s">
        <v>1388</v>
      </c>
      <c r="BG15" s="278" t="s">
        <v>1389</v>
      </c>
      <c r="BI15" s="278" t="s">
        <v>1375</v>
      </c>
      <c r="BK15" s="278"/>
      <c r="BM15" s="278"/>
      <c r="BO15" s="278" t="s">
        <v>1391</v>
      </c>
      <c r="BQ15" s="278" t="s">
        <v>1392</v>
      </c>
      <c r="BS15" s="278" t="s">
        <v>1393</v>
      </c>
      <c r="BU15" s="278" t="s">
        <v>1394</v>
      </c>
      <c r="BW15" s="278"/>
      <c r="BY15" s="278" t="s">
        <v>1395</v>
      </c>
      <c r="CA15" s="278" t="s">
        <v>1396</v>
      </c>
      <c r="CC15" s="278" t="s">
        <v>1530</v>
      </c>
      <c r="CE15" s="278" t="s">
        <v>1398</v>
      </c>
      <c r="CG15" s="278" t="s">
        <v>1196</v>
      </c>
      <c r="CH15" s="281" t="str">
        <f t="shared" si="0"/>
        <v>4625900</v>
      </c>
      <c r="CI15" s="281">
        <v>54365</v>
      </c>
      <c r="CJ15" s="507">
        <v>55</v>
      </c>
      <c r="CK15" s="506" t="s">
        <v>1204</v>
      </c>
      <c r="CL15" s="506"/>
      <c r="CM15" s="519" t="str">
        <f>IFERROR(VLOOKUP(CI15,'calculo_abs.'!$E$2:$F$280,2,FALSE),"sin dato")</f>
        <v>sin dato</v>
      </c>
      <c r="CN15" s="545" t="s">
        <v>1204</v>
      </c>
      <c r="CO15" s="545">
        <v>0</v>
      </c>
      <c r="CP15" s="545">
        <v>0</v>
      </c>
      <c r="CQ15" s="545">
        <f t="shared" si="1"/>
        <v>0</v>
      </c>
      <c r="CR15" s="545">
        <f t="shared" si="2"/>
        <v>0</v>
      </c>
      <c r="CX15" s="547">
        <v>29295</v>
      </c>
      <c r="CY15" s="546" t="s">
        <v>1396</v>
      </c>
      <c r="CZ15" s="546">
        <v>66233.87</v>
      </c>
    </row>
    <row r="16" spans="2:104" ht="15" x14ac:dyDescent="0.25">
      <c r="B16" s="286"/>
      <c r="C16" s="286"/>
      <c r="E16" s="282"/>
      <c r="G16" s="282"/>
      <c r="I16" s="282"/>
      <c r="J16" s="282"/>
      <c r="L16" s="294" t="s">
        <v>1399</v>
      </c>
      <c r="N16" s="275" t="s">
        <v>1385</v>
      </c>
      <c r="P16" s="276">
        <f t="shared" si="3"/>
        <v>45626</v>
      </c>
      <c r="Q16" s="275">
        <v>21</v>
      </c>
      <c r="R16" s="275">
        <v>21</v>
      </c>
      <c r="S16" s="275">
        <v>30</v>
      </c>
      <c r="T16" s="275">
        <v>20</v>
      </c>
      <c r="U16" s="275">
        <v>20</v>
      </c>
      <c r="V16" s="275">
        <f t="shared" si="4"/>
        <v>16</v>
      </c>
      <c r="W16" s="275">
        <v>30</v>
      </c>
      <c r="AB16" s="275"/>
      <c r="AD16" s="278"/>
      <c r="AF16" s="278"/>
      <c r="AH16" s="278"/>
      <c r="AJ16" s="278"/>
      <c r="AL16" s="278"/>
      <c r="AN16" s="275"/>
      <c r="AP16" s="275"/>
      <c r="AR16" s="275"/>
      <c r="AT16" s="275"/>
      <c r="AV16" s="278" t="s">
        <v>1401</v>
      </c>
      <c r="AW16" s="279">
        <v>0.26</v>
      </c>
      <c r="AY16" s="278" t="s">
        <v>1402</v>
      </c>
      <c r="AZ16" s="279">
        <v>0.06</v>
      </c>
      <c r="BB16" s="278" t="s">
        <v>1403</v>
      </c>
      <c r="BC16" s="280">
        <v>1.7</v>
      </c>
      <c r="BE16" s="278" t="s">
        <v>777</v>
      </c>
      <c r="BG16" s="278" t="s">
        <v>1404</v>
      </c>
      <c r="BI16" s="278" t="s">
        <v>1390</v>
      </c>
      <c r="BK16" s="278"/>
      <c r="BM16" s="278"/>
      <c r="BO16" s="278" t="s">
        <v>1406</v>
      </c>
      <c r="BQ16" s="278"/>
      <c r="BS16" s="278" t="s">
        <v>1407</v>
      </c>
      <c r="BU16" s="278" t="s">
        <v>1408</v>
      </c>
      <c r="BW16" s="278"/>
      <c r="BY16" s="278" t="s">
        <v>1409</v>
      </c>
      <c r="CA16" s="278" t="s">
        <v>1396</v>
      </c>
      <c r="CC16" s="278" t="s">
        <v>1410</v>
      </c>
      <c r="CE16" s="278" t="s">
        <v>1411</v>
      </c>
      <c r="CG16" s="278" t="s">
        <v>1178</v>
      </c>
      <c r="CH16" s="281" t="str">
        <f t="shared" si="0"/>
        <v>ESP1210400F</v>
      </c>
      <c r="CI16" s="281">
        <v>29476</v>
      </c>
      <c r="CJ16" s="507">
        <v>31</v>
      </c>
      <c r="CK16" s="506">
        <v>4.75</v>
      </c>
      <c r="CL16" s="506"/>
      <c r="CM16" s="519">
        <f>IFERROR(VLOOKUP(CI16,'calculo_abs.'!$E$2:$F$280,2,FALSE),"sin dato")</f>
        <v>0.47498252427184462</v>
      </c>
      <c r="CN16" s="545" t="s">
        <v>1204</v>
      </c>
      <c r="CO16" s="545">
        <v>0</v>
      </c>
      <c r="CP16" s="545">
        <v>0</v>
      </c>
      <c r="CQ16" s="545">
        <f t="shared" si="1"/>
        <v>0</v>
      </c>
      <c r="CR16" s="545">
        <f t="shared" si="2"/>
        <v>0</v>
      </c>
      <c r="CX16" s="547">
        <v>29672</v>
      </c>
      <c r="CY16" s="546" t="s">
        <v>1200</v>
      </c>
      <c r="CZ16" s="546">
        <v>65920.75</v>
      </c>
    </row>
    <row r="17" spans="2:104" ht="15" x14ac:dyDescent="0.25">
      <c r="B17" s="286"/>
      <c r="C17" s="286"/>
      <c r="E17" s="282"/>
      <c r="G17" s="282"/>
      <c r="I17" s="282"/>
      <c r="J17" s="282"/>
      <c r="L17" s="275" t="s">
        <v>1412</v>
      </c>
      <c r="N17" s="275" t="s">
        <v>1400</v>
      </c>
      <c r="P17" s="276">
        <f t="shared" si="3"/>
        <v>45657</v>
      </c>
      <c r="Q17" s="275">
        <v>14</v>
      </c>
      <c r="R17" s="275">
        <v>14</v>
      </c>
      <c r="S17" s="275">
        <v>31</v>
      </c>
      <c r="T17" s="275">
        <v>19</v>
      </c>
      <c r="U17" s="275">
        <v>22</v>
      </c>
      <c r="V17" s="275">
        <v>12</v>
      </c>
      <c r="W17" s="275">
        <v>30</v>
      </c>
      <c r="AB17" s="275"/>
      <c r="AD17" s="275"/>
      <c r="AF17" s="275"/>
      <c r="AH17" s="275"/>
      <c r="AJ17" s="275"/>
      <c r="AL17" s="275"/>
      <c r="AN17" s="275"/>
      <c r="AP17" s="275"/>
      <c r="AR17" s="275"/>
      <c r="AT17" s="275"/>
      <c r="AV17" s="278" t="s">
        <v>202</v>
      </c>
      <c r="AW17" s="279">
        <v>0.16</v>
      </c>
      <c r="AY17" s="278" t="s">
        <v>222</v>
      </c>
      <c r="AZ17" s="279">
        <v>170</v>
      </c>
      <c r="BB17" s="278" t="s">
        <v>1414</v>
      </c>
      <c r="BC17" s="280">
        <v>2</v>
      </c>
      <c r="BE17" s="278" t="s">
        <v>1415</v>
      </c>
      <c r="BG17" s="278" t="s">
        <v>1404</v>
      </c>
      <c r="BI17" s="278" t="s">
        <v>1405</v>
      </c>
      <c r="BK17" s="278"/>
      <c r="BM17" s="278"/>
      <c r="BO17" s="278" t="s">
        <v>1417</v>
      </c>
      <c r="BQ17" s="278"/>
      <c r="BS17" s="278" t="s">
        <v>1418</v>
      </c>
      <c r="BU17" s="278" t="s">
        <v>548</v>
      </c>
      <c r="BW17" s="278"/>
      <c r="BY17" s="278" t="s">
        <v>1419</v>
      </c>
      <c r="CA17" s="278" t="s">
        <v>1420</v>
      </c>
      <c r="CC17" s="278" t="s">
        <v>1274</v>
      </c>
      <c r="CE17" s="278" t="s">
        <v>1421</v>
      </c>
      <c r="CG17" s="278" t="s">
        <v>1217</v>
      </c>
      <c r="CH17" s="281" t="str">
        <f t="shared" si="0"/>
        <v>12005945</v>
      </c>
      <c r="CI17" s="281">
        <v>29519</v>
      </c>
      <c r="CJ17" s="507">
        <v>56</v>
      </c>
      <c r="CK17" s="506">
        <v>3.78</v>
      </c>
      <c r="CL17" s="506"/>
      <c r="CM17" s="519" t="str">
        <f>IFERROR(VLOOKUP(CI17,'calculo_abs.'!$E$2:$F$280,2,FALSE),"sin dato")</f>
        <v>sin dato</v>
      </c>
      <c r="CN17" s="545" t="s">
        <v>1204</v>
      </c>
      <c r="CO17" s="545">
        <v>0</v>
      </c>
      <c r="CP17" s="545">
        <v>0</v>
      </c>
      <c r="CQ17" s="545">
        <f t="shared" si="1"/>
        <v>0</v>
      </c>
      <c r="CR17" s="545">
        <f t="shared" si="2"/>
        <v>0</v>
      </c>
      <c r="CX17" s="547">
        <v>29692</v>
      </c>
      <c r="CY17" s="546" t="s">
        <v>1422</v>
      </c>
      <c r="CZ17" s="546">
        <v>65486.9</v>
      </c>
    </row>
    <row r="18" spans="2:104" ht="15" x14ac:dyDescent="0.25">
      <c r="B18" s="286"/>
      <c r="C18" s="286"/>
      <c r="E18" s="282"/>
      <c r="G18" s="282"/>
      <c r="I18" s="282"/>
      <c r="J18" s="282"/>
      <c r="L18" s="275" t="s">
        <v>1423</v>
      </c>
      <c r="N18" s="275" t="s">
        <v>1413</v>
      </c>
      <c r="P18" s="276">
        <f t="shared" si="3"/>
        <v>45688</v>
      </c>
      <c r="Q18" s="275">
        <v>15</v>
      </c>
      <c r="R18" s="275">
        <v>15</v>
      </c>
      <c r="S18" s="275">
        <v>31</v>
      </c>
      <c r="T18" s="275">
        <v>23</v>
      </c>
      <c r="U18" s="275">
        <v>23</v>
      </c>
      <c r="V18" s="275">
        <v>18</v>
      </c>
      <c r="W18" s="275">
        <v>30</v>
      </c>
      <c r="AB18" s="275"/>
      <c r="AD18" s="275"/>
      <c r="AF18" s="275"/>
      <c r="AH18" s="275"/>
      <c r="AJ18" s="275"/>
      <c r="AL18" s="275"/>
      <c r="AN18" s="275"/>
      <c r="AP18" s="275"/>
      <c r="AR18" s="275"/>
      <c r="AT18" s="275"/>
      <c r="AV18" s="278" t="s">
        <v>214</v>
      </c>
      <c r="AW18" s="279">
        <v>8</v>
      </c>
      <c r="AY18" s="278" t="s">
        <v>1424</v>
      </c>
      <c r="AZ18" s="280">
        <v>0.6</v>
      </c>
      <c r="BB18" s="278" t="s">
        <v>1425</v>
      </c>
      <c r="BC18" s="280">
        <v>2</v>
      </c>
      <c r="BE18" s="278" t="s">
        <v>1426</v>
      </c>
      <c r="BG18" s="278" t="s">
        <v>1427</v>
      </c>
      <c r="BI18" s="278" t="s">
        <v>1416</v>
      </c>
      <c r="BK18" s="278"/>
      <c r="BM18" s="278"/>
      <c r="BO18" s="278" t="s">
        <v>1429</v>
      </c>
      <c r="BQ18" s="278"/>
      <c r="BS18" s="278" t="s">
        <v>1430</v>
      </c>
      <c r="BU18" s="278" t="s">
        <v>1431</v>
      </c>
      <c r="BW18" s="278"/>
      <c r="BY18" s="278" t="s">
        <v>1432</v>
      </c>
      <c r="CA18" s="278" t="s">
        <v>1351</v>
      </c>
      <c r="CC18" s="278"/>
      <c r="CE18" s="278" t="s">
        <v>1433</v>
      </c>
      <c r="CG18" s="278" t="s">
        <v>1216</v>
      </c>
      <c r="CH18" s="281" t="str">
        <f t="shared" si="0"/>
        <v>ESP1208400J</v>
      </c>
      <c r="CI18" s="281">
        <v>29492</v>
      </c>
      <c r="CJ18" s="507">
        <v>41.857142857142854</v>
      </c>
      <c r="CK18" s="506">
        <v>3.91</v>
      </c>
      <c r="CL18" s="506"/>
      <c r="CM18" s="519" t="str">
        <f>IFERROR(VLOOKUP(CI18,'calculo_abs.'!$E$2:$F$280,2,FALSE),"sin dato")</f>
        <v>sin dato</v>
      </c>
      <c r="CN18" s="545" t="s">
        <v>1204</v>
      </c>
      <c r="CO18" s="545">
        <v>0</v>
      </c>
      <c r="CP18" s="545">
        <v>0</v>
      </c>
      <c r="CQ18" s="545">
        <f t="shared" si="1"/>
        <v>0</v>
      </c>
      <c r="CR18" s="545">
        <f t="shared" si="2"/>
        <v>0</v>
      </c>
      <c r="CX18" s="547">
        <v>29685</v>
      </c>
      <c r="CY18" s="546" t="s">
        <v>1246</v>
      </c>
      <c r="CZ18" s="546">
        <v>54254.12</v>
      </c>
    </row>
    <row r="19" spans="2:104" ht="15" x14ac:dyDescent="0.25">
      <c r="B19" s="286"/>
      <c r="C19" s="286"/>
      <c r="E19" s="282"/>
      <c r="G19" s="282"/>
      <c r="I19" s="282"/>
      <c r="J19" s="282"/>
      <c r="L19" s="275" t="s">
        <v>1434</v>
      </c>
      <c r="N19" s="275"/>
      <c r="P19" s="276">
        <f t="shared" si="3"/>
        <v>45716</v>
      </c>
      <c r="Q19" s="275">
        <v>21</v>
      </c>
      <c r="R19" s="275">
        <v>21</v>
      </c>
      <c r="S19" s="275">
        <v>29</v>
      </c>
      <c r="T19" s="275">
        <v>20</v>
      </c>
      <c r="U19" s="275">
        <v>20</v>
      </c>
      <c r="V19" s="275">
        <v>16</v>
      </c>
      <c r="W19" s="275">
        <v>30</v>
      </c>
      <c r="AB19" s="275"/>
      <c r="AD19" s="275"/>
      <c r="AF19" s="275"/>
      <c r="AH19" s="275"/>
      <c r="AJ19" s="275"/>
      <c r="AL19" s="275"/>
      <c r="AN19" s="275"/>
      <c r="AP19" s="275"/>
      <c r="AR19" s="275"/>
      <c r="AT19" s="275"/>
      <c r="AV19" s="278" t="s">
        <v>1435</v>
      </c>
      <c r="AW19" s="279">
        <v>38.5</v>
      </c>
      <c r="AY19" s="278" t="s">
        <v>1436</v>
      </c>
      <c r="AZ19" s="279">
        <v>0.01</v>
      </c>
      <c r="BB19" s="278" t="s">
        <v>1437</v>
      </c>
      <c r="BC19" s="280">
        <v>2</v>
      </c>
      <c r="BE19" s="278"/>
      <c r="BG19" s="278" t="s">
        <v>1438</v>
      </c>
      <c r="BI19" s="278" t="s">
        <v>1428</v>
      </c>
      <c r="BK19" s="278"/>
      <c r="BM19" s="278"/>
      <c r="BO19" s="278" t="s">
        <v>1439</v>
      </c>
      <c r="BQ19" s="278"/>
      <c r="BS19" s="278" t="s">
        <v>1440</v>
      </c>
      <c r="BU19" s="278" t="s">
        <v>1441</v>
      </c>
      <c r="BW19" s="278"/>
      <c r="BY19" s="278" t="s">
        <v>1442</v>
      </c>
      <c r="CA19" s="278" t="s">
        <v>1351</v>
      </c>
      <c r="CC19" s="278"/>
      <c r="CE19" s="278"/>
      <c r="CG19" s="278" t="s">
        <v>1218</v>
      </c>
      <c r="CH19" s="281" t="str">
        <f t="shared" si="0"/>
        <v>46001254</v>
      </c>
      <c r="CI19" s="281">
        <v>29463</v>
      </c>
      <c r="CJ19" s="507">
        <v>83.6</v>
      </c>
      <c r="CK19" s="506">
        <v>2.72</v>
      </c>
      <c r="CL19" s="506"/>
      <c r="CM19" s="519">
        <f>IFERROR(VLOOKUP(CI19,'calculo_abs.'!$E$2:$F$280,2,FALSE),"sin dato")</f>
        <v>3.9774724183678237E-2</v>
      </c>
      <c r="CN19" s="545" t="s">
        <v>1204</v>
      </c>
      <c r="CO19" s="545">
        <v>0</v>
      </c>
      <c r="CP19" s="545">
        <v>0</v>
      </c>
      <c r="CQ19" s="545">
        <f t="shared" si="1"/>
        <v>0</v>
      </c>
      <c r="CR19" s="545">
        <f t="shared" si="2"/>
        <v>0</v>
      </c>
      <c r="CX19" s="547">
        <v>29316</v>
      </c>
      <c r="CY19" s="546" t="s">
        <v>1398</v>
      </c>
      <c r="CZ19" s="546">
        <v>50810.77</v>
      </c>
    </row>
    <row r="20" spans="2:104" ht="15" x14ac:dyDescent="0.25">
      <c r="B20" s="286"/>
      <c r="C20" s="286"/>
      <c r="L20" s="275" t="s">
        <v>1443</v>
      </c>
      <c r="N20" s="275"/>
      <c r="P20" s="276">
        <f t="shared" si="3"/>
        <v>45747</v>
      </c>
      <c r="Q20" s="275">
        <v>18</v>
      </c>
      <c r="R20" s="275">
        <v>18</v>
      </c>
      <c r="S20" s="275">
        <v>31</v>
      </c>
      <c r="T20" s="275">
        <v>20</v>
      </c>
      <c r="U20" s="275">
        <v>21</v>
      </c>
      <c r="V20" s="275">
        <v>17</v>
      </c>
      <c r="W20" s="275">
        <v>30</v>
      </c>
      <c r="AB20" s="275"/>
      <c r="AD20" s="275"/>
      <c r="AF20" s="275"/>
      <c r="AH20" s="275"/>
      <c r="AJ20" s="275"/>
      <c r="AL20" s="275"/>
      <c r="AN20" s="275"/>
      <c r="AP20" s="275"/>
      <c r="AR20" s="275"/>
      <c r="AT20" s="275"/>
      <c r="AV20" s="278" t="s">
        <v>1444</v>
      </c>
      <c r="AW20" s="279">
        <v>0.5</v>
      </c>
      <c r="AY20" s="278" t="s">
        <v>1445</v>
      </c>
      <c r="AZ20" s="279">
        <v>7.0000000000000007E-2</v>
      </c>
      <c r="BB20" s="278" t="s">
        <v>1446</v>
      </c>
      <c r="BC20" s="280">
        <v>2</v>
      </c>
      <c r="BE20" s="278"/>
      <c r="BG20" s="278" t="s">
        <v>1447</v>
      </c>
      <c r="BI20" s="278" t="s">
        <v>871</v>
      </c>
      <c r="BK20" s="278"/>
      <c r="BM20" s="278"/>
      <c r="BO20" s="278" t="s">
        <v>1216</v>
      </c>
      <c r="BQ20" s="278"/>
      <c r="BS20" s="278" t="s">
        <v>1442</v>
      </c>
      <c r="BU20" s="278" t="s">
        <v>1449</v>
      </c>
      <c r="BW20" s="278"/>
      <c r="BY20" s="278" t="s">
        <v>1450</v>
      </c>
      <c r="CA20" s="278"/>
      <c r="CC20" s="278"/>
      <c r="CE20" s="278"/>
      <c r="CG20" s="278" t="s">
        <v>1156</v>
      </c>
      <c r="CH20" s="281" t="str">
        <f t="shared" si="0"/>
        <v>46005818</v>
      </c>
      <c r="CI20" s="281">
        <v>29428</v>
      </c>
      <c r="CJ20" s="507">
        <v>50.61904761904762</v>
      </c>
      <c r="CK20" s="506">
        <v>2.95</v>
      </c>
      <c r="CL20" s="506"/>
      <c r="CM20" s="519" t="str">
        <f>IFERROR(VLOOKUP(CI20,'calculo_abs.'!$E$2:$F$280,2,FALSE),"sin dato")</f>
        <v>sin dato</v>
      </c>
      <c r="CN20" s="545" t="s">
        <v>1204</v>
      </c>
      <c r="CO20" s="545">
        <v>0</v>
      </c>
      <c r="CP20" s="545">
        <v>0</v>
      </c>
      <c r="CQ20" s="545">
        <f t="shared" si="1"/>
        <v>0</v>
      </c>
      <c r="CR20" s="545">
        <f t="shared" si="2"/>
        <v>0</v>
      </c>
      <c r="CX20" s="547">
        <v>50591</v>
      </c>
      <c r="CY20" s="546" t="s">
        <v>1347</v>
      </c>
      <c r="CZ20" s="546">
        <v>44852.639999999999</v>
      </c>
    </row>
    <row r="21" spans="2:104" ht="15" x14ac:dyDescent="0.25">
      <c r="B21" s="286"/>
      <c r="C21" s="286"/>
      <c r="L21" s="275" t="s">
        <v>1451</v>
      </c>
      <c r="N21" s="275"/>
      <c r="P21" s="276">
        <f t="shared" si="3"/>
        <v>45777</v>
      </c>
      <c r="Q21" s="275">
        <v>15</v>
      </c>
      <c r="R21" s="275">
        <v>15</v>
      </c>
      <c r="S21" s="275">
        <v>30</v>
      </c>
      <c r="T21" s="275">
        <v>20</v>
      </c>
      <c r="U21" s="275">
        <v>22</v>
      </c>
      <c r="V21" s="275">
        <v>18</v>
      </c>
      <c r="W21" s="275">
        <v>30</v>
      </c>
      <c r="AB21" s="275"/>
      <c r="AD21" s="275"/>
      <c r="AF21" s="275"/>
      <c r="AH21" s="275"/>
      <c r="AJ21" s="275"/>
      <c r="AL21" s="275"/>
      <c r="AN21" s="275"/>
      <c r="AP21" s="275"/>
      <c r="AR21" s="275"/>
      <c r="AT21" s="275"/>
      <c r="AV21" s="278" t="s">
        <v>1452</v>
      </c>
      <c r="AW21" s="279">
        <v>0.16</v>
      </c>
      <c r="AY21" s="278" t="s">
        <v>1453</v>
      </c>
      <c r="AZ21" s="279">
        <v>0.01</v>
      </c>
      <c r="BB21" s="278" t="s">
        <v>1454</v>
      </c>
      <c r="BC21" s="280"/>
      <c r="BE21" s="278"/>
      <c r="BG21" s="278" t="s">
        <v>1455</v>
      </c>
      <c r="BI21" s="278" t="s">
        <v>1448</v>
      </c>
      <c r="BK21" s="278"/>
      <c r="BM21" s="278"/>
      <c r="BO21" s="278" t="s">
        <v>1457</v>
      </c>
      <c r="BQ21" s="278"/>
      <c r="BS21" s="278"/>
      <c r="BU21" s="278" t="s">
        <v>1458</v>
      </c>
      <c r="BW21" s="278"/>
      <c r="BY21" s="278" t="s">
        <v>1459</v>
      </c>
      <c r="CA21" s="278"/>
      <c r="CC21" s="278"/>
      <c r="CE21" s="278"/>
      <c r="CG21" s="278" t="s">
        <v>1241</v>
      </c>
      <c r="CH21" s="281" t="str">
        <f t="shared" si="0"/>
        <v>46006771</v>
      </c>
      <c r="CI21" s="281">
        <v>29409</v>
      </c>
      <c r="CJ21" s="507">
        <v>118.2</v>
      </c>
      <c r="CK21" s="506">
        <v>2.0499999999999998</v>
      </c>
      <c r="CL21" s="506"/>
      <c r="CM21" s="519">
        <f>IFERROR(VLOOKUP(CI21,'calculo_abs.'!$E$2:$F$280,2,FALSE),"sin dato")</f>
        <v>2.9755641377909557E-2</v>
      </c>
      <c r="CN21" s="545">
        <v>14390</v>
      </c>
      <c r="CO21" s="545">
        <v>8802.7199999999993</v>
      </c>
      <c r="CP21" s="545">
        <v>7373.7862620000024</v>
      </c>
      <c r="CQ21" s="545">
        <f t="shared" si="1"/>
        <v>16176.506262000003</v>
      </c>
      <c r="CR21" s="545">
        <f t="shared" si="2"/>
        <v>1.1241491495482976</v>
      </c>
      <c r="CX21" s="547">
        <v>29689</v>
      </c>
      <c r="CY21" s="546" t="s">
        <v>1244</v>
      </c>
      <c r="CZ21" s="546">
        <v>44368.25</v>
      </c>
    </row>
    <row r="22" spans="2:104" ht="15" x14ac:dyDescent="0.25">
      <c r="B22" s="286"/>
      <c r="C22" s="286"/>
      <c r="L22" s="275" t="s">
        <v>1460</v>
      </c>
      <c r="N22" s="275"/>
      <c r="P22" s="276">
        <f t="shared" si="3"/>
        <v>45808</v>
      </c>
      <c r="Q22" s="275">
        <v>22</v>
      </c>
      <c r="R22" s="275">
        <v>22</v>
      </c>
      <c r="S22" s="275">
        <v>31</v>
      </c>
      <c r="T22" s="275">
        <v>21</v>
      </c>
      <c r="U22" s="275">
        <v>22</v>
      </c>
      <c r="V22" s="275">
        <v>17</v>
      </c>
      <c r="W22" s="275">
        <v>30</v>
      </c>
      <c r="AB22" s="275"/>
      <c r="AD22" s="275"/>
      <c r="AF22" s="275"/>
      <c r="AH22" s="275"/>
      <c r="AJ22" s="275"/>
      <c r="AL22" s="275"/>
      <c r="AN22" s="275"/>
      <c r="AP22" s="275"/>
      <c r="AR22" s="275"/>
      <c r="AT22" s="275"/>
      <c r="AV22" s="278" t="s">
        <v>1461</v>
      </c>
      <c r="AW22" s="279">
        <v>0.01</v>
      </c>
      <c r="AY22" s="278" t="s">
        <v>1462</v>
      </c>
      <c r="AZ22" s="279">
        <v>0.05</v>
      </c>
      <c r="BB22" s="278" t="s">
        <v>1463</v>
      </c>
      <c r="BC22" s="280"/>
      <c r="BE22" s="278"/>
      <c r="BG22" s="278" t="s">
        <v>1464</v>
      </c>
      <c r="BI22" s="278" t="s">
        <v>1456</v>
      </c>
      <c r="BK22" s="278"/>
      <c r="BM22" s="278"/>
      <c r="BO22" s="278"/>
      <c r="BQ22" s="278"/>
      <c r="BS22" s="278"/>
      <c r="BU22" s="278" t="s">
        <v>1465</v>
      </c>
      <c r="BW22" s="278"/>
      <c r="BY22" s="278" t="s">
        <v>1459</v>
      </c>
      <c r="CA22" s="278"/>
      <c r="CC22" s="278"/>
      <c r="CE22" s="278"/>
      <c r="CG22" s="278" t="s">
        <v>1155</v>
      </c>
      <c r="CH22" s="281" t="str">
        <f t="shared" si="0"/>
        <v>03001726</v>
      </c>
      <c r="CI22" s="281">
        <v>29664</v>
      </c>
      <c r="CJ22" s="507">
        <v>158.44999999999999</v>
      </c>
      <c r="CK22" s="506">
        <v>2.7</v>
      </c>
      <c r="CL22" s="506"/>
      <c r="CM22" s="519">
        <f>IFERROR(VLOOKUP(CI22,'calculo_abs.'!$E$2:$F$280,2,FALSE),"sin dato")</f>
        <v>0.11101784676653263</v>
      </c>
      <c r="CN22" s="545" t="s">
        <v>1204</v>
      </c>
      <c r="CO22" s="545">
        <v>0</v>
      </c>
      <c r="CP22" s="545">
        <v>0</v>
      </c>
      <c r="CQ22" s="545">
        <f t="shared" si="1"/>
        <v>0</v>
      </c>
      <c r="CR22" s="545">
        <f t="shared" si="2"/>
        <v>0</v>
      </c>
      <c r="CX22" s="547">
        <v>29691</v>
      </c>
      <c r="CY22" s="546" t="s">
        <v>1290</v>
      </c>
      <c r="CZ22" s="546">
        <v>44155.61</v>
      </c>
    </row>
    <row r="23" spans="2:104" ht="15" x14ac:dyDescent="0.25">
      <c r="B23" s="286"/>
      <c r="C23" s="286"/>
      <c r="L23" s="275" t="s">
        <v>1466</v>
      </c>
      <c r="N23" s="275"/>
      <c r="P23" s="276">
        <f t="shared" si="3"/>
        <v>45838</v>
      </c>
      <c r="Q23" s="275">
        <v>15</v>
      </c>
      <c r="R23" s="275">
        <v>15</v>
      </c>
      <c r="S23" s="275">
        <v>30</v>
      </c>
      <c r="T23" s="275">
        <v>21</v>
      </c>
      <c r="U23" s="275">
        <v>21</v>
      </c>
      <c r="V23" s="275">
        <v>17</v>
      </c>
      <c r="W23" s="275">
        <v>20</v>
      </c>
      <c r="AB23" s="275"/>
      <c r="AD23" s="275"/>
      <c r="AF23" s="275"/>
      <c r="AH23" s="275"/>
      <c r="AJ23" s="275"/>
      <c r="AL23" s="275"/>
      <c r="AN23" s="275"/>
      <c r="AP23" s="275"/>
      <c r="AR23" s="275"/>
      <c r="AT23" s="275"/>
      <c r="AV23" s="278" t="s">
        <v>1467</v>
      </c>
      <c r="AW23" s="279">
        <v>3.2000000000000001E-2</v>
      </c>
      <c r="AY23" s="278" t="s">
        <v>1468</v>
      </c>
      <c r="AZ23" s="279">
        <v>0.01</v>
      </c>
      <c r="BB23" s="278" t="s">
        <v>1469</v>
      </c>
      <c r="BC23" s="280">
        <v>1.7</v>
      </c>
      <c r="BE23" s="278"/>
      <c r="BG23" s="278"/>
      <c r="BI23" s="278"/>
      <c r="BK23" s="278"/>
      <c r="BM23" s="278"/>
      <c r="BO23" s="278"/>
      <c r="BQ23" s="278"/>
      <c r="BS23" s="278"/>
      <c r="BU23" s="278" t="s">
        <v>1470</v>
      </c>
      <c r="BW23" s="278"/>
      <c r="BY23" s="278" t="s">
        <v>1471</v>
      </c>
      <c r="CA23" s="278"/>
      <c r="CC23" s="278"/>
      <c r="CE23" s="278"/>
      <c r="CG23" s="278" t="s">
        <v>1239</v>
      </c>
      <c r="CH23" s="281" t="str">
        <f t="shared" si="0"/>
        <v>12006627-2</v>
      </c>
      <c r="CI23" s="281">
        <v>29478</v>
      </c>
      <c r="CJ23" s="507">
        <v>118.69736842105263</v>
      </c>
      <c r="CK23" s="506">
        <v>3.86</v>
      </c>
      <c r="CL23" s="506"/>
      <c r="CM23" s="519" t="str">
        <f>IFERROR(VLOOKUP(CI23,'calculo_abs.'!$E$2:$F$280,2,FALSE),"sin dato")</f>
        <v>sin dato</v>
      </c>
      <c r="CN23" s="545" t="s">
        <v>1204</v>
      </c>
      <c r="CO23" s="545">
        <v>0</v>
      </c>
      <c r="CP23" s="545">
        <v>0</v>
      </c>
      <c r="CQ23" s="545">
        <f t="shared" si="1"/>
        <v>0</v>
      </c>
      <c r="CR23" s="545">
        <f t="shared" si="2"/>
        <v>0</v>
      </c>
      <c r="CX23" s="547">
        <v>53745</v>
      </c>
      <c r="CY23" s="546" t="s">
        <v>1329</v>
      </c>
      <c r="CZ23" s="546">
        <v>40558.870000000003</v>
      </c>
    </row>
    <row r="24" spans="2:104" ht="15" x14ac:dyDescent="0.25">
      <c r="B24" s="286"/>
      <c r="C24" s="286"/>
      <c r="L24" s="275" t="s">
        <v>1472</v>
      </c>
      <c r="P24" s="276">
        <f t="shared" si="3"/>
        <v>45869</v>
      </c>
      <c r="Q24" s="275">
        <v>0</v>
      </c>
      <c r="R24" s="275">
        <v>0</v>
      </c>
      <c r="S24" s="275">
        <v>31</v>
      </c>
      <c r="T24" s="275">
        <v>21</v>
      </c>
      <c r="U24" s="275">
        <v>21</v>
      </c>
      <c r="V24" s="275">
        <v>17</v>
      </c>
      <c r="W24" s="275">
        <v>23</v>
      </c>
      <c r="AV24" s="278" t="s">
        <v>1473</v>
      </c>
      <c r="AW24" s="279">
        <v>5.0000000000000001E-3</v>
      </c>
      <c r="AY24" s="278" t="s">
        <v>1474</v>
      </c>
      <c r="AZ24" s="279">
        <v>0.05</v>
      </c>
      <c r="BB24" s="278" t="s">
        <v>1475</v>
      </c>
      <c r="BC24" s="280">
        <v>1</v>
      </c>
      <c r="BE24" s="278"/>
      <c r="BG24" s="278"/>
      <c r="BI24" s="278"/>
      <c r="BK24" s="278"/>
      <c r="BM24" s="278"/>
      <c r="BO24" s="278"/>
      <c r="BQ24" s="278"/>
      <c r="BS24" s="278"/>
      <c r="BU24" s="278"/>
      <c r="BW24" s="278"/>
      <c r="BY24" s="278" t="s">
        <v>1471</v>
      </c>
      <c r="CA24" s="278"/>
      <c r="CC24" s="278"/>
      <c r="CE24" s="278"/>
      <c r="CG24" s="278" t="s">
        <v>1240</v>
      </c>
      <c r="CH24" s="281" t="str">
        <f t="shared" si="0"/>
        <v>12006639-2</v>
      </c>
      <c r="CI24" s="281">
        <v>29379</v>
      </c>
      <c r="CJ24" s="507">
        <v>132.63947368421051</v>
      </c>
      <c r="CK24" s="506">
        <v>2.06</v>
      </c>
      <c r="CL24" s="506"/>
      <c r="CM24" s="519">
        <f>IFERROR(VLOOKUP(CI24,'calculo_abs.'!$E$2:$F$280,2,FALSE),"sin dato")</f>
        <v>2.6087275754366916E-2</v>
      </c>
      <c r="CN24" s="545">
        <v>8458</v>
      </c>
      <c r="CO24" s="545">
        <v>6590.6</v>
      </c>
      <c r="CP24" s="545">
        <v>4921.4801484999989</v>
      </c>
      <c r="CQ24" s="545">
        <f t="shared" si="1"/>
        <v>11512.080148499999</v>
      </c>
      <c r="CR24" s="545">
        <f t="shared" si="2"/>
        <v>1.3610877451525183</v>
      </c>
      <c r="CX24" s="547">
        <v>29298</v>
      </c>
      <c r="CY24" s="546" t="s">
        <v>1182</v>
      </c>
      <c r="CZ24" s="546">
        <v>40331.46</v>
      </c>
    </row>
    <row r="25" spans="2:104" ht="15" x14ac:dyDescent="0.25">
      <c r="B25" s="286"/>
      <c r="C25" s="286"/>
      <c r="L25" s="275" t="s">
        <v>1476</v>
      </c>
      <c r="P25" s="276">
        <f t="shared" si="3"/>
        <v>45900</v>
      </c>
      <c r="Q25" s="275">
        <v>0</v>
      </c>
      <c r="R25" s="275">
        <v>0</v>
      </c>
      <c r="S25" s="275">
        <v>31</v>
      </c>
      <c r="T25" s="275">
        <v>21</v>
      </c>
      <c r="U25" s="275">
        <v>22</v>
      </c>
      <c r="V25" s="275">
        <v>18</v>
      </c>
      <c r="W25" s="275">
        <v>21</v>
      </c>
      <c r="AV25" s="278" t="s">
        <v>1477</v>
      </c>
      <c r="AW25" s="279">
        <v>0.21</v>
      </c>
      <c r="AY25" s="278" t="s">
        <v>228</v>
      </c>
      <c r="AZ25" s="705">
        <v>1.7999999999999999E-2</v>
      </c>
      <c r="BB25" s="278" t="s">
        <v>1478</v>
      </c>
      <c r="BC25" s="280">
        <v>1</v>
      </c>
      <c r="BE25" s="278"/>
      <c r="BG25" s="278"/>
      <c r="BI25" s="278"/>
      <c r="BK25" s="278"/>
      <c r="BM25" s="278"/>
      <c r="BO25" s="278"/>
      <c r="BQ25" s="278"/>
      <c r="BS25" s="278"/>
      <c r="BU25" s="278"/>
      <c r="BW25" s="278"/>
      <c r="BY25" s="278"/>
      <c r="CA25" s="278"/>
      <c r="CC25" s="278"/>
      <c r="CE25" s="278"/>
      <c r="CG25" s="278" t="s">
        <v>791</v>
      </c>
      <c r="CH25" s="281" t="str">
        <f t="shared" si="0"/>
        <v>12005490-2</v>
      </c>
      <c r="CI25" s="281">
        <v>29473</v>
      </c>
      <c r="CJ25" s="507">
        <v>36.157894736842103</v>
      </c>
      <c r="CK25" s="506">
        <v>3.86</v>
      </c>
      <c r="CL25" s="506"/>
      <c r="CM25" s="519">
        <f>IFERROR(VLOOKUP(CI25,'calculo_abs.'!$E$2:$F$280,2,FALSE),"sin dato")</f>
        <v>1.24491279337916E-2</v>
      </c>
      <c r="CN25" s="545" t="s">
        <v>1204</v>
      </c>
      <c r="CO25" s="545">
        <v>0</v>
      </c>
      <c r="CP25" s="545">
        <v>0</v>
      </c>
      <c r="CQ25" s="545">
        <f t="shared" si="1"/>
        <v>0</v>
      </c>
      <c r="CR25" s="545">
        <f t="shared" si="2"/>
        <v>0</v>
      </c>
      <c r="CX25" s="547">
        <v>29688</v>
      </c>
      <c r="CY25" s="546" t="s">
        <v>1407</v>
      </c>
      <c r="CZ25" s="546">
        <v>40240.1</v>
      </c>
    </row>
    <row r="26" spans="2:104" ht="15" x14ac:dyDescent="0.25">
      <c r="B26" s="286"/>
      <c r="C26" s="286"/>
      <c r="L26" s="275" t="s">
        <v>1479</v>
      </c>
      <c r="P26" s="276">
        <f t="shared" si="3"/>
        <v>45930</v>
      </c>
      <c r="Q26" s="275">
        <v>10</v>
      </c>
      <c r="R26" s="275">
        <v>10</v>
      </c>
      <c r="S26" s="275">
        <v>30</v>
      </c>
      <c r="T26" s="275">
        <v>23</v>
      </c>
      <c r="U26" s="275">
        <v>23</v>
      </c>
      <c r="V26" s="275">
        <v>18</v>
      </c>
      <c r="W26" s="275"/>
      <c r="AV26" s="278" t="s">
        <v>1480</v>
      </c>
      <c r="AW26" s="279">
        <v>0.32</v>
      </c>
      <c r="AY26" s="278" t="s">
        <v>1481</v>
      </c>
      <c r="AZ26" s="279">
        <v>0.39</v>
      </c>
      <c r="BB26" s="278" t="s">
        <v>1482</v>
      </c>
      <c r="BC26" s="280">
        <v>100</v>
      </c>
      <c r="BE26" s="278"/>
      <c r="BG26" s="278"/>
      <c r="BI26" s="278"/>
      <c r="BK26" s="278"/>
      <c r="BM26" s="278"/>
      <c r="BO26" s="278"/>
      <c r="BQ26" s="278"/>
      <c r="BS26" s="278"/>
      <c r="BU26" s="278"/>
      <c r="BW26" s="278"/>
      <c r="BY26" s="278"/>
      <c r="CA26" s="278"/>
      <c r="CC26" s="278"/>
      <c r="CE26" s="278"/>
      <c r="CG26" s="278" t="s">
        <v>1262</v>
      </c>
      <c r="CH26" s="281" t="str">
        <f t="shared" si="0"/>
        <v>46031611</v>
      </c>
      <c r="CI26" s="281">
        <v>54226</v>
      </c>
      <c r="CJ26" s="507">
        <v>20</v>
      </c>
      <c r="CK26" s="506">
        <v>3.2</v>
      </c>
      <c r="CL26" s="506"/>
      <c r="CM26" s="519" t="str">
        <f>IFERROR(VLOOKUP(CI26,'calculo_abs.'!$E$2:$F$280,2,FALSE),"sin dato")</f>
        <v>sin dato</v>
      </c>
      <c r="CN26" s="545" t="s">
        <v>1204</v>
      </c>
      <c r="CO26" s="545">
        <v>0</v>
      </c>
      <c r="CP26" s="545">
        <v>0</v>
      </c>
      <c r="CQ26" s="545">
        <f t="shared" si="1"/>
        <v>0</v>
      </c>
      <c r="CR26" s="545">
        <f t="shared" si="2"/>
        <v>0</v>
      </c>
      <c r="CX26" s="547">
        <v>29684</v>
      </c>
      <c r="CY26" s="546" t="s">
        <v>1483</v>
      </c>
      <c r="CZ26" s="546">
        <v>40009.14</v>
      </c>
    </row>
    <row r="27" spans="2:104" ht="15" x14ac:dyDescent="0.25">
      <c r="B27" s="286"/>
      <c r="C27" s="286"/>
      <c r="L27" s="275" t="s">
        <v>1484</v>
      </c>
      <c r="P27" s="276">
        <f t="shared" si="3"/>
        <v>45961</v>
      </c>
      <c r="Q27" s="275">
        <v>20</v>
      </c>
      <c r="R27" s="275">
        <v>20</v>
      </c>
      <c r="S27" s="275">
        <v>31</v>
      </c>
      <c r="T27" s="275">
        <v>20</v>
      </c>
      <c r="U27" s="275">
        <v>23</v>
      </c>
      <c r="V27" s="275">
        <v>19</v>
      </c>
      <c r="W27" s="275"/>
      <c r="AV27" s="278" t="s">
        <v>1485</v>
      </c>
      <c r="AW27" s="279">
        <v>0.19</v>
      </c>
      <c r="AY27" s="278" t="s">
        <v>1486</v>
      </c>
      <c r="AZ27" s="279">
        <v>0.56000000000000005</v>
      </c>
      <c r="BB27" s="278" t="s">
        <v>1487</v>
      </c>
      <c r="BC27" s="280">
        <v>200</v>
      </c>
      <c r="BE27" s="278"/>
      <c r="BG27" s="278"/>
      <c r="BI27" s="278"/>
      <c r="BK27" s="278"/>
      <c r="BM27" s="278"/>
      <c r="BO27" s="278"/>
      <c r="BQ27" s="278"/>
      <c r="BS27" s="278"/>
      <c r="BU27" s="278"/>
      <c r="BW27" s="278"/>
      <c r="BY27" s="278"/>
      <c r="CA27" s="278"/>
      <c r="CC27" s="278"/>
      <c r="CE27" s="278"/>
      <c r="CG27" s="278" t="s">
        <v>1152</v>
      </c>
      <c r="CH27" s="281" t="str">
        <f t="shared" si="0"/>
        <v>46013475</v>
      </c>
      <c r="CI27" s="281">
        <v>29318</v>
      </c>
      <c r="CJ27" s="507">
        <v>382.41176470588238</v>
      </c>
      <c r="CK27" s="506">
        <v>3.19</v>
      </c>
      <c r="CL27" s="506"/>
      <c r="CM27" s="519">
        <f>IFERROR(VLOOKUP(CI27,'calculo_abs.'!$E$2:$F$280,2,FALSE),"sin dato")</f>
        <v>0.13581702586812863</v>
      </c>
      <c r="CN27" s="545">
        <v>49695</v>
      </c>
      <c r="CO27" s="545">
        <v>31515.21</v>
      </c>
      <c r="CP27" s="545">
        <v>26625.298851999971</v>
      </c>
      <c r="CQ27" s="545">
        <f t="shared" si="1"/>
        <v>58140.50885199997</v>
      </c>
      <c r="CR27" s="545">
        <f t="shared" si="2"/>
        <v>1.1699468528423376</v>
      </c>
      <c r="CX27" s="547">
        <v>54247</v>
      </c>
      <c r="CY27" s="546" t="s">
        <v>1488</v>
      </c>
      <c r="CZ27" s="546">
        <v>38700.06</v>
      </c>
    </row>
    <row r="28" spans="2:104" ht="15" x14ac:dyDescent="0.25">
      <c r="B28" s="286"/>
      <c r="C28" s="286"/>
      <c r="L28" s="282"/>
      <c r="P28" s="276">
        <f t="shared" si="3"/>
        <v>45991</v>
      </c>
      <c r="Q28" s="275">
        <v>21</v>
      </c>
      <c r="R28" s="275">
        <v>21</v>
      </c>
      <c r="S28" s="275">
        <v>30</v>
      </c>
      <c r="T28" s="275">
        <v>19</v>
      </c>
      <c r="U28" s="275">
        <v>20</v>
      </c>
      <c r="V28" s="275">
        <v>16</v>
      </c>
      <c r="W28" s="275"/>
      <c r="AV28" s="278" t="s">
        <v>1489</v>
      </c>
      <c r="AW28" s="279">
        <v>0.12</v>
      </c>
      <c r="AY28" s="278" t="s">
        <v>1490</v>
      </c>
      <c r="AZ28" s="279">
        <v>0.56000000000000005</v>
      </c>
      <c r="BB28" s="278" t="s">
        <v>1491</v>
      </c>
      <c r="BC28" s="280">
        <v>200</v>
      </c>
      <c r="BE28" s="278"/>
      <c r="BG28" s="278"/>
      <c r="BI28" s="278"/>
      <c r="BK28" s="278"/>
      <c r="BM28" s="278"/>
      <c r="BO28" s="278"/>
      <c r="BQ28" s="278"/>
      <c r="BS28" s="278"/>
      <c r="BU28" s="278"/>
      <c r="BW28" s="278"/>
      <c r="BY28" s="278"/>
      <c r="CA28" s="278"/>
      <c r="CC28" s="278"/>
      <c r="CE28" s="278"/>
      <c r="CG28" s="278" t="s">
        <v>1176</v>
      </c>
      <c r="CH28" s="281" t="str">
        <f t="shared" si="0"/>
        <v>03017023</v>
      </c>
      <c r="CI28" s="281">
        <v>49504</v>
      </c>
      <c r="CJ28" s="507">
        <v>342.75</v>
      </c>
      <c r="CK28" s="506">
        <v>3.47</v>
      </c>
      <c r="CL28" s="506"/>
      <c r="CM28" s="519">
        <f>IFERROR(VLOOKUP(CI28,'calculo_abs.'!$E$2:$F$280,2,FALSE),"sin dato")</f>
        <v>6.0377054950094419E-2</v>
      </c>
      <c r="CN28" s="545">
        <v>25464</v>
      </c>
      <c r="CO28" s="545">
        <v>33565.86</v>
      </c>
      <c r="CP28" s="545">
        <v>33.5</v>
      </c>
      <c r="CQ28" s="545">
        <f t="shared" si="1"/>
        <v>33599.360000000001</v>
      </c>
      <c r="CR28" s="545">
        <f t="shared" si="2"/>
        <v>1.3194847628023878</v>
      </c>
      <c r="CX28" s="547">
        <v>54235</v>
      </c>
      <c r="CY28" s="546" t="s">
        <v>1179</v>
      </c>
      <c r="CZ28" s="546">
        <v>36992.160000000003</v>
      </c>
    </row>
    <row r="29" spans="2:104" ht="15" x14ac:dyDescent="0.25">
      <c r="B29" s="286"/>
      <c r="C29" s="286"/>
      <c r="L29" s="282"/>
      <c r="P29" s="276">
        <f t="shared" si="3"/>
        <v>46022</v>
      </c>
      <c r="Q29" s="275">
        <v>14</v>
      </c>
      <c r="R29" s="275">
        <v>14</v>
      </c>
      <c r="S29" s="275">
        <v>31</v>
      </c>
      <c r="T29" s="275">
        <v>18</v>
      </c>
      <c r="U29" s="275">
        <v>23</v>
      </c>
      <c r="V29" s="275">
        <v>19</v>
      </c>
      <c r="W29" s="275"/>
      <c r="AV29" s="278" t="s">
        <v>1492</v>
      </c>
      <c r="AW29" s="279">
        <v>0.06</v>
      </c>
      <c r="AY29" s="278" t="s">
        <v>1493</v>
      </c>
      <c r="AZ29" s="279">
        <v>0</v>
      </c>
      <c r="BB29" s="278" t="s">
        <v>1494</v>
      </c>
      <c r="BC29" s="280"/>
      <c r="BE29" s="278"/>
      <c r="BG29" s="278"/>
      <c r="BI29" s="278"/>
      <c r="BK29" s="278"/>
      <c r="BM29" s="278"/>
      <c r="BO29" s="278"/>
      <c r="BQ29" s="278"/>
      <c r="BS29" s="278"/>
      <c r="BU29" s="278"/>
      <c r="BW29" s="278"/>
      <c r="BY29" s="278"/>
      <c r="CA29" s="278"/>
      <c r="CC29" s="278"/>
      <c r="CE29" s="278"/>
      <c r="CG29" s="278" t="s">
        <v>1181</v>
      </c>
      <c r="CH29" s="281" t="str">
        <f t="shared" si="0"/>
        <v>46000158</v>
      </c>
      <c r="CI29" s="281">
        <v>51142</v>
      </c>
      <c r="CJ29" s="507">
        <v>200.3</v>
      </c>
      <c r="CK29" s="506">
        <v>3.4</v>
      </c>
      <c r="CL29" s="506"/>
      <c r="CM29" s="519">
        <f>IFERROR(VLOOKUP(CI29,'calculo_abs.'!$E$2:$F$280,2,FALSE),"sin dato")</f>
        <v>0.12505275661435558</v>
      </c>
      <c r="CN29" s="545">
        <v>23914</v>
      </c>
      <c r="CO29" s="545">
        <v>12299.56</v>
      </c>
      <c r="CP29" s="545">
        <v>11583.653779999997</v>
      </c>
      <c r="CQ29" s="545">
        <f t="shared" si="1"/>
        <v>23883.213779999998</v>
      </c>
      <c r="CR29" s="545">
        <f t="shared" si="2"/>
        <v>0.99871262774943537</v>
      </c>
      <c r="CX29" s="547">
        <v>29676</v>
      </c>
      <c r="CY29" s="546" t="s">
        <v>1266</v>
      </c>
      <c r="CZ29" s="546">
        <v>36970.18</v>
      </c>
    </row>
    <row r="30" spans="2:104" ht="15" x14ac:dyDescent="0.25">
      <c r="B30" s="286"/>
      <c r="C30" s="286"/>
      <c r="L30" s="282"/>
      <c r="P30" s="276">
        <f t="shared" si="3"/>
        <v>46053</v>
      </c>
      <c r="Q30" s="275">
        <v>15</v>
      </c>
      <c r="R30" s="275">
        <v>15</v>
      </c>
      <c r="S30" s="275">
        <v>31</v>
      </c>
      <c r="T30" s="275"/>
      <c r="U30" s="275"/>
      <c r="V30" s="275"/>
      <c r="W30" s="275"/>
      <c r="AV30" s="278" t="s">
        <v>1495</v>
      </c>
      <c r="AW30" s="279">
        <v>0.28000000000000003</v>
      </c>
      <c r="AY30" s="278" t="s">
        <v>225</v>
      </c>
      <c r="AZ30" s="279">
        <f>IF(Datos_Generales!$E$13="Autónoma",0.04,0.025)</f>
        <v>2.5000000000000001E-2</v>
      </c>
      <c r="BB30" s="278" t="s">
        <v>1496</v>
      </c>
      <c r="BC30" s="278"/>
      <c r="BE30" s="278"/>
      <c r="BG30" s="278"/>
      <c r="BI30" s="278"/>
      <c r="BK30" s="278"/>
      <c r="BM30" s="278"/>
      <c r="BO30" s="278"/>
      <c r="BQ30" s="278"/>
      <c r="BS30" s="278"/>
      <c r="BU30" s="278"/>
      <c r="BW30" s="278"/>
      <c r="BY30" s="278"/>
      <c r="CA30" s="278"/>
      <c r="CC30" s="278"/>
      <c r="CE30" s="278"/>
      <c r="CG30" s="278" t="s">
        <v>1202</v>
      </c>
      <c r="CH30" s="281" t="str">
        <f t="shared" si="0"/>
        <v>46015782</v>
      </c>
      <c r="CI30" s="281">
        <v>29334</v>
      </c>
      <c r="CJ30" s="507">
        <v>176</v>
      </c>
      <c r="CK30" s="506">
        <v>3.29</v>
      </c>
      <c r="CL30" s="506"/>
      <c r="CM30" s="519">
        <f>IFERROR(VLOOKUP(CI30,'calculo_abs.'!$E$2:$F$280,2,FALSE),"sin dato")</f>
        <v>6.4654365733023716E-2</v>
      </c>
      <c r="CN30" s="545">
        <v>22734</v>
      </c>
      <c r="CO30" s="545">
        <v>14970.5</v>
      </c>
      <c r="CP30" s="545">
        <v>13704.262214331993</v>
      </c>
      <c r="CQ30" s="545">
        <f t="shared" si="1"/>
        <v>28674.762214331993</v>
      </c>
      <c r="CR30" s="545">
        <f t="shared" si="2"/>
        <v>1.2613161878390073</v>
      </c>
      <c r="CX30" s="547">
        <v>53473</v>
      </c>
      <c r="CY30" s="546" t="s">
        <v>1497</v>
      </c>
      <c r="CZ30" s="546">
        <v>36943.870000000003</v>
      </c>
    </row>
    <row r="31" spans="2:104" ht="15" x14ac:dyDescent="0.25">
      <c r="P31" s="276">
        <f t="shared" si="3"/>
        <v>46081</v>
      </c>
      <c r="Q31" s="275">
        <v>21</v>
      </c>
      <c r="R31" s="275">
        <v>21</v>
      </c>
      <c r="S31" s="275">
        <v>29</v>
      </c>
      <c r="T31" s="275"/>
      <c r="U31" s="275"/>
      <c r="V31" s="275"/>
      <c r="W31" s="275"/>
      <c r="AV31" s="278" t="s">
        <v>1498</v>
      </c>
      <c r="AW31" s="279">
        <v>0.19</v>
      </c>
      <c r="AY31" s="278" t="s">
        <v>994</v>
      </c>
      <c r="AZ31" s="279">
        <v>0.01</v>
      </c>
      <c r="BB31" s="278" t="s">
        <v>1499</v>
      </c>
      <c r="BC31" s="280">
        <v>150</v>
      </c>
      <c r="BE31" s="278"/>
      <c r="BG31" s="278"/>
      <c r="BI31" s="278"/>
      <c r="BK31" s="278"/>
      <c r="BM31" s="278"/>
      <c r="BO31" s="278"/>
      <c r="BQ31" s="278"/>
      <c r="BS31" s="278"/>
      <c r="BU31" s="278"/>
      <c r="BW31" s="278"/>
      <c r="BY31" s="278"/>
      <c r="CA31" s="278"/>
      <c r="CC31" s="278"/>
      <c r="CE31" s="278"/>
      <c r="CG31" s="278" t="s">
        <v>1225</v>
      </c>
      <c r="CH31" s="281" t="str">
        <f t="shared" si="0"/>
        <v>46016051</v>
      </c>
      <c r="CI31" s="281">
        <v>29331</v>
      </c>
      <c r="CJ31" s="507">
        <v>79.84210526315789</v>
      </c>
      <c r="CK31" s="506">
        <v>3.32</v>
      </c>
      <c r="CL31" s="506"/>
      <c r="CM31" s="519">
        <f>IFERROR(VLOOKUP(CI31,'calculo_abs.'!$E$2:$F$280,2,FALSE),"sin dato")</f>
        <v>2.93986531174521E-2</v>
      </c>
      <c r="CN31" s="545">
        <v>9872</v>
      </c>
      <c r="CO31" s="545">
        <v>5209.88</v>
      </c>
      <c r="CP31" s="545">
        <v>5937.6904339999946</v>
      </c>
      <c r="CQ31" s="545">
        <f t="shared" si="1"/>
        <v>11147.570433999994</v>
      </c>
      <c r="CR31" s="545">
        <f t="shared" si="2"/>
        <v>1.1292109434764985</v>
      </c>
      <c r="CX31" s="547">
        <v>29671</v>
      </c>
      <c r="CY31" s="546" t="s">
        <v>1288</v>
      </c>
      <c r="CZ31" s="546">
        <v>36029.599999999999</v>
      </c>
    </row>
    <row r="32" spans="2:104" ht="15" x14ac:dyDescent="0.25">
      <c r="P32" s="276">
        <f t="shared" si="3"/>
        <v>46112</v>
      </c>
      <c r="Q32" s="275">
        <v>18</v>
      </c>
      <c r="R32" s="275">
        <v>18</v>
      </c>
      <c r="S32" s="275">
        <v>31</v>
      </c>
      <c r="T32" s="275"/>
      <c r="U32" s="275"/>
      <c r="V32" s="275"/>
      <c r="W32" s="275"/>
      <c r="AV32" s="278" t="s">
        <v>1500</v>
      </c>
      <c r="AW32" s="279">
        <v>0.26</v>
      </c>
      <c r="AY32" s="278" t="s">
        <v>1501</v>
      </c>
      <c r="AZ32" s="279">
        <v>0.04</v>
      </c>
      <c r="BB32" s="278"/>
      <c r="BC32" s="280">
        <v>150</v>
      </c>
      <c r="BE32" s="278"/>
      <c r="BG32" s="278"/>
      <c r="BI32" s="278"/>
      <c r="BK32" s="278"/>
      <c r="BM32" s="278"/>
      <c r="BO32" s="278"/>
      <c r="BQ32" s="278"/>
      <c r="BS32" s="278"/>
      <c r="BU32" s="278"/>
      <c r="BW32" s="278"/>
      <c r="BY32" s="278"/>
      <c r="CA32" s="278"/>
      <c r="CC32" s="278"/>
      <c r="CE32" s="278"/>
      <c r="CG32" s="278" t="s">
        <v>1179</v>
      </c>
      <c r="CH32" s="281" t="str">
        <f t="shared" si="0"/>
        <v>03005355</v>
      </c>
      <c r="CI32" s="281">
        <v>54235</v>
      </c>
      <c r="CJ32" s="507">
        <v>255.78947368421052</v>
      </c>
      <c r="CK32" s="506">
        <v>3.07</v>
      </c>
      <c r="CL32" s="506"/>
      <c r="CM32" s="519">
        <f>IFERROR(VLOOKUP(CI32,'calculo_abs.'!$E$2:$F$280,2,FALSE),"sin dato")</f>
        <v>4.5047054352975929E-2</v>
      </c>
      <c r="CN32" s="545">
        <v>32016</v>
      </c>
      <c r="CO32" s="545">
        <v>36992.160000000003</v>
      </c>
      <c r="CP32" s="545">
        <v>112.80000000000001</v>
      </c>
      <c r="CQ32" s="545">
        <f t="shared" si="1"/>
        <v>37104.960000000006</v>
      </c>
      <c r="CR32" s="545">
        <f t="shared" si="2"/>
        <v>1.1589505247376315</v>
      </c>
      <c r="CX32" s="547">
        <v>53988</v>
      </c>
      <c r="CY32" s="546" t="s">
        <v>1502</v>
      </c>
      <c r="CZ32" s="546">
        <v>35793.86</v>
      </c>
    </row>
    <row r="33" spans="16:104" ht="15" x14ac:dyDescent="0.25">
      <c r="P33" s="276">
        <f t="shared" si="3"/>
        <v>46142</v>
      </c>
      <c r="Q33" s="275">
        <v>10</v>
      </c>
      <c r="R33" s="275">
        <v>10</v>
      </c>
      <c r="S33" s="275">
        <v>30</v>
      </c>
      <c r="T33" s="275"/>
      <c r="U33" s="275"/>
      <c r="V33" s="275"/>
      <c r="W33" s="275"/>
      <c r="AV33" s="278" t="s">
        <v>1503</v>
      </c>
      <c r="AW33" s="279">
        <v>0.28000000000000003</v>
      </c>
      <c r="AY33" s="278" t="s">
        <v>1504</v>
      </c>
      <c r="AZ33" s="279">
        <v>0.08</v>
      </c>
      <c r="BB33" s="278" t="s">
        <v>1505</v>
      </c>
      <c r="BC33" s="280">
        <v>150</v>
      </c>
      <c r="CG33" s="278" t="s">
        <v>1153</v>
      </c>
      <c r="CH33" s="281" t="str">
        <f t="shared" si="0"/>
        <v>03002871</v>
      </c>
      <c r="CI33" s="281">
        <v>29640</v>
      </c>
      <c r="CJ33" s="507">
        <v>178.83333333333334</v>
      </c>
      <c r="CK33" s="506">
        <v>3</v>
      </c>
      <c r="CL33" s="506"/>
      <c r="CM33" s="519">
        <f>IFERROR(VLOOKUP(CI33,'calculo_abs.'!$E$2:$F$280,2,FALSE),"sin dato")</f>
        <v>0.21617595207606888</v>
      </c>
      <c r="CN33" s="545">
        <v>23458</v>
      </c>
      <c r="CO33" s="545">
        <v>30833.18</v>
      </c>
      <c r="CP33" s="545">
        <v>0</v>
      </c>
      <c r="CQ33" s="545">
        <f t="shared" si="1"/>
        <v>30833.18</v>
      </c>
      <c r="CR33" s="545">
        <f t="shared" si="2"/>
        <v>1.3143993520334214</v>
      </c>
      <c r="CX33" s="547">
        <v>29367</v>
      </c>
      <c r="CY33" s="546" t="s">
        <v>1197</v>
      </c>
      <c r="CZ33" s="546">
        <v>34872.25</v>
      </c>
    </row>
    <row r="34" spans="16:104" ht="15" x14ac:dyDescent="0.25">
      <c r="P34" s="276">
        <f t="shared" si="3"/>
        <v>46173</v>
      </c>
      <c r="Q34" s="275">
        <v>22</v>
      </c>
      <c r="R34" s="275">
        <v>22</v>
      </c>
      <c r="S34" s="275">
        <v>31</v>
      </c>
      <c r="T34" s="275"/>
      <c r="U34" s="275"/>
      <c r="V34" s="275"/>
      <c r="W34" s="275"/>
      <c r="AV34" s="278" t="s">
        <v>1506</v>
      </c>
      <c r="AW34" s="279">
        <v>0.28000000000000003</v>
      </c>
      <c r="AY34" s="278" t="s">
        <v>1507</v>
      </c>
      <c r="AZ34" s="279">
        <v>0.01</v>
      </c>
      <c r="BB34" s="278" t="s">
        <v>1508</v>
      </c>
      <c r="BC34" s="280">
        <v>150</v>
      </c>
      <c r="CG34" s="278" t="s">
        <v>1175</v>
      </c>
      <c r="CH34" s="281" t="str">
        <f t="shared" si="0"/>
        <v>46015927</v>
      </c>
      <c r="CI34" s="281">
        <v>29416</v>
      </c>
      <c r="CJ34" s="507">
        <v>138.69999999999999</v>
      </c>
      <c r="CK34" s="506">
        <v>3.5</v>
      </c>
      <c r="CL34" s="506"/>
      <c r="CM34" s="519">
        <f>IFERROR(VLOOKUP(CI34,'calculo_abs.'!$E$2:$F$280,2,FALSE),"sin dato")</f>
        <v>7.7875245598168483E-2</v>
      </c>
      <c r="CN34" s="545">
        <v>17171</v>
      </c>
      <c r="CO34" s="545">
        <v>10132.31</v>
      </c>
      <c r="CP34" s="545">
        <v>8190.3270000000011</v>
      </c>
      <c r="CQ34" s="545">
        <f t="shared" si="1"/>
        <v>18322.637000000002</v>
      </c>
      <c r="CR34" s="545">
        <f t="shared" si="2"/>
        <v>1.0670687205171512</v>
      </c>
      <c r="CX34" s="547">
        <v>29372</v>
      </c>
      <c r="CY34" s="546" t="s">
        <v>1366</v>
      </c>
      <c r="CZ34" s="546">
        <v>33632.449999999997</v>
      </c>
    </row>
    <row r="35" spans="16:104" ht="15" x14ac:dyDescent="0.25">
      <c r="P35" s="276">
        <f t="shared" si="3"/>
        <v>46203</v>
      </c>
      <c r="Q35" s="275">
        <v>10</v>
      </c>
      <c r="R35" s="275">
        <v>10</v>
      </c>
      <c r="S35" s="275">
        <v>30</v>
      </c>
      <c r="T35" s="275"/>
      <c r="U35" s="275"/>
      <c r="V35" s="275"/>
      <c r="W35" s="275"/>
      <c r="AV35" s="278" t="s">
        <v>1509</v>
      </c>
      <c r="AW35" s="279">
        <v>0.47</v>
      </c>
      <c r="AY35" s="278" t="s">
        <v>1510</v>
      </c>
      <c r="AZ35" s="279">
        <v>0.08</v>
      </c>
      <c r="BB35" s="278" t="s">
        <v>1511</v>
      </c>
      <c r="BC35" s="280">
        <v>150</v>
      </c>
      <c r="CG35" s="278" t="s">
        <v>1248</v>
      </c>
      <c r="CH35" s="281" t="str">
        <f t="shared" ref="CH35:CH66" si="5">IFERROR(VLOOKUP(CI35,controller,3,FALSE),0)</f>
        <v>46000924</v>
      </c>
      <c r="CI35" s="281">
        <v>29354</v>
      </c>
      <c r="CJ35" s="507">
        <v>290.95</v>
      </c>
      <c r="CK35" s="506">
        <v>3.09</v>
      </c>
      <c r="CL35" s="506"/>
      <c r="CM35" s="519">
        <f>IFERROR(VLOOKUP(CI35,'calculo_abs.'!$E$2:$F$280,2,FALSE),"sin dato")</f>
        <v>5.0035240919742213E-3</v>
      </c>
      <c r="CN35" s="545">
        <v>37570</v>
      </c>
      <c r="CO35" s="545">
        <v>21917.040000000001</v>
      </c>
      <c r="CP35" s="545">
        <v>23884.016162140018</v>
      </c>
      <c r="CQ35" s="545">
        <f t="shared" ref="CQ35:CQ66" si="6">+CO35+CP35</f>
        <v>45801.056162140019</v>
      </c>
      <c r="CR35" s="545">
        <f t="shared" si="2"/>
        <v>1.2190858706984302</v>
      </c>
      <c r="CX35" s="547">
        <v>49504</v>
      </c>
      <c r="CY35" s="546" t="s">
        <v>1176</v>
      </c>
      <c r="CZ35" s="546">
        <v>33565.86</v>
      </c>
    </row>
    <row r="36" spans="16:104" ht="15" x14ac:dyDescent="0.25">
      <c r="P36" s="276">
        <f t="shared" si="3"/>
        <v>46234</v>
      </c>
      <c r="Q36" s="275">
        <v>0</v>
      </c>
      <c r="R36" s="275">
        <v>0</v>
      </c>
      <c r="S36" s="275">
        <v>31</v>
      </c>
      <c r="T36" s="275"/>
      <c r="U36" s="275"/>
      <c r="V36" s="275"/>
      <c r="W36" s="275"/>
      <c r="AV36" s="278" t="s">
        <v>1512</v>
      </c>
      <c r="AW36" s="279">
        <v>0.65999999999999992</v>
      </c>
      <c r="AY36" s="278" t="s">
        <v>1513</v>
      </c>
      <c r="AZ36" s="279">
        <v>0.02</v>
      </c>
      <c r="BB36" s="278" t="s">
        <v>1514</v>
      </c>
      <c r="BC36" s="280">
        <v>150</v>
      </c>
      <c r="CG36" s="278" t="s">
        <v>1177</v>
      </c>
      <c r="CH36" s="281" t="str">
        <f t="shared" si="5"/>
        <v>03001544</v>
      </c>
      <c r="CI36" s="281">
        <v>51980</v>
      </c>
      <c r="CJ36" s="507">
        <v>135</v>
      </c>
      <c r="CK36" s="506">
        <v>3.05</v>
      </c>
      <c r="CL36" s="506"/>
      <c r="CM36" s="519">
        <f>IFERROR(VLOOKUP(CI36,'calculo_abs.'!$E$2:$F$280,2,FALSE),"sin dato")</f>
        <v>2.350294153452619E-2</v>
      </c>
      <c r="CN36" s="545" t="s">
        <v>1204</v>
      </c>
      <c r="CO36" s="545">
        <v>0</v>
      </c>
      <c r="CP36" s="545">
        <v>0</v>
      </c>
      <c r="CQ36" s="545">
        <f t="shared" si="6"/>
        <v>0</v>
      </c>
      <c r="CR36" s="545">
        <f t="shared" si="2"/>
        <v>0</v>
      </c>
      <c r="CX36" s="547">
        <v>29694</v>
      </c>
      <c r="CY36" s="546" t="s">
        <v>1380</v>
      </c>
      <c r="CZ36" s="546">
        <v>32779.629999999997</v>
      </c>
    </row>
    <row r="37" spans="16:104" ht="15" x14ac:dyDescent="0.25">
      <c r="P37" s="276">
        <f t="shared" si="3"/>
        <v>46265</v>
      </c>
      <c r="Q37" s="275">
        <v>0</v>
      </c>
      <c r="R37" s="275">
        <v>0</v>
      </c>
      <c r="S37" s="275">
        <v>31</v>
      </c>
      <c r="T37" s="275"/>
      <c r="U37" s="275"/>
      <c r="V37" s="275"/>
      <c r="W37" s="275"/>
      <c r="AV37" s="278" t="s">
        <v>1515</v>
      </c>
      <c r="AW37" s="279">
        <v>0.84999999999999987</v>
      </c>
      <c r="AY37" s="278" t="s">
        <v>1516</v>
      </c>
      <c r="AZ37" s="279">
        <v>0.08</v>
      </c>
      <c r="BB37" s="278" t="s">
        <v>1517</v>
      </c>
      <c r="BC37" s="280"/>
      <c r="CG37" s="278" t="s">
        <v>1200</v>
      </c>
      <c r="CH37" s="281" t="str">
        <f t="shared" si="5"/>
        <v>03009683</v>
      </c>
      <c r="CI37" s="281">
        <v>29672</v>
      </c>
      <c r="CJ37" s="507">
        <v>450.05263157894734</v>
      </c>
      <c r="CK37" s="506">
        <v>2.9</v>
      </c>
      <c r="CL37" s="506"/>
      <c r="CM37" s="519">
        <f>IFERROR(VLOOKUP(CI37,'calculo_abs.'!$E$2:$F$280,2,FALSE),"sin dato")</f>
        <v>0.14258369050010297</v>
      </c>
      <c r="CN37" s="545">
        <v>58717</v>
      </c>
      <c r="CO37" s="545">
        <v>65920.75</v>
      </c>
      <c r="CP37" s="545">
        <v>101.413</v>
      </c>
      <c r="CQ37" s="545">
        <f t="shared" si="6"/>
        <v>66022.163</v>
      </c>
      <c r="CR37" s="545">
        <f t="shared" si="2"/>
        <v>1.1244130830934822</v>
      </c>
      <c r="CX37" s="547">
        <v>29318</v>
      </c>
      <c r="CY37" s="546" t="s">
        <v>1152</v>
      </c>
      <c r="CZ37" s="546">
        <v>31515.21</v>
      </c>
    </row>
    <row r="38" spans="16:104" ht="15" x14ac:dyDescent="0.25">
      <c r="P38" s="276">
        <f t="shared" si="3"/>
        <v>46295</v>
      </c>
      <c r="Q38" s="275">
        <v>10</v>
      </c>
      <c r="R38" s="275">
        <v>10</v>
      </c>
      <c r="S38" s="275">
        <v>30</v>
      </c>
      <c r="T38" s="275"/>
      <c r="U38" s="275"/>
      <c r="V38" s="275"/>
      <c r="W38" s="275"/>
      <c r="AV38" s="278" t="s">
        <v>213</v>
      </c>
      <c r="AW38" s="279">
        <v>0.3</v>
      </c>
      <c r="AY38" s="278" t="s">
        <v>1518</v>
      </c>
      <c r="AZ38" s="279">
        <v>0.01</v>
      </c>
      <c r="BB38" s="278" t="s">
        <v>1519</v>
      </c>
      <c r="BC38" s="280">
        <v>350</v>
      </c>
      <c r="CG38" s="278" t="s">
        <v>1223</v>
      </c>
      <c r="CH38" s="281" t="str">
        <f t="shared" si="5"/>
        <v>03009351</v>
      </c>
      <c r="CI38" s="281">
        <v>52007</v>
      </c>
      <c r="CJ38" s="507">
        <v>240.52631578947367</v>
      </c>
      <c r="CK38" s="506">
        <v>3.08</v>
      </c>
      <c r="CL38" s="506"/>
      <c r="CM38" s="519">
        <f>IFERROR(VLOOKUP(CI38,'calculo_abs.'!$E$2:$F$280,2,FALSE),"sin dato")</f>
        <v>7.7493918364683181E-2</v>
      </c>
      <c r="CN38" s="545">
        <v>32082</v>
      </c>
      <c r="CO38" s="545">
        <v>28537.89</v>
      </c>
      <c r="CP38" s="545">
        <v>297.29640000000001</v>
      </c>
      <c r="CQ38" s="545">
        <f t="shared" si="6"/>
        <v>28835.186399999999</v>
      </c>
      <c r="CR38" s="545">
        <f t="shared" si="2"/>
        <v>0.89879640920142134</v>
      </c>
      <c r="CX38" s="547">
        <v>29640</v>
      </c>
      <c r="CY38" s="546" t="s">
        <v>1153</v>
      </c>
      <c r="CZ38" s="546">
        <v>30833.18</v>
      </c>
    </row>
    <row r="39" spans="16:104" ht="15" x14ac:dyDescent="0.25">
      <c r="P39" s="276">
        <f t="shared" si="3"/>
        <v>46326</v>
      </c>
      <c r="Q39" s="275">
        <v>20</v>
      </c>
      <c r="R39" s="275">
        <v>20</v>
      </c>
      <c r="S39" s="275">
        <v>31</v>
      </c>
      <c r="T39" s="275"/>
      <c r="U39" s="275"/>
      <c r="V39" s="275"/>
      <c r="W39" s="275"/>
      <c r="AV39" s="278" t="s">
        <v>206</v>
      </c>
      <c r="AW39" s="279">
        <v>1.72</v>
      </c>
      <c r="AY39" s="278" t="s">
        <v>1520</v>
      </c>
      <c r="AZ39" s="279">
        <v>0.08</v>
      </c>
      <c r="BB39" s="278" t="s">
        <v>1521</v>
      </c>
      <c r="BC39" s="280">
        <v>350</v>
      </c>
      <c r="CG39" s="278" t="s">
        <v>1246</v>
      </c>
      <c r="CH39" s="281" t="str">
        <f t="shared" si="5"/>
        <v>03009622</v>
      </c>
      <c r="CI39" s="281">
        <v>29685</v>
      </c>
      <c r="CJ39" s="507">
        <v>383.63157894736844</v>
      </c>
      <c r="CK39" s="506">
        <v>3.25</v>
      </c>
      <c r="CL39" s="506"/>
      <c r="CM39" s="519">
        <f>IFERROR(VLOOKUP(CI39,'calculo_abs.'!$E$2:$F$280,2,FALSE),"sin dato")</f>
        <v>4.6956430296324556E-2</v>
      </c>
      <c r="CN39" s="545">
        <v>49026</v>
      </c>
      <c r="CO39" s="545">
        <v>54254.12</v>
      </c>
      <c r="CP39" s="545">
        <v>135</v>
      </c>
      <c r="CQ39" s="545">
        <f t="shared" si="6"/>
        <v>54389.120000000003</v>
      </c>
      <c r="CR39" s="545">
        <f t="shared" si="2"/>
        <v>1.1093933831028435</v>
      </c>
      <c r="CX39" s="547">
        <v>53747</v>
      </c>
      <c r="CY39" s="546" t="s">
        <v>1395</v>
      </c>
      <c r="CZ39" s="546">
        <v>30485.37</v>
      </c>
    </row>
    <row r="40" spans="16:104" ht="15" x14ac:dyDescent="0.25">
      <c r="P40" s="276">
        <f t="shared" si="3"/>
        <v>46356</v>
      </c>
      <c r="Q40" s="275">
        <v>21</v>
      </c>
      <c r="R40" s="275">
        <v>21</v>
      </c>
      <c r="S40" s="275">
        <v>30</v>
      </c>
      <c r="T40" s="275"/>
      <c r="U40" s="275"/>
      <c r="V40" s="275"/>
      <c r="W40" s="275"/>
      <c r="AV40" s="278" t="s">
        <v>1522</v>
      </c>
      <c r="AW40" s="279">
        <v>0.47</v>
      </c>
      <c r="AY40" s="278" t="s">
        <v>227</v>
      </c>
      <c r="AZ40" s="279">
        <v>100</v>
      </c>
      <c r="BB40" s="278" t="s">
        <v>1523</v>
      </c>
      <c r="BC40" s="280">
        <v>350</v>
      </c>
      <c r="CG40" s="278" t="s">
        <v>1269</v>
      </c>
      <c r="CH40" s="281" t="str">
        <f t="shared" si="5"/>
        <v>03012268</v>
      </c>
      <c r="CI40" s="281">
        <v>53753</v>
      </c>
      <c r="CJ40" s="507">
        <v>156.31578947368422</v>
      </c>
      <c r="CK40" s="506">
        <v>3.29</v>
      </c>
      <c r="CL40" s="506"/>
      <c r="CM40" s="519">
        <f>IFERROR(VLOOKUP(CI40,'calculo_abs.'!$E$2:$F$280,2,FALSE),"sin dato")</f>
        <v>4.6575167838809592E-2</v>
      </c>
      <c r="CN40" s="545">
        <v>19519</v>
      </c>
      <c r="CO40" s="545">
        <v>25078.97</v>
      </c>
      <c r="CP40" s="545">
        <v>54</v>
      </c>
      <c r="CQ40" s="545">
        <f t="shared" si="6"/>
        <v>25132.97</v>
      </c>
      <c r="CR40" s="545">
        <f t="shared" si="2"/>
        <v>1.2876156565397818</v>
      </c>
      <c r="CX40" s="547">
        <v>54232</v>
      </c>
      <c r="CY40" s="546" t="s">
        <v>1326</v>
      </c>
      <c r="CZ40" s="546">
        <v>30349.37</v>
      </c>
    </row>
    <row r="41" spans="16:104" ht="15" x14ac:dyDescent="0.25">
      <c r="P41" s="276">
        <f t="shared" si="3"/>
        <v>46387</v>
      </c>
      <c r="Q41" s="275">
        <v>14</v>
      </c>
      <c r="R41" s="275">
        <v>14</v>
      </c>
      <c r="S41" s="275">
        <v>31</v>
      </c>
      <c r="T41" s="275"/>
      <c r="U41" s="275"/>
      <c r="V41" s="275"/>
      <c r="W41" s="275"/>
      <c r="AV41" s="278" t="s">
        <v>205</v>
      </c>
      <c r="AW41" s="279">
        <v>6</v>
      </c>
      <c r="AY41" s="278" t="s">
        <v>1524</v>
      </c>
      <c r="AZ41" s="279">
        <v>50</v>
      </c>
      <c r="BB41" s="278" t="s">
        <v>1525</v>
      </c>
      <c r="BC41" s="280">
        <v>350</v>
      </c>
      <c r="CG41" s="278" t="s">
        <v>1222</v>
      </c>
      <c r="CH41" s="281" t="str">
        <f t="shared" si="5"/>
        <v>12000224</v>
      </c>
      <c r="CI41" s="281">
        <v>53716</v>
      </c>
      <c r="CJ41" s="507">
        <v>159.19999999999999</v>
      </c>
      <c r="CK41" s="506">
        <v>3.16</v>
      </c>
      <c r="CL41" s="506"/>
      <c r="CM41" s="519">
        <f>IFERROR(VLOOKUP(CI41,'calculo_abs.'!$E$2:$F$280,2,FALSE),"sin dato")</f>
        <v>9.6835282155566901E-2</v>
      </c>
      <c r="CN41" s="545">
        <v>20104</v>
      </c>
      <c r="CO41" s="545">
        <v>15052.85</v>
      </c>
      <c r="CP41" s="545">
        <v>9963.7152623199963</v>
      </c>
      <c r="CQ41" s="545">
        <f t="shared" si="6"/>
        <v>25016.565262319997</v>
      </c>
      <c r="CR41" s="545">
        <f t="shared" si="2"/>
        <v>1.2443576035773973</v>
      </c>
      <c r="CX41" s="547">
        <v>29687</v>
      </c>
      <c r="CY41" s="546" t="s">
        <v>1419</v>
      </c>
      <c r="CZ41" s="546">
        <v>30115.07</v>
      </c>
    </row>
    <row r="42" spans="16:104" ht="15" x14ac:dyDescent="0.25">
      <c r="AV42" s="278" t="s">
        <v>203</v>
      </c>
      <c r="AW42" s="279">
        <v>0.7</v>
      </c>
      <c r="AY42" s="278" t="s">
        <v>1526</v>
      </c>
      <c r="AZ42" s="279">
        <v>20</v>
      </c>
      <c r="BB42" s="278" t="s">
        <v>1527</v>
      </c>
      <c r="BC42" s="280">
        <v>350</v>
      </c>
      <c r="CG42" s="278" t="s">
        <v>1197</v>
      </c>
      <c r="CH42" s="281" t="str">
        <f t="shared" si="5"/>
        <v>46024096</v>
      </c>
      <c r="CI42" s="281">
        <v>29367</v>
      </c>
      <c r="CJ42" s="507">
        <v>369.26315789473682</v>
      </c>
      <c r="CK42" s="506">
        <v>1.88</v>
      </c>
      <c r="CL42" s="506"/>
      <c r="CM42" s="519">
        <f>IFERROR(VLOOKUP(CI42,'calculo_abs.'!$E$2:$F$280,2,FALSE),"sin dato")</f>
        <v>0.17593024989152214</v>
      </c>
      <c r="CN42" s="545">
        <v>46808</v>
      </c>
      <c r="CO42" s="545">
        <v>34872.25</v>
      </c>
      <c r="CP42" s="545">
        <v>23861.131320579982</v>
      </c>
      <c r="CQ42" s="545">
        <f t="shared" si="6"/>
        <v>58733.381320579982</v>
      </c>
      <c r="CR42" s="545">
        <f t="shared" si="2"/>
        <v>1.254772289364638</v>
      </c>
      <c r="CX42" s="547">
        <v>29344</v>
      </c>
      <c r="CY42" s="546" t="s">
        <v>1242</v>
      </c>
      <c r="CZ42" s="546">
        <v>29858.51</v>
      </c>
    </row>
    <row r="43" spans="16:104" ht="15" x14ac:dyDescent="0.25">
      <c r="AV43" s="278" t="s">
        <v>1528</v>
      </c>
      <c r="AW43" s="279">
        <v>3</v>
      </c>
      <c r="AY43" s="278"/>
      <c r="AZ43" s="279"/>
      <c r="BB43" s="278" t="s">
        <v>1529</v>
      </c>
      <c r="BC43" s="280">
        <v>350</v>
      </c>
      <c r="CG43" s="278" t="s">
        <v>1219</v>
      </c>
      <c r="CH43" s="281" t="str">
        <f t="shared" si="5"/>
        <v>12003547</v>
      </c>
      <c r="CI43" s="281">
        <v>29458</v>
      </c>
      <c r="CJ43" s="507">
        <v>335</v>
      </c>
      <c r="CK43" s="506">
        <v>3.23</v>
      </c>
      <c r="CL43" s="506"/>
      <c r="CM43" s="519">
        <f>IFERROR(VLOOKUP(CI43,'calculo_abs.'!$E$2:$F$280,2,FALSE),"sin dato")</f>
        <v>9.042944890898498E-2</v>
      </c>
      <c r="CN43" s="545" t="s">
        <v>1204</v>
      </c>
      <c r="CO43" s="545">
        <v>0</v>
      </c>
      <c r="CP43" s="545">
        <v>0</v>
      </c>
      <c r="CQ43" s="545">
        <f t="shared" si="6"/>
        <v>0</v>
      </c>
      <c r="CR43" s="545">
        <f t="shared" si="2"/>
        <v>0</v>
      </c>
      <c r="CX43" s="547">
        <v>29317</v>
      </c>
      <c r="CY43" s="546" t="s">
        <v>1530</v>
      </c>
      <c r="CZ43" s="546">
        <v>29710.75</v>
      </c>
    </row>
    <row r="44" spans="16:104" ht="15" x14ac:dyDescent="0.25">
      <c r="AV44" s="278" t="s">
        <v>1531</v>
      </c>
      <c r="AW44" s="279">
        <v>0.02</v>
      </c>
      <c r="AY44" s="278"/>
      <c r="AZ44" s="279"/>
      <c r="BB44" s="278" t="s">
        <v>1532</v>
      </c>
      <c r="BC44" s="280">
        <v>350</v>
      </c>
      <c r="CG44" s="278" t="s">
        <v>1180</v>
      </c>
      <c r="CH44" s="281" t="str">
        <f t="shared" si="5"/>
        <v>46008182</v>
      </c>
      <c r="CI44" s="281">
        <v>51137</v>
      </c>
      <c r="CJ44" s="507">
        <v>150.9</v>
      </c>
      <c r="CK44" s="506">
        <v>3.49</v>
      </c>
      <c r="CL44" s="506"/>
      <c r="CM44" s="519">
        <f>IFERROR(VLOOKUP(CI44,'calculo_abs.'!$E$2:$F$280,2,FALSE),"sin dato")</f>
        <v>4.1063015573938405E-2</v>
      </c>
      <c r="CN44" s="545">
        <v>17990</v>
      </c>
      <c r="CO44" s="545">
        <v>3683.31</v>
      </c>
      <c r="CP44" s="545">
        <v>4411.3689659999991</v>
      </c>
      <c r="CQ44" s="545">
        <f t="shared" si="6"/>
        <v>8094.6789659999995</v>
      </c>
      <c r="CR44" s="545">
        <v>1.1599999999999999</v>
      </c>
      <c r="CX44" s="547">
        <v>29351</v>
      </c>
      <c r="CY44" s="546" t="s">
        <v>1533</v>
      </c>
      <c r="CZ44" s="546">
        <v>28733.25</v>
      </c>
    </row>
    <row r="45" spans="16:104" ht="15" x14ac:dyDescent="0.25">
      <c r="AV45" s="278" t="s">
        <v>209</v>
      </c>
      <c r="AW45" s="279">
        <v>0.87</v>
      </c>
      <c r="AY45" s="278"/>
      <c r="AZ45" s="279"/>
      <c r="BB45" s="278" t="s">
        <v>1534</v>
      </c>
      <c r="BC45" s="280"/>
      <c r="CG45" s="278" t="s">
        <v>1201</v>
      </c>
      <c r="CH45" s="281" t="str">
        <f t="shared" si="5"/>
        <v>46012641</v>
      </c>
      <c r="CI45" s="281">
        <v>29338</v>
      </c>
      <c r="CJ45" s="507">
        <v>245.85</v>
      </c>
      <c r="CK45" s="506">
        <v>3.35</v>
      </c>
      <c r="CL45" s="506"/>
      <c r="CM45" s="519">
        <f>IFERROR(VLOOKUP(CI45,'calculo_abs.'!$E$2:$F$280,2,FALSE),"sin dato")</f>
        <v>7.0732822152660496E-2</v>
      </c>
      <c r="CN45" s="545">
        <v>31465</v>
      </c>
      <c r="CO45" s="545">
        <v>17691.080000000002</v>
      </c>
      <c r="CP45" s="545">
        <v>17712.052994339996</v>
      </c>
      <c r="CQ45" s="545">
        <f t="shared" si="6"/>
        <v>35403.132994339998</v>
      </c>
      <c r="CR45" s="545">
        <f t="shared" ref="CR45:CR76" si="7">IFERROR(CQ45/CN45,0)</f>
        <v>1.1251591607926266</v>
      </c>
      <c r="CX45" s="547">
        <v>52007</v>
      </c>
      <c r="CY45" s="546" t="s">
        <v>1223</v>
      </c>
      <c r="CZ45" s="546">
        <v>28537.89</v>
      </c>
    </row>
    <row r="46" spans="16:104" ht="15" x14ac:dyDescent="0.25">
      <c r="AV46" s="278" t="s">
        <v>210</v>
      </c>
      <c r="AW46" s="279">
        <v>0.2</v>
      </c>
      <c r="AY46" s="278"/>
      <c r="AZ46" s="279"/>
      <c r="BB46" s="278" t="s">
        <v>232</v>
      </c>
      <c r="BC46" s="280">
        <v>2</v>
      </c>
      <c r="CG46" s="278" t="s">
        <v>1245</v>
      </c>
      <c r="CH46" s="281" t="str">
        <f t="shared" si="5"/>
        <v>12001794</v>
      </c>
      <c r="CI46" s="281">
        <v>29529</v>
      </c>
      <c r="CJ46" s="507">
        <v>79.421052631578945</v>
      </c>
      <c r="CK46" s="506">
        <v>3.33</v>
      </c>
      <c r="CL46" s="506"/>
      <c r="CM46" s="519">
        <f>IFERROR(VLOOKUP(CI46,'calculo_abs.'!$E$2:$F$280,2,FALSE),"sin dato")</f>
        <v>3.9689948701547156E-3</v>
      </c>
      <c r="CN46" s="545">
        <v>10606</v>
      </c>
      <c r="CO46" s="545">
        <v>17446.080000000002</v>
      </c>
      <c r="CP46" s="545">
        <v>489.09950666000009</v>
      </c>
      <c r="CQ46" s="545">
        <f t="shared" si="6"/>
        <v>17935.179506660003</v>
      </c>
      <c r="CR46" s="545">
        <f t="shared" si="7"/>
        <v>1.69104087371865</v>
      </c>
      <c r="CX46" s="547">
        <v>53755</v>
      </c>
      <c r="CY46" s="546" t="s">
        <v>1305</v>
      </c>
      <c r="CZ46" s="546">
        <v>28427.56</v>
      </c>
    </row>
    <row r="47" spans="16:104" ht="15" x14ac:dyDescent="0.25">
      <c r="AV47" s="278" t="s">
        <v>204</v>
      </c>
      <c r="AW47" s="279">
        <v>0.4</v>
      </c>
      <c r="AY47" s="278"/>
      <c r="AZ47" s="279"/>
      <c r="BB47" s="278"/>
      <c r="BC47" s="280"/>
      <c r="CG47" s="278" t="s">
        <v>1290</v>
      </c>
      <c r="CH47" s="281" t="str">
        <f t="shared" si="5"/>
        <v>03015661</v>
      </c>
      <c r="CI47" s="281">
        <v>29691</v>
      </c>
      <c r="CJ47" s="507">
        <v>376.36842105263156</v>
      </c>
      <c r="CK47" s="506">
        <v>3.05</v>
      </c>
      <c r="CL47" s="506"/>
      <c r="CM47" s="519">
        <f>IFERROR(VLOOKUP(CI47,'calculo_abs.'!$E$2:$F$280,2,FALSE),"sin dato")</f>
        <v>0.24636135044647772</v>
      </c>
      <c r="CN47" s="545">
        <v>48567</v>
      </c>
      <c r="CO47" s="545">
        <v>44155.61</v>
      </c>
      <c r="CP47" s="545">
        <v>71.63</v>
      </c>
      <c r="CQ47" s="545">
        <f t="shared" si="6"/>
        <v>44227.24</v>
      </c>
      <c r="CR47" s="545">
        <f t="shared" si="7"/>
        <v>0.91064385282187488</v>
      </c>
      <c r="CX47" s="547">
        <v>29695</v>
      </c>
      <c r="CY47" s="546" t="s">
        <v>1198</v>
      </c>
      <c r="CZ47" s="546">
        <v>27924.799999999999</v>
      </c>
    </row>
    <row r="48" spans="16:104" ht="15" x14ac:dyDescent="0.25">
      <c r="AV48" s="278" t="s">
        <v>1535</v>
      </c>
      <c r="AW48" s="279">
        <v>0.23400000000000001</v>
      </c>
      <c r="AY48" s="278"/>
      <c r="AZ48" s="279"/>
      <c r="BB48" s="278"/>
      <c r="BC48" s="280"/>
      <c r="CG48" s="278" t="s">
        <v>1271</v>
      </c>
      <c r="CH48" s="281" t="str">
        <f t="shared" si="5"/>
        <v>46012392</v>
      </c>
      <c r="CI48" s="281">
        <v>29419</v>
      </c>
      <c r="CJ48" s="507">
        <v>135.69999999999999</v>
      </c>
      <c r="CK48" s="506">
        <v>2.71</v>
      </c>
      <c r="CL48" s="506"/>
      <c r="CM48" s="519">
        <f>IFERROR(VLOOKUP(CI48,'calculo_abs.'!$E$2:$F$280,2,FALSE),"sin dato")</f>
        <v>0.11967228733010588</v>
      </c>
      <c r="CN48" s="545" t="s">
        <v>1204</v>
      </c>
      <c r="CO48" s="545">
        <v>0</v>
      </c>
      <c r="CP48" s="545">
        <v>25.37</v>
      </c>
      <c r="CQ48" s="545">
        <f t="shared" si="6"/>
        <v>25.37</v>
      </c>
      <c r="CR48" s="545">
        <f t="shared" si="7"/>
        <v>0</v>
      </c>
      <c r="CX48" s="547">
        <v>29350</v>
      </c>
      <c r="CY48" s="546" t="s">
        <v>1285</v>
      </c>
      <c r="CZ48" s="546">
        <v>27486.43</v>
      </c>
    </row>
    <row r="49" spans="48:104" ht="15" x14ac:dyDescent="0.25">
      <c r="AV49" s="278" t="s">
        <v>211</v>
      </c>
      <c r="AW49" s="279">
        <v>0.23</v>
      </c>
      <c r="AY49" s="278"/>
      <c r="AZ49" s="279"/>
      <c r="BB49" s="278"/>
      <c r="BC49" s="280"/>
      <c r="CG49" s="278" t="s">
        <v>1264</v>
      </c>
      <c r="CH49" s="281" t="str">
        <f t="shared" si="5"/>
        <v>46006823</v>
      </c>
      <c r="CI49" s="281">
        <v>29466</v>
      </c>
      <c r="CJ49" s="507">
        <v>109.2</v>
      </c>
      <c r="CK49" s="506">
        <v>3.38</v>
      </c>
      <c r="CL49" s="506"/>
      <c r="CM49" s="519">
        <f>IFERROR(VLOOKUP(CI49,'calculo_abs.'!$E$2:$F$280,2,FALSE),"sin dato")</f>
        <v>0.18938052336719238</v>
      </c>
      <c r="CN49" s="545" t="s">
        <v>1204</v>
      </c>
      <c r="CO49" s="545">
        <v>0</v>
      </c>
      <c r="CP49" s="545">
        <v>0</v>
      </c>
      <c r="CQ49" s="545">
        <f t="shared" si="6"/>
        <v>0</v>
      </c>
      <c r="CR49" s="545">
        <f t="shared" si="7"/>
        <v>0</v>
      </c>
      <c r="CX49" s="547">
        <v>53476</v>
      </c>
      <c r="CY49" s="546" t="s">
        <v>1536</v>
      </c>
      <c r="CZ49" s="546">
        <v>26949.27</v>
      </c>
    </row>
    <row r="50" spans="48:104" ht="15" x14ac:dyDescent="0.25">
      <c r="AV50" s="278" t="s">
        <v>1537</v>
      </c>
      <c r="AW50" s="279">
        <v>0.191</v>
      </c>
      <c r="AY50" s="278"/>
      <c r="AZ50" s="279"/>
      <c r="BB50" s="278"/>
      <c r="BC50" s="280"/>
      <c r="CG50" s="278" t="s">
        <v>1263</v>
      </c>
      <c r="CH50" s="281" t="str">
        <f t="shared" si="5"/>
        <v>46003925</v>
      </c>
      <c r="CI50" s="281">
        <v>29487</v>
      </c>
      <c r="CJ50" s="507">
        <v>75.75</v>
      </c>
      <c r="CK50" s="506">
        <v>3.6</v>
      </c>
      <c r="CL50" s="506"/>
      <c r="CM50" s="519">
        <f>IFERROR(VLOOKUP(CI50,'calculo_abs.'!$E$2:$F$280,2,FALSE),"sin dato")</f>
        <v>0.273359080422169</v>
      </c>
      <c r="CN50" s="545" t="s">
        <v>1204</v>
      </c>
      <c r="CO50" s="545">
        <v>0</v>
      </c>
      <c r="CP50" s="545">
        <v>0</v>
      </c>
      <c r="CQ50" s="545">
        <f t="shared" si="6"/>
        <v>0</v>
      </c>
      <c r="CR50" s="545">
        <f t="shared" si="7"/>
        <v>0</v>
      </c>
      <c r="CX50" s="547">
        <v>53748</v>
      </c>
      <c r="CY50" s="546" t="s">
        <v>1364</v>
      </c>
      <c r="CZ50" s="546">
        <v>26111.56</v>
      </c>
    </row>
    <row r="51" spans="48:104" ht="15" x14ac:dyDescent="0.25">
      <c r="AV51" s="278" t="s">
        <v>1538</v>
      </c>
      <c r="AW51" s="279">
        <v>1.2500000000000001E-2</v>
      </c>
      <c r="AZ51" s="283"/>
      <c r="BB51" s="278"/>
      <c r="BC51" s="280"/>
      <c r="CG51" s="278" t="s">
        <v>1284</v>
      </c>
      <c r="CH51" s="281" t="str">
        <f t="shared" si="5"/>
        <v>4031404</v>
      </c>
      <c r="CI51" s="281">
        <v>53218</v>
      </c>
      <c r="CJ51" s="507">
        <v>76</v>
      </c>
      <c r="CK51" s="506">
        <v>2.98</v>
      </c>
      <c r="CL51" s="506"/>
      <c r="CM51" s="519" t="str">
        <f>IFERROR(VLOOKUP(CI51,'calculo_abs.'!$E$2:$F$280,2,FALSE),"sin dato")</f>
        <v>sin dato</v>
      </c>
      <c r="CN51" s="545" t="s">
        <v>1204</v>
      </c>
      <c r="CO51" s="545">
        <v>0</v>
      </c>
      <c r="CP51" s="545">
        <v>0</v>
      </c>
      <c r="CQ51" s="545">
        <f t="shared" si="6"/>
        <v>0</v>
      </c>
      <c r="CR51" s="545">
        <f t="shared" si="7"/>
        <v>0</v>
      </c>
      <c r="CX51" s="547">
        <v>53807</v>
      </c>
      <c r="CY51" s="546" t="s">
        <v>1539</v>
      </c>
      <c r="CZ51" s="546">
        <v>25474.77</v>
      </c>
    </row>
    <row r="52" spans="48:104" ht="15" x14ac:dyDescent="0.25">
      <c r="AV52" s="278" t="s">
        <v>207</v>
      </c>
      <c r="AW52" s="279">
        <v>6.25E-2</v>
      </c>
      <c r="AZ52" s="283"/>
      <c r="BB52" s="278"/>
      <c r="BC52" s="280"/>
      <c r="CG52" s="278" t="s">
        <v>1224</v>
      </c>
      <c r="CH52" s="281" t="str">
        <f t="shared" si="5"/>
        <v>46003081</v>
      </c>
      <c r="CI52" s="281">
        <v>29433</v>
      </c>
      <c r="CJ52" s="507">
        <v>71.150000000000006</v>
      </c>
      <c r="CK52" s="506">
        <v>3.45</v>
      </c>
      <c r="CL52" s="506"/>
      <c r="CM52" s="519">
        <f>IFERROR(VLOOKUP(CI52,'calculo_abs.'!$E$2:$F$280,2,FALSE),"sin dato")</f>
        <v>1.0188216039279869E-2</v>
      </c>
      <c r="CN52" s="545" t="s">
        <v>1204</v>
      </c>
      <c r="CO52" s="545">
        <v>0</v>
      </c>
      <c r="CP52" s="545">
        <v>0</v>
      </c>
      <c r="CQ52" s="545">
        <f t="shared" si="6"/>
        <v>0</v>
      </c>
      <c r="CR52" s="545">
        <f t="shared" si="7"/>
        <v>0</v>
      </c>
      <c r="CX52" s="547">
        <v>29311</v>
      </c>
      <c r="CY52" s="546" t="s">
        <v>1540</v>
      </c>
      <c r="CZ52" s="546">
        <v>25118.29</v>
      </c>
    </row>
    <row r="53" spans="48:104" ht="15" x14ac:dyDescent="0.25">
      <c r="AV53" s="278" t="s">
        <v>1541</v>
      </c>
      <c r="AW53" s="279">
        <v>0.22</v>
      </c>
      <c r="AZ53" s="283"/>
      <c r="BB53" s="278"/>
      <c r="BC53" s="280"/>
      <c r="CG53" s="278" t="s">
        <v>1309</v>
      </c>
      <c r="CH53" s="281" t="str">
        <f t="shared" si="5"/>
        <v>03012244</v>
      </c>
      <c r="CI53" s="281">
        <v>29644</v>
      </c>
      <c r="CJ53" s="507">
        <v>103.35294117647059</v>
      </c>
      <c r="CK53" s="506">
        <v>3.35</v>
      </c>
      <c r="CL53" s="506"/>
      <c r="CM53" s="519">
        <f>IFERROR(VLOOKUP(CI53,'calculo_abs.'!$E$2:$F$280,2,FALSE),"sin dato")</f>
        <v>6.5249133266673517E-2</v>
      </c>
      <c r="CN53" s="545">
        <v>12523</v>
      </c>
      <c r="CO53" s="545">
        <v>14660.67</v>
      </c>
      <c r="CP53" s="545">
        <v>68.900000000000006</v>
      </c>
      <c r="CQ53" s="545">
        <f t="shared" si="6"/>
        <v>14729.57</v>
      </c>
      <c r="CR53" s="545">
        <f t="shared" si="7"/>
        <v>1.176201389443424</v>
      </c>
      <c r="CX53" s="547">
        <v>53753</v>
      </c>
      <c r="CY53" s="546" t="s">
        <v>1269</v>
      </c>
      <c r="CZ53" s="546">
        <v>25078.97</v>
      </c>
    </row>
    <row r="54" spans="48:104" ht="15" x14ac:dyDescent="0.25">
      <c r="AV54" s="278" t="s">
        <v>212</v>
      </c>
      <c r="AW54" s="279">
        <v>0.11</v>
      </c>
      <c r="AZ54" s="283"/>
      <c r="BB54" s="278"/>
      <c r="BC54" s="280"/>
      <c r="CG54" s="278" t="s">
        <v>1199</v>
      </c>
      <c r="CH54" s="281" t="str">
        <f t="shared" si="5"/>
        <v>03012131</v>
      </c>
      <c r="CI54" s="281">
        <v>52854</v>
      </c>
      <c r="CJ54" s="507">
        <v>105.25</v>
      </c>
      <c r="CK54" s="506">
        <v>3.4</v>
      </c>
      <c r="CL54" s="506"/>
      <c r="CM54" s="519">
        <f>IFERROR(VLOOKUP(CI54,'calculo_abs.'!$E$2:$F$280,2,FALSE),"sin dato")</f>
        <v>1.5311366531030034E-2</v>
      </c>
      <c r="CN54" s="545" t="s">
        <v>1204</v>
      </c>
      <c r="CO54" s="545">
        <v>0</v>
      </c>
      <c r="CP54" s="545">
        <v>0</v>
      </c>
      <c r="CQ54" s="545">
        <f t="shared" si="6"/>
        <v>0</v>
      </c>
      <c r="CR54" s="545">
        <f t="shared" si="7"/>
        <v>0</v>
      </c>
      <c r="CX54" s="547">
        <v>29328</v>
      </c>
      <c r="CY54" s="546" t="s">
        <v>1410</v>
      </c>
      <c r="CZ54" s="546">
        <v>24612.38</v>
      </c>
    </row>
    <row r="55" spans="48:104" ht="15" x14ac:dyDescent="0.25">
      <c r="AV55" s="278" t="s">
        <v>1542</v>
      </c>
      <c r="AW55" s="279">
        <v>0.24</v>
      </c>
      <c r="AZ55" s="283"/>
      <c r="BB55" s="278"/>
      <c r="BC55" s="280"/>
      <c r="CG55" s="278" t="s">
        <v>1329</v>
      </c>
      <c r="CH55" s="281" t="str">
        <f t="shared" si="5"/>
        <v>03004600</v>
      </c>
      <c r="CI55" s="281">
        <v>53745</v>
      </c>
      <c r="CJ55" s="507">
        <v>269.89473684210526</v>
      </c>
      <c r="CK55" s="506">
        <v>3.25</v>
      </c>
      <c r="CL55" s="506"/>
      <c r="CM55" s="519">
        <f>IFERROR(VLOOKUP(CI55,'calculo_abs.'!$E$2:$F$280,2,FALSE),"sin dato")</f>
        <v>0.16884992771344789</v>
      </c>
      <c r="CN55" s="545">
        <v>34668</v>
      </c>
      <c r="CO55" s="545">
        <v>40558.870000000003</v>
      </c>
      <c r="CP55" s="545">
        <v>0</v>
      </c>
      <c r="CQ55" s="545">
        <f t="shared" si="6"/>
        <v>40558.870000000003</v>
      </c>
      <c r="CR55" s="545">
        <f t="shared" si="7"/>
        <v>1.1699224068305065</v>
      </c>
      <c r="CX55" s="547">
        <v>29339</v>
      </c>
      <c r="CY55" s="546" t="s">
        <v>1304</v>
      </c>
      <c r="CZ55" s="546">
        <v>23500.59</v>
      </c>
    </row>
    <row r="56" spans="48:104" ht="15" x14ac:dyDescent="0.25">
      <c r="AV56" s="278" t="s">
        <v>1543</v>
      </c>
      <c r="AW56" s="279">
        <v>4.5</v>
      </c>
      <c r="AZ56" s="283"/>
      <c r="BB56" s="278"/>
      <c r="BC56" s="280"/>
      <c r="CG56" s="278" t="s">
        <v>1292</v>
      </c>
      <c r="CH56" s="281" t="str">
        <f t="shared" si="5"/>
        <v>46017602</v>
      </c>
      <c r="CI56" s="281">
        <v>29335</v>
      </c>
      <c r="CJ56" s="507">
        <v>123.6</v>
      </c>
      <c r="CK56" s="506">
        <v>3.56</v>
      </c>
      <c r="CL56" s="506"/>
      <c r="CM56" s="519">
        <f>IFERROR(VLOOKUP(CI56,'calculo_abs.'!$E$2:$F$280,2,FALSE),"sin dato")</f>
        <v>0.21618182840912087</v>
      </c>
      <c r="CN56" s="545">
        <v>15075</v>
      </c>
      <c r="CO56" s="545">
        <v>9339.82</v>
      </c>
      <c r="CP56" s="545">
        <v>11080.103616659999</v>
      </c>
      <c r="CQ56" s="545">
        <f t="shared" si="6"/>
        <v>20419.923616659999</v>
      </c>
      <c r="CR56" s="545">
        <f t="shared" si="7"/>
        <v>1.3545554637917081</v>
      </c>
      <c r="CX56" s="547">
        <v>29341</v>
      </c>
      <c r="CY56" s="546" t="s">
        <v>1346</v>
      </c>
      <c r="CZ56" s="546">
        <v>22801.09</v>
      </c>
    </row>
    <row r="57" spans="48:104" ht="15" x14ac:dyDescent="0.25">
      <c r="AV57" s="278"/>
      <c r="AW57" s="279"/>
      <c r="AZ57" s="283"/>
      <c r="BB57" s="278"/>
      <c r="BC57" s="280"/>
      <c r="CG57" s="278" t="s">
        <v>1311</v>
      </c>
      <c r="CH57" s="281" t="str">
        <f t="shared" si="5"/>
        <v>46013441</v>
      </c>
      <c r="CI57" s="281">
        <v>29358</v>
      </c>
      <c r="CJ57" s="507">
        <v>126.6</v>
      </c>
      <c r="CK57" s="506">
        <v>3.43</v>
      </c>
      <c r="CL57" s="506"/>
      <c r="CM57" s="519">
        <f>IFERROR(VLOOKUP(CI57,'calculo_abs.'!$E$2:$F$280,2,FALSE),"sin dato")</f>
        <v>7.1675184208957734E-3</v>
      </c>
      <c r="CN57" s="545">
        <v>15617</v>
      </c>
      <c r="CO57" s="545">
        <v>9796.7099999999991</v>
      </c>
      <c r="CP57" s="545">
        <v>8090.1463006600006</v>
      </c>
      <c r="CQ57" s="545">
        <f t="shared" si="6"/>
        <v>17886.856300660002</v>
      </c>
      <c r="CR57" s="545">
        <f t="shared" si="7"/>
        <v>1.1453452199948775</v>
      </c>
      <c r="CX57" s="547">
        <v>29354</v>
      </c>
      <c r="CY57" s="546" t="s">
        <v>1248</v>
      </c>
      <c r="CZ57" s="546">
        <v>21917.040000000001</v>
      </c>
    </row>
    <row r="58" spans="48:104" ht="15" x14ac:dyDescent="0.25">
      <c r="AV58" s="278"/>
      <c r="AW58" s="279"/>
      <c r="AZ58" s="283"/>
      <c r="BB58" s="278"/>
      <c r="BC58" s="280"/>
      <c r="CG58" s="278" t="s">
        <v>1268</v>
      </c>
      <c r="CH58" s="281" t="str">
        <f t="shared" si="5"/>
        <v>12000731</v>
      </c>
      <c r="CI58" s="281">
        <v>51209</v>
      </c>
      <c r="CJ58" s="507">
        <v>42.85</v>
      </c>
      <c r="CK58" s="506">
        <v>3.86</v>
      </c>
      <c r="CL58" s="506"/>
      <c r="CM58" s="519">
        <f>IFERROR(VLOOKUP(CI58,'calculo_abs.'!$E$2:$F$280,2,FALSE),"sin dato")</f>
        <v>2.4140349852560139E-2</v>
      </c>
      <c r="CN58" s="545" t="s">
        <v>1204</v>
      </c>
      <c r="CO58" s="545">
        <v>0</v>
      </c>
      <c r="CP58" s="545">
        <v>0</v>
      </c>
      <c r="CQ58" s="545">
        <f t="shared" si="6"/>
        <v>0</v>
      </c>
      <c r="CR58" s="545">
        <f t="shared" si="7"/>
        <v>0</v>
      </c>
      <c r="CX58" s="547">
        <v>29697</v>
      </c>
      <c r="CY58" s="546" t="s">
        <v>1267</v>
      </c>
      <c r="CZ58" s="546">
        <v>21609.23</v>
      </c>
    </row>
    <row r="59" spans="48:104" ht="15" x14ac:dyDescent="0.25">
      <c r="AV59" s="278"/>
      <c r="AW59" s="279"/>
      <c r="AZ59" s="283"/>
      <c r="BB59" s="278"/>
      <c r="BC59" s="280"/>
      <c r="CG59" s="278" t="s">
        <v>1182</v>
      </c>
      <c r="CH59" s="281" t="str">
        <f t="shared" si="5"/>
        <v>46016580</v>
      </c>
      <c r="CI59" s="281">
        <v>29298</v>
      </c>
      <c r="CJ59" s="507">
        <v>395.68421052631578</v>
      </c>
      <c r="CK59" s="506">
        <v>1.95</v>
      </c>
      <c r="CL59" s="506"/>
      <c r="CM59" s="519">
        <f>IFERROR(VLOOKUP(CI59,'calculo_abs.'!$E$2:$F$280,2,FALSE),"sin dato")</f>
        <v>7.5178765416685375E-2</v>
      </c>
      <c r="CN59" s="545">
        <v>49701</v>
      </c>
      <c r="CO59" s="545">
        <v>40331.46</v>
      </c>
      <c r="CP59" s="545">
        <v>32508.797742499988</v>
      </c>
      <c r="CQ59" s="545">
        <f t="shared" si="6"/>
        <v>72840.257742499991</v>
      </c>
      <c r="CR59" s="545">
        <f t="shared" si="7"/>
        <v>1.4655692590189331</v>
      </c>
      <c r="CX59" s="547">
        <v>29693</v>
      </c>
      <c r="CY59" s="546" t="s">
        <v>1306</v>
      </c>
      <c r="CZ59" s="546">
        <v>21333</v>
      </c>
    </row>
    <row r="60" spans="48:104" ht="15" x14ac:dyDescent="0.25">
      <c r="AV60" s="278"/>
      <c r="AW60" s="279"/>
      <c r="AZ60" s="283"/>
      <c r="BB60" s="278"/>
      <c r="BC60" s="280"/>
      <c r="CG60" s="278" t="s">
        <v>1242</v>
      </c>
      <c r="CH60" s="281" t="str">
        <f t="shared" si="5"/>
        <v>12004242</v>
      </c>
      <c r="CI60" s="281">
        <v>29344</v>
      </c>
      <c r="CJ60" s="507">
        <v>363.7</v>
      </c>
      <c r="CK60" s="506">
        <v>2.97</v>
      </c>
      <c r="CL60" s="506"/>
      <c r="CM60" s="519">
        <f>IFERROR(VLOOKUP(CI60,'calculo_abs.'!$E$2:$F$280,2,FALSE),"sin dato")</f>
        <v>0.17853940945001248</v>
      </c>
      <c r="CN60" s="545">
        <v>45299</v>
      </c>
      <c r="CO60" s="545">
        <v>29858.51</v>
      </c>
      <c r="CP60" s="545">
        <v>14278.935651259995</v>
      </c>
      <c r="CQ60" s="545">
        <f t="shared" si="6"/>
        <v>44137.445651259994</v>
      </c>
      <c r="CR60" s="545">
        <f t="shared" si="7"/>
        <v>0.97435805760082994</v>
      </c>
      <c r="CX60" s="547">
        <v>29355</v>
      </c>
      <c r="CY60" s="546" t="s">
        <v>1331</v>
      </c>
      <c r="CZ60" s="546">
        <v>20875.240000000002</v>
      </c>
    </row>
    <row r="61" spans="48:104" ht="15" x14ac:dyDescent="0.25">
      <c r="AV61" s="278"/>
      <c r="AW61" s="279"/>
      <c r="AZ61" s="283"/>
      <c r="BB61" s="278"/>
      <c r="BC61" s="280"/>
      <c r="CG61" s="278" t="s">
        <v>1265</v>
      </c>
      <c r="CH61" s="281" t="str">
        <f t="shared" si="5"/>
        <v>12001368</v>
      </c>
      <c r="CI61" s="281">
        <v>29365</v>
      </c>
      <c r="CJ61" s="507">
        <v>129.94999999999999</v>
      </c>
      <c r="CK61" s="506">
        <v>3.23</v>
      </c>
      <c r="CL61" s="506"/>
      <c r="CM61" s="519">
        <f>IFERROR(VLOOKUP(CI61,'calculo_abs.'!$E$2:$F$280,2,FALSE),"sin dato")</f>
        <v>2.2662604185027579E-2</v>
      </c>
      <c r="CN61" s="545">
        <v>16862</v>
      </c>
      <c r="CO61" s="545">
        <v>13533.31</v>
      </c>
      <c r="CP61" s="545">
        <v>7805.2736739999991</v>
      </c>
      <c r="CQ61" s="545">
        <f t="shared" si="6"/>
        <v>21338.583673999998</v>
      </c>
      <c r="CR61" s="545">
        <f t="shared" si="7"/>
        <v>1.2654835531965365</v>
      </c>
      <c r="CX61" s="547">
        <v>29320</v>
      </c>
      <c r="CY61" s="546" t="s">
        <v>1420</v>
      </c>
      <c r="CZ61" s="546">
        <v>20046.740000000002</v>
      </c>
    </row>
    <row r="62" spans="48:104" ht="15" x14ac:dyDescent="0.25">
      <c r="CG62" s="278" t="s">
        <v>1289</v>
      </c>
      <c r="CH62" s="281" t="str">
        <f t="shared" si="5"/>
        <v>12003183</v>
      </c>
      <c r="CI62" s="281">
        <v>29380</v>
      </c>
      <c r="CJ62" s="507">
        <v>77.55</v>
      </c>
      <c r="CK62" s="506">
        <v>3.39</v>
      </c>
      <c r="CL62" s="506"/>
      <c r="CM62" s="519">
        <f>IFERROR(VLOOKUP(CI62,'calculo_abs.'!$E$2:$F$280,2,FALSE),"sin dato")</f>
        <v>2.202071766664945E-2</v>
      </c>
      <c r="CN62" s="545">
        <v>10042</v>
      </c>
      <c r="CO62" s="545">
        <v>7535.62</v>
      </c>
      <c r="CP62" s="545">
        <v>5221.1748953200004</v>
      </c>
      <c r="CQ62" s="545">
        <f t="shared" si="6"/>
        <v>12756.794895319999</v>
      </c>
      <c r="CR62" s="545">
        <f t="shared" si="7"/>
        <v>1.2703440445449112</v>
      </c>
      <c r="CX62" s="547">
        <v>29322</v>
      </c>
      <c r="CY62" s="546" t="s">
        <v>1203</v>
      </c>
      <c r="CZ62" s="546">
        <v>18269.71</v>
      </c>
    </row>
    <row r="63" spans="48:104" ht="15" x14ac:dyDescent="0.25">
      <c r="CG63" s="278" t="s">
        <v>1221</v>
      </c>
      <c r="CH63" s="281" t="str">
        <f t="shared" si="5"/>
        <v>03008666</v>
      </c>
      <c r="CI63" s="281">
        <v>53709</v>
      </c>
      <c r="CJ63" s="507">
        <v>336.4</v>
      </c>
      <c r="CK63" s="506">
        <v>3.16</v>
      </c>
      <c r="CL63" s="506"/>
      <c r="CM63" s="519">
        <f>IFERROR(VLOOKUP(CI63,'calculo_abs.'!$E$2:$F$280,2,FALSE),"sin dato")</f>
        <v>2.8708632607841404E-2</v>
      </c>
      <c r="CN63" s="545" t="s">
        <v>1204</v>
      </c>
      <c r="CO63" s="545">
        <v>0</v>
      </c>
      <c r="CP63" s="545">
        <v>0</v>
      </c>
      <c r="CQ63" s="545">
        <f t="shared" si="6"/>
        <v>0</v>
      </c>
      <c r="CR63" s="545">
        <f t="shared" si="7"/>
        <v>0</v>
      </c>
      <c r="CX63" s="547">
        <v>29326</v>
      </c>
      <c r="CY63" s="546" t="s">
        <v>1312</v>
      </c>
      <c r="CZ63" s="546">
        <v>17926.669999999998</v>
      </c>
    </row>
    <row r="64" spans="48:104" ht="15" x14ac:dyDescent="0.25">
      <c r="CG64" s="278" t="s">
        <v>1203</v>
      </c>
      <c r="CH64" s="281" t="str">
        <f t="shared" si="5"/>
        <v>46015472</v>
      </c>
      <c r="CI64" s="281">
        <v>29322</v>
      </c>
      <c r="CJ64" s="507">
        <v>205.1</v>
      </c>
      <c r="CK64" s="506">
        <v>3.51</v>
      </c>
      <c r="CL64" s="506"/>
      <c r="CM64" s="519">
        <f>IFERROR(VLOOKUP(CI64,'calculo_abs.'!$E$2:$F$280,2,FALSE),"sin dato")</f>
        <v>2.236425339644724E-3</v>
      </c>
      <c r="CN64" s="545">
        <v>26491</v>
      </c>
      <c r="CO64" s="545">
        <v>18269.71</v>
      </c>
      <c r="CP64" s="545">
        <v>16926.505629999978</v>
      </c>
      <c r="CQ64" s="545">
        <f t="shared" si="6"/>
        <v>35196.215629999977</v>
      </c>
      <c r="CR64" s="545">
        <f t="shared" si="7"/>
        <v>1.3286103065191943</v>
      </c>
      <c r="CX64" s="547">
        <v>29349</v>
      </c>
      <c r="CY64" s="546" t="s">
        <v>1226</v>
      </c>
      <c r="CZ64" s="546">
        <v>17701.09</v>
      </c>
    </row>
    <row r="65" spans="55:104" ht="15" x14ac:dyDescent="0.25">
      <c r="CG65" s="278" t="s">
        <v>1286</v>
      </c>
      <c r="CH65" s="281" t="str">
        <f t="shared" si="5"/>
        <v>46012616</v>
      </c>
      <c r="CI65" s="281">
        <v>29482</v>
      </c>
      <c r="CJ65" s="507">
        <v>70.05</v>
      </c>
      <c r="CK65" s="506">
        <v>1.85</v>
      </c>
      <c r="CL65" s="506"/>
      <c r="CM65" s="519">
        <f>IFERROR(VLOOKUP(CI65,'calculo_abs.'!$E$2:$F$280,2,FALSE),"sin dato")</f>
        <v>8.9560636203411842E-2</v>
      </c>
      <c r="CN65" s="545">
        <v>8931</v>
      </c>
      <c r="CO65" s="545">
        <v>5791.4</v>
      </c>
      <c r="CP65" s="545">
        <v>4553.2295928000012</v>
      </c>
      <c r="CQ65" s="545">
        <f t="shared" si="6"/>
        <v>10344.6295928</v>
      </c>
      <c r="CR65" s="545">
        <f t="shared" si="7"/>
        <v>1.1582834612921284</v>
      </c>
      <c r="CX65" s="547">
        <v>29338</v>
      </c>
      <c r="CY65" s="546" t="s">
        <v>1201</v>
      </c>
      <c r="CZ65" s="546">
        <v>17691.080000000002</v>
      </c>
    </row>
    <row r="66" spans="55:104" ht="15" x14ac:dyDescent="0.25">
      <c r="CG66" s="278" t="s">
        <v>1198</v>
      </c>
      <c r="CH66" s="281" t="str">
        <f t="shared" si="5"/>
        <v>03011926</v>
      </c>
      <c r="CI66" s="281">
        <v>29695</v>
      </c>
      <c r="CJ66" s="507">
        <v>153.94999999999999</v>
      </c>
      <c r="CK66" s="506">
        <v>3.22</v>
      </c>
      <c r="CL66" s="506"/>
      <c r="CM66" s="519">
        <f>IFERROR(VLOOKUP(CI66,'calculo_abs.'!$E$2:$F$280,2,FALSE),"sin dato")</f>
        <v>8.1569859393037323E-3</v>
      </c>
      <c r="CN66" s="545">
        <v>18544</v>
      </c>
      <c r="CO66" s="545">
        <v>27924.799999999999</v>
      </c>
      <c r="CP66" s="545">
        <v>48</v>
      </c>
      <c r="CQ66" s="545">
        <f t="shared" si="6"/>
        <v>27972.799999999999</v>
      </c>
      <c r="CR66" s="545">
        <f t="shared" si="7"/>
        <v>1.5084555651423641</v>
      </c>
      <c r="CX66" s="547">
        <v>29529</v>
      </c>
      <c r="CY66" s="546" t="s">
        <v>1245</v>
      </c>
      <c r="CZ66" s="546">
        <v>17446.080000000002</v>
      </c>
    </row>
    <row r="67" spans="55:104" ht="15" x14ac:dyDescent="0.25">
      <c r="CG67" s="278" t="s">
        <v>1331</v>
      </c>
      <c r="CH67" s="281" t="str">
        <f t="shared" ref="CH67:CH98" si="8">IFERROR(VLOOKUP(CI67,controller,3,FALSE),0)</f>
        <v>46000894</v>
      </c>
      <c r="CI67" s="281">
        <v>29355</v>
      </c>
      <c r="CJ67" s="507">
        <v>322.8</v>
      </c>
      <c r="CK67" s="506">
        <v>1.87</v>
      </c>
      <c r="CL67" s="506"/>
      <c r="CM67" s="519">
        <f>IFERROR(VLOOKUP(CI67,'calculo_abs.'!$E$2:$F$280,2,FALSE),"sin dato")</f>
        <v>3.3286656026555589E-2</v>
      </c>
      <c r="CN67" s="545">
        <v>42244</v>
      </c>
      <c r="CO67" s="545">
        <v>20875.240000000002</v>
      </c>
      <c r="CP67" s="545">
        <v>22150.614974559983</v>
      </c>
      <c r="CQ67" s="545">
        <f t="shared" ref="CQ67:CQ98" si="9">+CO67+CP67</f>
        <v>43025.854974559988</v>
      </c>
      <c r="CR67" s="545">
        <f t="shared" si="7"/>
        <v>1.0185080715500423</v>
      </c>
      <c r="CX67" s="547">
        <v>29321</v>
      </c>
      <c r="CY67" s="546" t="s">
        <v>1249</v>
      </c>
      <c r="CZ67" s="546">
        <v>17358</v>
      </c>
    </row>
    <row r="68" spans="55:104" ht="15" x14ac:dyDescent="0.25">
      <c r="CG68" s="278" t="s">
        <v>1244</v>
      </c>
      <c r="CH68" s="281" t="str">
        <f t="shared" si="8"/>
        <v>03004491</v>
      </c>
      <c r="CI68" s="281">
        <v>29689</v>
      </c>
      <c r="CJ68" s="507">
        <v>243.42105263157896</v>
      </c>
      <c r="CK68" s="506">
        <v>3.05</v>
      </c>
      <c r="CL68" s="506"/>
      <c r="CM68" s="519">
        <f>IFERROR(VLOOKUP(CI68,'calculo_abs.'!$E$2:$F$280,2,FALSE),"sin dato")</f>
        <v>9.9634731080653169E-2</v>
      </c>
      <c r="CN68" s="545">
        <v>31242</v>
      </c>
      <c r="CO68" s="545">
        <v>44368.25</v>
      </c>
      <c r="CP68" s="545">
        <v>0</v>
      </c>
      <c r="CQ68" s="545">
        <f t="shared" si="9"/>
        <v>44368.25</v>
      </c>
      <c r="CR68" s="545">
        <f t="shared" si="7"/>
        <v>1.4201475577747904</v>
      </c>
      <c r="CX68" s="547">
        <v>29307</v>
      </c>
      <c r="CY68" s="546" t="s">
        <v>1360</v>
      </c>
      <c r="CZ68" s="546">
        <v>17080.150000000001</v>
      </c>
    </row>
    <row r="69" spans="55:104" ht="15" x14ac:dyDescent="0.25">
      <c r="CG69" s="278" t="s">
        <v>1267</v>
      </c>
      <c r="CH69" s="281" t="str">
        <f t="shared" si="8"/>
        <v>03012633</v>
      </c>
      <c r="CI69" s="281">
        <v>29697</v>
      </c>
      <c r="CJ69" s="507">
        <v>159.47368421052633</v>
      </c>
      <c r="CK69" s="506">
        <v>3.03</v>
      </c>
      <c r="CL69" s="506"/>
      <c r="CM69" s="519">
        <f>IFERROR(VLOOKUP(CI69,'calculo_abs.'!$E$2:$F$280,2,FALSE),"sin dato")</f>
        <v>0.13882464097193759</v>
      </c>
      <c r="CN69" s="545">
        <v>20854</v>
      </c>
      <c r="CO69" s="545">
        <v>21609.23</v>
      </c>
      <c r="CP69" s="545">
        <v>63</v>
      </c>
      <c r="CQ69" s="545">
        <f t="shared" si="9"/>
        <v>21672.23</v>
      </c>
      <c r="CR69" s="545">
        <f t="shared" si="7"/>
        <v>1.0392361177711711</v>
      </c>
      <c r="CX69" s="547">
        <v>53535</v>
      </c>
      <c r="CY69" s="546" t="s">
        <v>1488</v>
      </c>
      <c r="CZ69" s="546">
        <v>16733.78</v>
      </c>
    </row>
    <row r="70" spans="55:104" ht="15" x14ac:dyDescent="0.25">
      <c r="CG70" s="278" t="s">
        <v>1288</v>
      </c>
      <c r="CH70" s="281" t="str">
        <f t="shared" si="8"/>
        <v>03010351</v>
      </c>
      <c r="CI70" s="281">
        <v>29671</v>
      </c>
      <c r="CJ70" s="507">
        <v>229</v>
      </c>
      <c r="CK70" s="506">
        <v>3.33</v>
      </c>
      <c r="CL70" s="506"/>
      <c r="CM70" s="519">
        <f>IFERROR(VLOOKUP(CI70,'calculo_abs.'!$E$2:$F$280,2,FALSE),"sin dato")</f>
        <v>0.22651545785971994</v>
      </c>
      <c r="CN70" s="545">
        <v>28157</v>
      </c>
      <c r="CO70" s="545">
        <v>36029.599999999999</v>
      </c>
      <c r="CP70" s="545">
        <v>78</v>
      </c>
      <c r="CQ70" s="545">
        <f t="shared" si="9"/>
        <v>36107.599999999999</v>
      </c>
      <c r="CR70" s="545">
        <f t="shared" si="7"/>
        <v>1.2823667294100933</v>
      </c>
      <c r="CX70" s="547">
        <v>29696</v>
      </c>
      <c r="CY70" s="546" t="s">
        <v>1393</v>
      </c>
      <c r="CZ70" s="546">
        <v>15673.36</v>
      </c>
    </row>
    <row r="71" spans="55:104" ht="15" x14ac:dyDescent="0.25">
      <c r="CG71" s="278" t="s">
        <v>1220</v>
      </c>
      <c r="CH71" s="281" t="str">
        <f t="shared" si="8"/>
        <v>03004429</v>
      </c>
      <c r="CI71" s="281">
        <v>54234</v>
      </c>
      <c r="CJ71" s="507">
        <v>137</v>
      </c>
      <c r="CK71" s="506">
        <v>3.19</v>
      </c>
      <c r="CL71" s="506"/>
      <c r="CM71" s="519">
        <f>IFERROR(VLOOKUP(CI71,'calculo_abs.'!$E$2:$F$280,2,FALSE),"sin dato")</f>
        <v>0.31192798814101841</v>
      </c>
      <c r="CN71" s="545" t="s">
        <v>1204</v>
      </c>
      <c r="CO71" s="545">
        <v>0</v>
      </c>
      <c r="CP71" s="545">
        <v>0</v>
      </c>
      <c r="CQ71" s="545">
        <f t="shared" si="9"/>
        <v>0</v>
      </c>
      <c r="CR71" s="545">
        <f t="shared" si="7"/>
        <v>0</v>
      </c>
      <c r="CX71" s="547">
        <v>29356</v>
      </c>
      <c r="CY71" s="546" t="s">
        <v>1349</v>
      </c>
      <c r="CZ71" s="546">
        <v>15197.68</v>
      </c>
    </row>
    <row r="72" spans="55:104" ht="15" x14ac:dyDescent="0.25">
      <c r="CG72" s="278" t="s">
        <v>1307</v>
      </c>
      <c r="CH72" s="281" t="str">
        <f t="shared" si="8"/>
        <v>03002664</v>
      </c>
      <c r="CI72" s="281">
        <v>52011</v>
      </c>
      <c r="CJ72" s="507">
        <v>98.166666666666657</v>
      </c>
      <c r="CK72" s="506">
        <v>3.37</v>
      </c>
      <c r="CL72" s="506"/>
      <c r="CM72" s="519">
        <f>IFERROR(VLOOKUP(CI72,'calculo_abs.'!$E$2:$F$280,2,FALSE),"sin dato")</f>
        <v>2.1945587748362526E-3</v>
      </c>
      <c r="CN72" s="545" t="s">
        <v>1204</v>
      </c>
      <c r="CO72" s="545">
        <v>0</v>
      </c>
      <c r="CP72" s="545">
        <v>0</v>
      </c>
      <c r="CQ72" s="545">
        <f t="shared" si="9"/>
        <v>0</v>
      </c>
      <c r="CR72" s="545">
        <f t="shared" si="7"/>
        <v>0</v>
      </c>
      <c r="CX72" s="547">
        <v>53558</v>
      </c>
      <c r="CY72" s="546" t="s">
        <v>1544</v>
      </c>
      <c r="CZ72" s="546">
        <v>15077.39</v>
      </c>
    </row>
    <row r="73" spans="55:104" ht="15" x14ac:dyDescent="0.25">
      <c r="CG73" s="278" t="s">
        <v>1305</v>
      </c>
      <c r="CH73" s="281" t="str">
        <f t="shared" si="8"/>
        <v>46033516</v>
      </c>
      <c r="CI73" s="281">
        <v>53755</v>
      </c>
      <c r="CJ73" s="507">
        <v>362.25</v>
      </c>
      <c r="CK73" s="506">
        <v>3.08</v>
      </c>
      <c r="CL73" s="506"/>
      <c r="CM73" s="519">
        <f>IFERROR(VLOOKUP(CI73,'calculo_abs.'!$E$2:$F$280,2,FALSE),"sin dato")</f>
        <v>0.22252012872892371</v>
      </c>
      <c r="CN73" s="545">
        <v>46132</v>
      </c>
      <c r="CO73" s="545">
        <v>28427.56</v>
      </c>
      <c r="CP73" s="545">
        <v>34561.573764979963</v>
      </c>
      <c r="CQ73" s="545">
        <f t="shared" si="9"/>
        <v>62989.133764979968</v>
      </c>
      <c r="CR73" s="545">
        <f t="shared" si="7"/>
        <v>1.3654108593813399</v>
      </c>
      <c r="CX73" s="547">
        <v>53716</v>
      </c>
      <c r="CY73" s="546" t="s">
        <v>1222</v>
      </c>
      <c r="CZ73" s="546">
        <v>15052.85</v>
      </c>
    </row>
    <row r="74" spans="55:104" ht="15" x14ac:dyDescent="0.25">
      <c r="CG74" s="278" t="s">
        <v>1325</v>
      </c>
      <c r="CH74" s="281" t="str">
        <f t="shared" si="8"/>
        <v>46012604</v>
      </c>
      <c r="CI74" s="281">
        <v>29408</v>
      </c>
      <c r="CJ74" s="507">
        <v>118.1</v>
      </c>
      <c r="CK74" s="506">
        <v>2.54</v>
      </c>
      <c r="CL74" s="506"/>
      <c r="CM74" s="519">
        <f>IFERROR(VLOOKUP(CI74,'calculo_abs.'!$E$2:$F$280,2,FALSE),"sin dato")</f>
        <v>0.28642513899081645</v>
      </c>
      <c r="CN74" s="545" t="s">
        <v>1204</v>
      </c>
      <c r="CO74" s="545">
        <v>0</v>
      </c>
      <c r="CP74" s="545">
        <v>0</v>
      </c>
      <c r="CQ74" s="545">
        <f t="shared" si="9"/>
        <v>0</v>
      </c>
      <c r="CR74" s="545">
        <f t="shared" si="7"/>
        <v>0</v>
      </c>
      <c r="CX74" s="547">
        <v>29334</v>
      </c>
      <c r="CY74" s="546" t="s">
        <v>1202</v>
      </c>
      <c r="CZ74" s="546">
        <v>14970.5</v>
      </c>
    </row>
    <row r="75" spans="55:104" ht="15" x14ac:dyDescent="0.25">
      <c r="CG75" s="278" t="s">
        <v>1308</v>
      </c>
      <c r="CH75" s="281" t="str">
        <f t="shared" si="8"/>
        <v>12001964</v>
      </c>
      <c r="CI75" s="281">
        <v>29516</v>
      </c>
      <c r="CJ75" s="507">
        <v>132.19999999999999</v>
      </c>
      <c r="CK75" s="506">
        <v>3.21</v>
      </c>
      <c r="CL75" s="506"/>
      <c r="CM75" s="519">
        <f>IFERROR(VLOOKUP(CI75,'calculo_abs.'!$E$2:$F$280,2,FALSE),"sin dato")</f>
        <v>0.27713384162392601</v>
      </c>
      <c r="CN75" s="545">
        <v>15897</v>
      </c>
      <c r="CO75" s="545">
        <v>14231.14</v>
      </c>
      <c r="CP75" s="545">
        <v>8859.6334799999986</v>
      </c>
      <c r="CQ75" s="545">
        <f t="shared" si="9"/>
        <v>23090.773479999996</v>
      </c>
      <c r="CR75" s="545">
        <f t="shared" si="7"/>
        <v>1.4525239655280868</v>
      </c>
      <c r="CX75" s="547">
        <v>29644</v>
      </c>
      <c r="CY75" s="546" t="s">
        <v>1309</v>
      </c>
      <c r="CZ75" s="546">
        <v>14660.67</v>
      </c>
    </row>
    <row r="76" spans="55:104" ht="15" x14ac:dyDescent="0.25">
      <c r="BC76" s="284"/>
      <c r="CG76" s="278" t="s">
        <v>1347</v>
      </c>
      <c r="CH76" s="281" t="str">
        <f t="shared" si="8"/>
        <v>03004651</v>
      </c>
      <c r="CI76" s="281">
        <v>50591</v>
      </c>
      <c r="CJ76" s="507">
        <v>276.375</v>
      </c>
      <c r="CK76" s="506">
        <v>3.1</v>
      </c>
      <c r="CL76" s="506"/>
      <c r="CM76" s="519">
        <f>IFERROR(VLOOKUP(CI76,'calculo_abs.'!$E$2:$F$280,2,FALSE),"sin dato")</f>
        <v>8.5623713594107281E-2</v>
      </c>
      <c r="CN76" s="545">
        <v>34493</v>
      </c>
      <c r="CO76" s="545">
        <v>44852.639999999999</v>
      </c>
      <c r="CP76" s="545">
        <v>0</v>
      </c>
      <c r="CQ76" s="545">
        <f t="shared" si="9"/>
        <v>44852.639999999999</v>
      </c>
      <c r="CR76" s="545">
        <f t="shared" si="7"/>
        <v>1.3003403589134026</v>
      </c>
      <c r="CX76" s="547">
        <v>29305</v>
      </c>
      <c r="CY76" s="546" t="s">
        <v>1376</v>
      </c>
      <c r="CZ76" s="546">
        <v>14405.95</v>
      </c>
    </row>
    <row r="77" spans="55:104" ht="15" x14ac:dyDescent="0.25">
      <c r="CG77" s="278" t="s">
        <v>1303</v>
      </c>
      <c r="CH77" s="281" t="str">
        <f t="shared" si="8"/>
        <v>12001666</v>
      </c>
      <c r="CI77" s="281">
        <v>29384</v>
      </c>
      <c r="CJ77" s="507">
        <v>148.75</v>
      </c>
      <c r="CK77" s="506">
        <v>3.1</v>
      </c>
      <c r="CL77" s="506"/>
      <c r="CM77" s="519">
        <f>IFERROR(VLOOKUP(CI77,'calculo_abs.'!$E$2:$F$280,2,FALSE),"sin dato")</f>
        <v>4.5619218986417742E-2</v>
      </c>
      <c r="CN77" s="545">
        <v>18657</v>
      </c>
      <c r="CO77" s="545">
        <v>12938.69</v>
      </c>
      <c r="CP77" s="545">
        <v>8134.2270533200008</v>
      </c>
      <c r="CQ77" s="545">
        <f t="shared" si="9"/>
        <v>21072.917053320001</v>
      </c>
      <c r="CR77" s="545">
        <f t="shared" ref="CR77:CR108" si="10">IFERROR(CQ77/CN77,0)</f>
        <v>1.1294911857919281</v>
      </c>
      <c r="CX77" s="547">
        <v>29516</v>
      </c>
      <c r="CY77" s="546" t="s">
        <v>1308</v>
      </c>
      <c r="CZ77" s="546">
        <v>14231.14</v>
      </c>
    </row>
    <row r="78" spans="55:104" ht="15" x14ac:dyDescent="0.25">
      <c r="CG78" s="278" t="s">
        <v>1349</v>
      </c>
      <c r="CH78" s="281" t="str">
        <f t="shared" si="8"/>
        <v>46016117</v>
      </c>
      <c r="CI78" s="281">
        <v>29356</v>
      </c>
      <c r="CJ78" s="507">
        <v>231.21052631578948</v>
      </c>
      <c r="CK78" s="506">
        <v>3.19</v>
      </c>
      <c r="CL78" s="506"/>
      <c r="CM78" s="519">
        <f>IFERROR(VLOOKUP(CI78,'calculo_abs.'!$E$2:$F$280,2,FALSE),"sin dato")</f>
        <v>3.5670216162155287E-2</v>
      </c>
      <c r="CN78" s="545">
        <v>29234</v>
      </c>
      <c r="CO78" s="545">
        <v>15197.68</v>
      </c>
      <c r="CP78" s="545">
        <v>14589.097906499996</v>
      </c>
      <c r="CQ78" s="545">
        <f t="shared" si="9"/>
        <v>29786.777906499996</v>
      </c>
      <c r="CR78" s="545">
        <f t="shared" si="10"/>
        <v>1.0189087332044877</v>
      </c>
      <c r="CX78" s="547">
        <v>54264</v>
      </c>
      <c r="CY78" s="546" t="s">
        <v>1545</v>
      </c>
      <c r="CZ78" s="546">
        <v>13580.57</v>
      </c>
    </row>
    <row r="79" spans="55:104" ht="15" x14ac:dyDescent="0.25">
      <c r="CG79" s="278" t="s">
        <v>1226</v>
      </c>
      <c r="CH79" s="281" t="str">
        <f t="shared" si="8"/>
        <v>46014901</v>
      </c>
      <c r="CI79" s="281">
        <v>29349</v>
      </c>
      <c r="CJ79" s="507">
        <v>241.75</v>
      </c>
      <c r="CK79" s="506">
        <v>3.15</v>
      </c>
      <c r="CL79" s="506"/>
      <c r="CM79" s="519">
        <f>IFERROR(VLOOKUP(CI79,'calculo_abs.'!$E$2:$F$280,2,FALSE),"sin dato")</f>
        <v>6.6046462237447617E-2</v>
      </c>
      <c r="CN79" s="545">
        <v>31702</v>
      </c>
      <c r="CO79" s="545">
        <v>17701.09</v>
      </c>
      <c r="CP79" s="545">
        <v>15973.189919999993</v>
      </c>
      <c r="CQ79" s="545">
        <f t="shared" si="9"/>
        <v>33674.279919999994</v>
      </c>
      <c r="CR79" s="545">
        <f t="shared" si="10"/>
        <v>1.0622131070594913</v>
      </c>
      <c r="CX79" s="547">
        <v>29365</v>
      </c>
      <c r="CY79" s="546" t="s">
        <v>1265</v>
      </c>
      <c r="CZ79" s="546">
        <v>13533.31</v>
      </c>
    </row>
    <row r="80" spans="55:104" ht="15" x14ac:dyDescent="0.25">
      <c r="CG80" s="278" t="s">
        <v>1343</v>
      </c>
      <c r="CH80" s="281" t="str">
        <f t="shared" si="8"/>
        <v>46011533</v>
      </c>
      <c r="CI80" s="281">
        <v>29483</v>
      </c>
      <c r="CJ80" s="507">
        <v>49</v>
      </c>
      <c r="CK80" s="506">
        <v>2.71</v>
      </c>
      <c r="CL80" s="506"/>
      <c r="CM80" s="519">
        <f>IFERROR(VLOOKUP(CI80,'calculo_abs.'!$E$2:$F$280,2,FALSE),"sin dato")</f>
        <v>0.1898187147183365</v>
      </c>
      <c r="CN80" s="545" t="s">
        <v>1204</v>
      </c>
      <c r="CO80" s="545">
        <v>0</v>
      </c>
      <c r="CP80" s="545">
        <v>0</v>
      </c>
      <c r="CQ80" s="545">
        <f t="shared" si="9"/>
        <v>0</v>
      </c>
      <c r="CR80" s="545">
        <f t="shared" si="10"/>
        <v>0</v>
      </c>
      <c r="CX80" s="547">
        <v>53473</v>
      </c>
      <c r="CY80" s="546" t="s">
        <v>1546</v>
      </c>
      <c r="CZ80" s="546">
        <v>13441.98</v>
      </c>
    </row>
    <row r="81" spans="85:104" ht="15" x14ac:dyDescent="0.25">
      <c r="CG81" s="278" t="s">
        <v>1327</v>
      </c>
      <c r="CH81" s="281" t="str">
        <f t="shared" si="8"/>
        <v>03009373</v>
      </c>
      <c r="CI81" s="281">
        <v>49515</v>
      </c>
      <c r="CJ81" s="507">
        <v>94.4</v>
      </c>
      <c r="CK81" s="506">
        <v>3.2</v>
      </c>
      <c r="CL81" s="506"/>
      <c r="CM81" s="519">
        <f>IFERROR(VLOOKUP(CI81,'calculo_abs.'!$E$2:$F$280,2,FALSE),"sin dato")</f>
        <v>2.0011590423412655E-2</v>
      </c>
      <c r="CN81" s="545" t="s">
        <v>1204</v>
      </c>
      <c r="CO81" s="545">
        <v>0</v>
      </c>
      <c r="CP81" s="545">
        <v>0</v>
      </c>
      <c r="CQ81" s="545">
        <f t="shared" si="9"/>
        <v>0</v>
      </c>
      <c r="CR81" s="545">
        <f t="shared" si="10"/>
        <v>0</v>
      </c>
      <c r="CX81" s="547">
        <v>29384</v>
      </c>
      <c r="CY81" s="546" t="s">
        <v>1303</v>
      </c>
      <c r="CZ81" s="546">
        <v>12938.69</v>
      </c>
    </row>
    <row r="82" spans="85:104" ht="15" x14ac:dyDescent="0.25">
      <c r="CG82" s="278" t="s">
        <v>1285</v>
      </c>
      <c r="CH82" s="281" t="str">
        <f t="shared" si="8"/>
        <v>46003251</v>
      </c>
      <c r="CI82" s="281">
        <v>29350</v>
      </c>
      <c r="CJ82" s="507">
        <v>345.4</v>
      </c>
      <c r="CK82" s="506">
        <v>3.09</v>
      </c>
      <c r="CL82" s="506"/>
      <c r="CM82" s="519">
        <f>IFERROR(VLOOKUP(CI82,'calculo_abs.'!$E$2:$F$280,2,FALSE),"sin dato")</f>
        <v>5.9793435491919115E-2</v>
      </c>
      <c r="CN82" s="545">
        <v>46152</v>
      </c>
      <c r="CO82" s="545">
        <v>27486.43</v>
      </c>
      <c r="CP82" s="545">
        <v>27556.879751320004</v>
      </c>
      <c r="CQ82" s="545">
        <f t="shared" si="9"/>
        <v>55043.309751320005</v>
      </c>
      <c r="CR82" s="545">
        <f t="shared" si="10"/>
        <v>1.1926527507219624</v>
      </c>
      <c r="CX82" s="547">
        <v>53171</v>
      </c>
      <c r="CY82" s="546" t="s">
        <v>1416</v>
      </c>
      <c r="CZ82" s="546">
        <v>12917.33</v>
      </c>
    </row>
    <row r="83" spans="85:104" ht="15" x14ac:dyDescent="0.25">
      <c r="CG83" s="278" t="s">
        <v>1366</v>
      </c>
      <c r="CH83" s="281" t="str">
        <f t="shared" si="8"/>
        <v>46019866</v>
      </c>
      <c r="CI83" s="281">
        <v>29372</v>
      </c>
      <c r="CJ83" s="507">
        <v>373.4</v>
      </c>
      <c r="CK83" s="506">
        <v>3.25</v>
      </c>
      <c r="CL83" s="506"/>
      <c r="CM83" s="519">
        <f>IFERROR(VLOOKUP(CI83,'calculo_abs.'!$E$2:$F$280,2,FALSE),"sin dato")</f>
        <v>6.677237974423153E-2</v>
      </c>
      <c r="CN83" s="545">
        <v>46466</v>
      </c>
      <c r="CO83" s="545">
        <v>33632.449999999997</v>
      </c>
      <c r="CP83" s="545">
        <v>27584.204515593992</v>
      </c>
      <c r="CQ83" s="545">
        <f t="shared" si="9"/>
        <v>61216.654515593989</v>
      </c>
      <c r="CR83" s="545">
        <f t="shared" si="10"/>
        <v>1.3174504910169584</v>
      </c>
      <c r="CX83" s="547">
        <v>51142</v>
      </c>
      <c r="CY83" s="546" t="s">
        <v>1181</v>
      </c>
      <c r="CZ83" s="546">
        <v>12299.56</v>
      </c>
    </row>
    <row r="84" spans="85:104" ht="15" x14ac:dyDescent="0.25">
      <c r="CG84" s="278" t="s">
        <v>1360</v>
      </c>
      <c r="CH84" s="281" t="str">
        <f t="shared" si="8"/>
        <v>12004345</v>
      </c>
      <c r="CI84" s="281">
        <v>29307</v>
      </c>
      <c r="CJ84" s="507">
        <v>175.5</v>
      </c>
      <c r="CK84" s="506">
        <v>3.02</v>
      </c>
      <c r="CL84" s="506"/>
      <c r="CM84" s="519">
        <f>IFERROR(VLOOKUP(CI84,'calculo_abs.'!$E$2:$F$280,2,FALSE),"sin dato")</f>
        <v>9.0036365265152907E-2</v>
      </c>
      <c r="CN84" s="545">
        <v>21549</v>
      </c>
      <c r="CO84" s="545">
        <v>17080.150000000001</v>
      </c>
      <c r="CP84" s="545">
        <v>10600.938237319999</v>
      </c>
      <c r="CQ84" s="545">
        <f t="shared" si="9"/>
        <v>27681.08823732</v>
      </c>
      <c r="CR84" s="545">
        <f t="shared" si="10"/>
        <v>1.2845648632103579</v>
      </c>
      <c r="CX84" s="547">
        <v>29333</v>
      </c>
      <c r="CY84" s="546" t="s">
        <v>1247</v>
      </c>
      <c r="CZ84" s="546">
        <v>12249.86</v>
      </c>
    </row>
    <row r="85" spans="85:104" ht="15" x14ac:dyDescent="0.25">
      <c r="CG85" s="278" t="s">
        <v>1328</v>
      </c>
      <c r="CH85" s="281" t="str">
        <f t="shared" si="8"/>
        <v>12003407</v>
      </c>
      <c r="CI85" s="281">
        <v>29437</v>
      </c>
      <c r="CJ85" s="507">
        <v>47.1</v>
      </c>
      <c r="CK85" s="506">
        <v>2.85</v>
      </c>
      <c r="CL85" s="506"/>
      <c r="CM85" s="519">
        <f>IFERROR(VLOOKUP(CI85,'calculo_abs.'!$E$2:$F$280,2,FALSE),"sin dato")</f>
        <v>0.23952141268286761</v>
      </c>
      <c r="CN85" s="545" t="s">
        <v>1204</v>
      </c>
      <c r="CO85" s="545">
        <v>0</v>
      </c>
      <c r="CP85" s="545">
        <v>0</v>
      </c>
      <c r="CQ85" s="545">
        <f t="shared" si="9"/>
        <v>0</v>
      </c>
      <c r="CR85" s="545">
        <f t="shared" si="10"/>
        <v>0</v>
      </c>
      <c r="CX85" s="547">
        <v>29329</v>
      </c>
      <c r="CY85" s="546" t="s">
        <v>1272</v>
      </c>
      <c r="CZ85" s="546">
        <v>12107.04</v>
      </c>
    </row>
    <row r="86" spans="85:104" ht="15" x14ac:dyDescent="0.25">
      <c r="CG86" s="278" t="s">
        <v>1533</v>
      </c>
      <c r="CH86" s="281" t="str">
        <f t="shared" si="8"/>
        <v>46003652</v>
      </c>
      <c r="CI86" s="281">
        <v>29351</v>
      </c>
      <c r="CJ86" s="507">
        <v>457.42105263157896</v>
      </c>
      <c r="CK86" s="506">
        <v>3.14</v>
      </c>
      <c r="CL86" s="506"/>
      <c r="CM86" s="519">
        <f>IFERROR(VLOOKUP(CI86,'calculo_abs.'!$E$2:$F$280,2,FALSE),"sin dato")</f>
        <v>4.6963852174619229E-2</v>
      </c>
      <c r="CN86" s="545">
        <v>58430</v>
      </c>
      <c r="CO86" s="545">
        <v>28733.25</v>
      </c>
      <c r="CP86" s="545">
        <v>29488.152173500013</v>
      </c>
      <c r="CQ86" s="545">
        <f t="shared" si="9"/>
        <v>58221.402173500013</v>
      </c>
      <c r="CR86" s="545">
        <f t="shared" si="10"/>
        <v>0.99642995333732698</v>
      </c>
      <c r="CX86" s="547">
        <v>53750</v>
      </c>
      <c r="CY86" s="546" t="s">
        <v>1243</v>
      </c>
      <c r="CZ86" s="546">
        <v>12098.73</v>
      </c>
    </row>
    <row r="87" spans="85:104" ht="15" x14ac:dyDescent="0.25">
      <c r="CG87" s="278" t="s">
        <v>1243</v>
      </c>
      <c r="CH87" s="281" t="str">
        <f t="shared" si="8"/>
        <v>03011069</v>
      </c>
      <c r="CI87" s="281">
        <v>53750</v>
      </c>
      <c r="CJ87" s="507">
        <v>55.526315789473685</v>
      </c>
      <c r="CK87" s="506">
        <v>3.34</v>
      </c>
      <c r="CL87" s="506"/>
      <c r="CM87" s="519">
        <f>IFERROR(VLOOKUP(CI87,'calculo_abs.'!$E$2:$F$280,2,FALSE),"sin dato")</f>
        <v>9.8790806920343047E-2</v>
      </c>
      <c r="CN87" s="545">
        <v>7116</v>
      </c>
      <c r="CO87" s="545">
        <v>12098.73</v>
      </c>
      <c r="CP87" s="545">
        <v>25.5</v>
      </c>
      <c r="CQ87" s="545">
        <f t="shared" si="9"/>
        <v>12124.23</v>
      </c>
      <c r="CR87" s="545">
        <f t="shared" si="10"/>
        <v>1.7037984822934231</v>
      </c>
      <c r="CX87" s="547">
        <v>29368</v>
      </c>
      <c r="CY87" s="546" t="s">
        <v>871</v>
      </c>
      <c r="CZ87" s="546">
        <v>11972.92</v>
      </c>
    </row>
    <row r="88" spans="85:104" ht="15" x14ac:dyDescent="0.25">
      <c r="CG88" s="278" t="s">
        <v>1249</v>
      </c>
      <c r="CH88" s="281" t="str">
        <f t="shared" si="8"/>
        <v>46012458</v>
      </c>
      <c r="CI88" s="281">
        <v>29321</v>
      </c>
      <c r="CJ88" s="507">
        <v>233.15789473684211</v>
      </c>
      <c r="CK88" s="506">
        <v>3.18</v>
      </c>
      <c r="CL88" s="506"/>
      <c r="CM88" s="519">
        <f>IFERROR(VLOOKUP(CI88,'calculo_abs.'!$E$2:$F$280,2,FALSE),"sin dato")</f>
        <v>4.4252414886549268E-2</v>
      </c>
      <c r="CN88" s="545">
        <v>27149</v>
      </c>
      <c r="CO88" s="545">
        <v>17358</v>
      </c>
      <c r="CP88" s="545">
        <v>17077.948517999997</v>
      </c>
      <c r="CQ88" s="545">
        <f t="shared" si="9"/>
        <v>34435.948517999997</v>
      </c>
      <c r="CR88" s="545">
        <f t="shared" si="10"/>
        <v>1.2684057798813952</v>
      </c>
      <c r="CX88" s="547">
        <v>29353</v>
      </c>
      <c r="CY88" s="546" t="s">
        <v>1406</v>
      </c>
      <c r="CZ88" s="546">
        <v>11450.89</v>
      </c>
    </row>
    <row r="89" spans="85:104" ht="15" x14ac:dyDescent="0.25">
      <c r="CG89" s="278" t="s">
        <v>1247</v>
      </c>
      <c r="CH89" s="281" t="str">
        <f t="shared" si="8"/>
        <v>46020340</v>
      </c>
      <c r="CI89" s="281">
        <v>29333</v>
      </c>
      <c r="CJ89" s="507">
        <v>162.55000000000001</v>
      </c>
      <c r="CK89" s="506">
        <v>3.3</v>
      </c>
      <c r="CL89" s="506"/>
      <c r="CM89" s="519">
        <f>IFERROR(VLOOKUP(CI89,'calculo_abs.'!$E$2:$F$280,2,FALSE),"sin dato")</f>
        <v>4.6710230893758309E-2</v>
      </c>
      <c r="CN89" s="545">
        <v>21174</v>
      </c>
      <c r="CO89" s="545">
        <v>12249.86</v>
      </c>
      <c r="CP89" s="545">
        <v>12981.820439999996</v>
      </c>
      <c r="CQ89" s="545">
        <f t="shared" si="9"/>
        <v>25231.680439999996</v>
      </c>
      <c r="CR89" s="545">
        <f t="shared" si="10"/>
        <v>1.1916350448663453</v>
      </c>
      <c r="CX89" s="547">
        <v>29461</v>
      </c>
      <c r="CY89" s="546" t="s">
        <v>1428</v>
      </c>
      <c r="CZ89" s="546">
        <v>11222.32</v>
      </c>
    </row>
    <row r="90" spans="85:104" ht="15" x14ac:dyDescent="0.25">
      <c r="CG90" s="278" t="s">
        <v>1266</v>
      </c>
      <c r="CH90" s="281" t="str">
        <f t="shared" si="8"/>
        <v>03011057</v>
      </c>
      <c r="CI90" s="281">
        <v>29676</v>
      </c>
      <c r="CJ90" s="507">
        <v>191.15</v>
      </c>
      <c r="CK90" s="506">
        <v>2.99</v>
      </c>
      <c r="CL90" s="506"/>
      <c r="CM90" s="519">
        <f>IFERROR(VLOOKUP(CI90,'calculo_abs.'!$E$2:$F$280,2,FALSE),"sin dato")</f>
        <v>2.2077747455229963E-2</v>
      </c>
      <c r="CN90" s="545">
        <v>25209</v>
      </c>
      <c r="CO90" s="545">
        <v>36970.18</v>
      </c>
      <c r="CP90" s="545">
        <v>57.654000000000003</v>
      </c>
      <c r="CQ90" s="545">
        <f t="shared" si="9"/>
        <v>37027.834000000003</v>
      </c>
      <c r="CR90" s="545">
        <f t="shared" si="10"/>
        <v>1.4688339085247333</v>
      </c>
      <c r="CX90" s="547">
        <v>29376</v>
      </c>
      <c r="CY90" s="546" t="s">
        <v>1441</v>
      </c>
      <c r="CZ90" s="546">
        <v>11221.68</v>
      </c>
    </row>
    <row r="91" spans="85:104" ht="15" x14ac:dyDescent="0.25">
      <c r="CG91" s="278" t="s">
        <v>1346</v>
      </c>
      <c r="CH91" s="281" t="str">
        <f t="shared" si="8"/>
        <v>12000728</v>
      </c>
      <c r="CI91" s="281">
        <v>29341</v>
      </c>
      <c r="CJ91" s="507">
        <v>139.88235294117646</v>
      </c>
      <c r="CK91" s="506">
        <v>3.04</v>
      </c>
      <c r="CL91" s="506"/>
      <c r="CM91" s="519">
        <f>IFERROR(VLOOKUP(CI91,'calculo_abs.'!$E$2:$F$280,2,FALSE),"sin dato")</f>
        <v>3.7470447084539726E-2</v>
      </c>
      <c r="CN91" s="545">
        <v>17661</v>
      </c>
      <c r="CO91" s="545">
        <v>22801.09</v>
      </c>
      <c r="CP91" s="545">
        <v>11614.671577499998</v>
      </c>
      <c r="CQ91" s="545">
        <f t="shared" si="9"/>
        <v>34415.761577500001</v>
      </c>
      <c r="CR91" s="545">
        <f t="shared" si="10"/>
        <v>1.9486870266406207</v>
      </c>
      <c r="CX91" s="547">
        <v>50261</v>
      </c>
      <c r="CY91" s="546" t="s">
        <v>1291</v>
      </c>
      <c r="CZ91" s="546">
        <v>10328.16</v>
      </c>
    </row>
    <row r="92" spans="85:104" ht="15" x14ac:dyDescent="0.25">
      <c r="CG92" s="278" t="s">
        <v>1345</v>
      </c>
      <c r="CH92" s="281" t="str">
        <f t="shared" si="8"/>
        <v>03006001</v>
      </c>
      <c r="CI92" s="281">
        <v>29647</v>
      </c>
      <c r="CJ92" s="507">
        <v>78.666666666666671</v>
      </c>
      <c r="CK92" s="506">
        <v>3.38</v>
      </c>
      <c r="CL92" s="506"/>
      <c r="CM92" s="519">
        <f>IFERROR(VLOOKUP(CI92,'calculo_abs.'!$E$2:$F$280,2,FALSE),"sin dato")</f>
        <v>4.1391553946529068E-2</v>
      </c>
      <c r="CN92" s="545" t="s">
        <v>1204</v>
      </c>
      <c r="CO92" s="545">
        <v>0</v>
      </c>
      <c r="CP92" s="545">
        <v>0</v>
      </c>
      <c r="CQ92" s="545">
        <f t="shared" si="9"/>
        <v>0</v>
      </c>
      <c r="CR92" s="545">
        <f t="shared" si="10"/>
        <v>0</v>
      </c>
      <c r="CX92" s="547">
        <v>29416</v>
      </c>
      <c r="CY92" s="546" t="s">
        <v>1175</v>
      </c>
      <c r="CZ92" s="546">
        <v>10132.31</v>
      </c>
    </row>
    <row r="93" spans="85:104" ht="15" x14ac:dyDescent="0.25">
      <c r="CG93" s="278" t="s">
        <v>1323</v>
      </c>
      <c r="CH93" s="281" t="str">
        <f t="shared" si="8"/>
        <v>46012598</v>
      </c>
      <c r="CI93" s="281">
        <v>29340</v>
      </c>
      <c r="CJ93" s="507">
        <v>72.900000000000006</v>
      </c>
      <c r="CK93" s="506">
        <v>1.9</v>
      </c>
      <c r="CL93" s="506"/>
      <c r="CM93" s="519">
        <f>IFERROR(VLOOKUP(CI93,'calculo_abs.'!$E$2:$F$280,2,FALSE),"sin dato")</f>
        <v>0.12612068497020826</v>
      </c>
      <c r="CN93" s="545">
        <v>9541</v>
      </c>
      <c r="CO93" s="545">
        <v>7944.19</v>
      </c>
      <c r="CP93" s="545">
        <v>5278.4920499999971</v>
      </c>
      <c r="CQ93" s="545">
        <f t="shared" si="9"/>
        <v>13222.682049999996</v>
      </c>
      <c r="CR93" s="545">
        <f t="shared" si="10"/>
        <v>1.3858801016664914</v>
      </c>
      <c r="CX93" s="547">
        <v>53715</v>
      </c>
      <c r="CY93" s="546" t="s">
        <v>1310</v>
      </c>
      <c r="CZ93" s="546">
        <v>10106.530000000001</v>
      </c>
    </row>
    <row r="94" spans="85:104" ht="15" x14ac:dyDescent="0.25">
      <c r="CG94" s="278" t="s">
        <v>1362</v>
      </c>
      <c r="CH94" s="281" t="str">
        <f t="shared" si="8"/>
        <v>03001623</v>
      </c>
      <c r="CI94" s="281">
        <v>29654</v>
      </c>
      <c r="CJ94" s="507">
        <v>87.85</v>
      </c>
      <c r="CK94" s="506">
        <v>3.44</v>
      </c>
      <c r="CL94" s="506"/>
      <c r="CM94" s="519">
        <f>IFERROR(VLOOKUP(CI94,'calculo_abs.'!$E$2:$F$280,2,FALSE),"sin dato")</f>
        <v>1.5320272287308187E-2</v>
      </c>
      <c r="CN94" s="545" t="s">
        <v>1204</v>
      </c>
      <c r="CO94" s="545">
        <v>0</v>
      </c>
      <c r="CP94" s="545">
        <v>0</v>
      </c>
      <c r="CQ94" s="545">
        <f t="shared" si="9"/>
        <v>0</v>
      </c>
      <c r="CR94" s="545">
        <f t="shared" si="10"/>
        <v>0</v>
      </c>
      <c r="CX94" s="547">
        <v>29315</v>
      </c>
      <c r="CY94" s="546" t="s">
        <v>1397</v>
      </c>
      <c r="CZ94" s="546">
        <v>9844.9699999999993</v>
      </c>
    </row>
    <row r="95" spans="85:104" ht="15" x14ac:dyDescent="0.25">
      <c r="CG95" s="278" t="s">
        <v>1378</v>
      </c>
      <c r="CH95" s="281" t="str">
        <f t="shared" si="8"/>
        <v>03021661</v>
      </c>
      <c r="CI95" s="281">
        <v>54260</v>
      </c>
      <c r="CJ95" s="507">
        <v>276.10000000000002</v>
      </c>
      <c r="CK95" s="506">
        <v>3.14</v>
      </c>
      <c r="CL95" s="506"/>
      <c r="CM95" s="519">
        <f>IFERROR(VLOOKUP(CI95,'calculo_abs.'!$E$2:$F$280,2,FALSE),"sin dato")</f>
        <v>9.6380943946824157E-2</v>
      </c>
      <c r="CN95" s="545" t="s">
        <v>1204</v>
      </c>
      <c r="CO95" s="545">
        <v>0</v>
      </c>
      <c r="CP95" s="545">
        <v>0</v>
      </c>
      <c r="CQ95" s="545">
        <f t="shared" si="9"/>
        <v>0</v>
      </c>
      <c r="CR95" s="545">
        <f t="shared" si="10"/>
        <v>0</v>
      </c>
      <c r="CX95" s="547">
        <v>53754</v>
      </c>
      <c r="CY95" s="546" t="s">
        <v>1342</v>
      </c>
      <c r="CZ95" s="546">
        <v>9808.68</v>
      </c>
    </row>
    <row r="96" spans="85:104" ht="15" x14ac:dyDescent="0.25">
      <c r="CG96" s="278" t="s">
        <v>1287</v>
      </c>
      <c r="CH96" s="281" t="str">
        <f t="shared" si="8"/>
        <v>03003942</v>
      </c>
      <c r="CI96" s="281">
        <v>54231</v>
      </c>
      <c r="CJ96" s="507">
        <v>134.31578947368422</v>
      </c>
      <c r="CK96" s="506">
        <v>3.33</v>
      </c>
      <c r="CL96" s="506"/>
      <c r="CM96" s="519">
        <f>IFERROR(VLOOKUP(CI96,'calculo_abs.'!$E$2:$F$280,2,FALSE),"sin dato")</f>
        <v>0.20367504637363334</v>
      </c>
      <c r="CN96" s="545" t="s">
        <v>1204</v>
      </c>
      <c r="CO96" s="545">
        <v>0</v>
      </c>
      <c r="CP96" s="545">
        <v>0</v>
      </c>
      <c r="CQ96" s="545">
        <f t="shared" si="9"/>
        <v>0</v>
      </c>
      <c r="CR96" s="545">
        <f t="shared" si="10"/>
        <v>0</v>
      </c>
      <c r="CX96" s="547">
        <v>29358</v>
      </c>
      <c r="CY96" s="546" t="s">
        <v>1311</v>
      </c>
      <c r="CZ96" s="546">
        <v>9796.7099999999991</v>
      </c>
    </row>
    <row r="97" spans="85:104" ht="15" x14ac:dyDescent="0.25">
      <c r="CG97" s="278" t="s">
        <v>1304</v>
      </c>
      <c r="CH97" s="281" t="str">
        <f t="shared" si="8"/>
        <v>46026354</v>
      </c>
      <c r="CI97" s="281">
        <v>29339</v>
      </c>
      <c r="CJ97" s="507">
        <v>364.4</v>
      </c>
      <c r="CK97" s="506">
        <v>1.85</v>
      </c>
      <c r="CL97" s="506"/>
      <c r="CM97" s="519">
        <f>IFERROR(VLOOKUP(CI97,'calculo_abs.'!$E$2:$F$280,2,FALSE),"sin dato")</f>
        <v>4.2612478005992285E-2</v>
      </c>
      <c r="CN97" s="545">
        <v>45444</v>
      </c>
      <c r="CO97" s="545">
        <v>23500.59</v>
      </c>
      <c r="CP97" s="545">
        <v>22456.744591319984</v>
      </c>
      <c r="CQ97" s="545">
        <f t="shared" si="9"/>
        <v>45957.334591319988</v>
      </c>
      <c r="CR97" s="545">
        <f t="shared" si="10"/>
        <v>1.0112959816767888</v>
      </c>
      <c r="CX97" s="547">
        <v>29335</v>
      </c>
      <c r="CY97" s="546" t="s">
        <v>1292</v>
      </c>
      <c r="CZ97" s="546">
        <v>9339.82</v>
      </c>
    </row>
    <row r="98" spans="85:104" ht="15" x14ac:dyDescent="0.25">
      <c r="CG98" s="278" t="s">
        <v>1324</v>
      </c>
      <c r="CH98" s="281" t="str">
        <f t="shared" si="8"/>
        <v>46005156</v>
      </c>
      <c r="CI98" s="281">
        <v>54245</v>
      </c>
      <c r="CJ98" s="507">
        <v>67.421052631578945</v>
      </c>
      <c r="CK98" s="506">
        <v>3.68</v>
      </c>
      <c r="CL98" s="506"/>
      <c r="CM98" s="519">
        <f>IFERROR(VLOOKUP(CI98,'calculo_abs.'!$E$2:$F$280,2,FALSE),"sin dato")</f>
        <v>5.4792019525669164E-3</v>
      </c>
      <c r="CN98" s="545" t="s">
        <v>1204</v>
      </c>
      <c r="CO98" s="545">
        <v>0</v>
      </c>
      <c r="CP98" s="545">
        <v>0</v>
      </c>
      <c r="CQ98" s="545">
        <f t="shared" si="9"/>
        <v>0</v>
      </c>
      <c r="CR98" s="545">
        <f t="shared" si="10"/>
        <v>0</v>
      </c>
      <c r="CX98" s="547">
        <v>29346</v>
      </c>
      <c r="CY98" s="546" t="s">
        <v>1449</v>
      </c>
      <c r="CZ98" s="546">
        <v>9220.7099999999991</v>
      </c>
    </row>
    <row r="99" spans="85:104" ht="15" x14ac:dyDescent="0.25">
      <c r="CG99" s="278" t="s">
        <v>1270</v>
      </c>
      <c r="CH99" s="281" t="str">
        <f t="shared" ref="CH99:CH130" si="11">IFERROR(VLOOKUP(CI99,controller,3,FALSE),0)</f>
        <v>46015502</v>
      </c>
      <c r="CI99" s="281">
        <v>29301</v>
      </c>
      <c r="CJ99" s="507">
        <v>120</v>
      </c>
      <c r="CK99" s="506">
        <v>3.33</v>
      </c>
      <c r="CL99" s="506"/>
      <c r="CM99" s="519">
        <f>IFERROR(VLOOKUP(CI99,'calculo_abs.'!$E$2:$F$280,2,FALSE),"sin dato")</f>
        <v>6.2685381517113775E-3</v>
      </c>
      <c r="CN99" s="545">
        <v>11171</v>
      </c>
      <c r="CO99" s="545">
        <v>8968.1200000000008</v>
      </c>
      <c r="CP99" s="545">
        <v>9043.6050320000031</v>
      </c>
      <c r="CQ99" s="545">
        <f t="shared" ref="CQ99:CQ130" si="12">+CO99+CP99</f>
        <v>18011.725032000002</v>
      </c>
      <c r="CR99" s="545">
        <v>1.19</v>
      </c>
      <c r="CX99" s="547">
        <v>53811</v>
      </c>
      <c r="CY99" s="546" t="s">
        <v>1547</v>
      </c>
      <c r="CZ99" s="546">
        <v>9146.2199999999993</v>
      </c>
    </row>
    <row r="100" spans="85:104" ht="15" x14ac:dyDescent="0.25">
      <c r="CG100" s="278" t="s">
        <v>1376</v>
      </c>
      <c r="CH100" s="281" t="str">
        <f t="shared" si="11"/>
        <v>12002014</v>
      </c>
      <c r="CI100" s="281">
        <v>29305</v>
      </c>
      <c r="CJ100" s="507">
        <v>225.84210526315789</v>
      </c>
      <c r="CK100" s="506">
        <v>3.08</v>
      </c>
      <c r="CL100" s="506"/>
      <c r="CM100" s="519">
        <f>IFERROR(VLOOKUP(CI100,'calculo_abs.'!$E$2:$F$280,2,FALSE),"sin dato")</f>
        <v>0.16111356057540704</v>
      </c>
      <c r="CN100" s="545">
        <v>26513</v>
      </c>
      <c r="CO100" s="545">
        <v>14405.95</v>
      </c>
      <c r="CP100" s="545">
        <v>9637.0433953199972</v>
      </c>
      <c r="CQ100" s="545">
        <f t="shared" si="12"/>
        <v>24042.993395319998</v>
      </c>
      <c r="CR100" s="545">
        <f t="shared" si="10"/>
        <v>0.90683790575642131</v>
      </c>
      <c r="CX100" s="547">
        <v>29301</v>
      </c>
      <c r="CY100" s="546" t="s">
        <v>1270</v>
      </c>
      <c r="CZ100" s="546">
        <v>8968.1200000000008</v>
      </c>
    </row>
    <row r="101" spans="85:104" ht="15" x14ac:dyDescent="0.25">
      <c r="CG101" s="278" t="s">
        <v>1364</v>
      </c>
      <c r="CH101" s="281" t="str">
        <f t="shared" si="11"/>
        <v>03002101</v>
      </c>
      <c r="CI101" s="281">
        <v>53748</v>
      </c>
      <c r="CJ101" s="507">
        <v>213.25</v>
      </c>
      <c r="CK101" s="506">
        <v>2.96</v>
      </c>
      <c r="CL101" s="506"/>
      <c r="CM101" s="519">
        <f>IFERROR(VLOOKUP(CI101,'calculo_abs.'!$E$2:$F$280,2,FALSE),"sin dato")</f>
        <v>0.19557637251298668</v>
      </c>
      <c r="CN101" s="545">
        <v>27350</v>
      </c>
      <c r="CO101" s="545">
        <v>26111.56</v>
      </c>
      <c r="CP101" s="545">
        <v>79.110399999999998</v>
      </c>
      <c r="CQ101" s="545">
        <f t="shared" si="12"/>
        <v>26190.670400000003</v>
      </c>
      <c r="CR101" s="545">
        <f t="shared" si="10"/>
        <v>0.95761134917733104</v>
      </c>
      <c r="CX101" s="547">
        <v>29409</v>
      </c>
      <c r="CY101" s="546" t="s">
        <v>1241</v>
      </c>
      <c r="CZ101" s="546">
        <v>8802.7199999999993</v>
      </c>
    </row>
    <row r="102" spans="85:104" ht="15" x14ac:dyDescent="0.25">
      <c r="CG102" s="278" t="s">
        <v>1380</v>
      </c>
      <c r="CH102" s="281" t="str">
        <f t="shared" si="11"/>
        <v>03013212</v>
      </c>
      <c r="CI102" s="281">
        <v>29694</v>
      </c>
      <c r="CJ102" s="507">
        <v>207.65</v>
      </c>
      <c r="CK102" s="506">
        <v>3.19</v>
      </c>
      <c r="CL102" s="506"/>
      <c r="CM102" s="519">
        <f>IFERROR(VLOOKUP(CI102,'calculo_abs.'!$E$2:$F$280,2,FALSE),"sin dato")</f>
        <v>6.2372431697856036E-2</v>
      </c>
      <c r="CN102" s="545">
        <v>26457</v>
      </c>
      <c r="CO102" s="545">
        <v>32779.629999999997</v>
      </c>
      <c r="CP102" s="545">
        <v>122.70099999999999</v>
      </c>
      <c r="CQ102" s="545">
        <f t="shared" si="12"/>
        <v>32902.330999999998</v>
      </c>
      <c r="CR102" s="545">
        <f t="shared" si="10"/>
        <v>1.243615338095778</v>
      </c>
      <c r="CX102" s="547">
        <v>29340</v>
      </c>
      <c r="CY102" s="546" t="s">
        <v>1323</v>
      </c>
      <c r="CZ102" s="546">
        <v>7944.19</v>
      </c>
    </row>
    <row r="103" spans="85:104" ht="15" x14ac:dyDescent="0.25">
      <c r="CG103" s="278" t="s">
        <v>1395</v>
      </c>
      <c r="CH103" s="281" t="str">
        <f t="shared" si="11"/>
        <v>03010651</v>
      </c>
      <c r="CI103" s="281">
        <v>53747</v>
      </c>
      <c r="CJ103" s="507">
        <v>231.65</v>
      </c>
      <c r="CK103" s="506">
        <v>2.99</v>
      </c>
      <c r="CL103" s="506"/>
      <c r="CM103" s="519">
        <f>IFERROR(VLOOKUP(CI103,'calculo_abs.'!$E$2:$F$280,2,FALSE),"sin dato")</f>
        <v>9.2317237561603038E-2</v>
      </c>
      <c r="CN103" s="545">
        <v>29828</v>
      </c>
      <c r="CO103" s="545">
        <v>30485.37</v>
      </c>
      <c r="CP103" s="545">
        <v>78</v>
      </c>
      <c r="CQ103" s="545">
        <f t="shared" si="12"/>
        <v>30563.37</v>
      </c>
      <c r="CR103" s="545">
        <f t="shared" si="10"/>
        <v>1.024653681105002</v>
      </c>
      <c r="CX103" s="547">
        <v>29380</v>
      </c>
      <c r="CY103" s="546" t="s">
        <v>1289</v>
      </c>
      <c r="CZ103" s="546">
        <v>7535.62</v>
      </c>
    </row>
    <row r="104" spans="85:104" ht="15" x14ac:dyDescent="0.25">
      <c r="CG104" s="278" t="s">
        <v>1391</v>
      </c>
      <c r="CH104" s="281" t="str">
        <f t="shared" si="11"/>
        <v>46015563</v>
      </c>
      <c r="CI104" s="281">
        <v>29471</v>
      </c>
      <c r="CJ104" s="507">
        <v>191.64999999999998</v>
      </c>
      <c r="CK104" s="506">
        <v>3.28</v>
      </c>
      <c r="CL104" s="506"/>
      <c r="CM104" s="519">
        <f>IFERROR(VLOOKUP(CI104,'calculo_abs.'!$E$2:$F$280,2,FALSE),"sin dato")</f>
        <v>0.27922588340248888</v>
      </c>
      <c r="CN104" s="545" t="s">
        <v>1204</v>
      </c>
      <c r="CO104" s="545">
        <v>0</v>
      </c>
      <c r="CP104" s="545">
        <v>0</v>
      </c>
      <c r="CQ104" s="545">
        <f t="shared" si="12"/>
        <v>0</v>
      </c>
      <c r="CR104" s="545">
        <f t="shared" si="10"/>
        <v>0</v>
      </c>
      <c r="CX104" s="547">
        <v>29306</v>
      </c>
      <c r="CY104" s="546" t="s">
        <v>1548</v>
      </c>
      <c r="CZ104" s="546">
        <v>7446.74</v>
      </c>
    </row>
    <row r="105" spans="85:104" ht="15" x14ac:dyDescent="0.25">
      <c r="CG105" s="278" t="s">
        <v>1409</v>
      </c>
      <c r="CH105" s="281" t="str">
        <f t="shared" si="11"/>
        <v>03012611</v>
      </c>
      <c r="CI105" s="281">
        <v>29662</v>
      </c>
      <c r="CJ105" s="507">
        <v>327.14999999999998</v>
      </c>
      <c r="CK105" s="506">
        <v>3.21</v>
      </c>
      <c r="CL105" s="506"/>
      <c r="CM105" s="519">
        <f>IFERROR(VLOOKUP(CI105,'calculo_abs.'!$E$2:$F$280,2,FALSE),"sin dato")</f>
        <v>0.15425479625319816</v>
      </c>
      <c r="CN105" s="545" t="s">
        <v>1204</v>
      </c>
      <c r="CO105" s="545">
        <v>0</v>
      </c>
      <c r="CP105" s="545">
        <v>0</v>
      </c>
      <c r="CQ105" s="545">
        <f t="shared" si="12"/>
        <v>0</v>
      </c>
      <c r="CR105" s="545">
        <f t="shared" si="10"/>
        <v>0</v>
      </c>
      <c r="CX105" s="547">
        <v>29330</v>
      </c>
      <c r="CY105" s="546" t="s">
        <v>1358</v>
      </c>
      <c r="CZ105" s="546">
        <v>7380.92</v>
      </c>
    </row>
    <row r="106" spans="85:104" ht="15" x14ac:dyDescent="0.25">
      <c r="CG106" s="278" t="s">
        <v>1419</v>
      </c>
      <c r="CH106" s="281" t="str">
        <f t="shared" si="11"/>
        <v>03004715</v>
      </c>
      <c r="CI106" s="281">
        <v>29687</v>
      </c>
      <c r="CJ106" s="507">
        <v>209.36842105263159</v>
      </c>
      <c r="CK106" s="506">
        <v>3.3</v>
      </c>
      <c r="CL106" s="506"/>
      <c r="CM106" s="519">
        <f>IFERROR(VLOOKUP(CI106,'calculo_abs.'!$E$2:$F$280,2,FALSE),"sin dato")</f>
        <v>0.18783110337665715</v>
      </c>
      <c r="CN106" s="545">
        <v>27170</v>
      </c>
      <c r="CO106" s="545">
        <v>30115.07</v>
      </c>
      <c r="CP106" s="545">
        <v>75</v>
      </c>
      <c r="CQ106" s="545">
        <f t="shared" si="12"/>
        <v>30190.07</v>
      </c>
      <c r="CR106" s="545">
        <f t="shared" si="10"/>
        <v>1.1111545822598454</v>
      </c>
      <c r="CX106" s="547">
        <v>29359</v>
      </c>
      <c r="CY106" s="546" t="s">
        <v>1151</v>
      </c>
      <c r="CZ106" s="546">
        <v>7340.99</v>
      </c>
    </row>
    <row r="107" spans="85:104" ht="15" x14ac:dyDescent="0.25">
      <c r="CG107" s="278" t="s">
        <v>1432</v>
      </c>
      <c r="CH107" s="281" t="str">
        <f t="shared" si="11"/>
        <v>03007704</v>
      </c>
      <c r="CI107" s="281">
        <v>29648</v>
      </c>
      <c r="CJ107" s="507">
        <v>343.15</v>
      </c>
      <c r="CK107" s="506">
        <v>3.17</v>
      </c>
      <c r="CL107" s="506"/>
      <c r="CM107" s="519">
        <f>IFERROR(VLOOKUP(CI107,'calculo_abs.'!$E$2:$F$280,2,FALSE),"sin dato")</f>
        <v>0.413593690471452</v>
      </c>
      <c r="CN107" s="545" t="s">
        <v>1204</v>
      </c>
      <c r="CO107" s="545">
        <v>0</v>
      </c>
      <c r="CP107" s="545">
        <v>0</v>
      </c>
      <c r="CQ107" s="545">
        <f t="shared" si="12"/>
        <v>0</v>
      </c>
      <c r="CR107" s="545">
        <f t="shared" si="10"/>
        <v>0</v>
      </c>
      <c r="CX107" s="547">
        <v>29379</v>
      </c>
      <c r="CY107" s="546" t="s">
        <v>1240</v>
      </c>
      <c r="CZ107" s="546">
        <v>6590.6</v>
      </c>
    </row>
    <row r="108" spans="85:104" ht="15" x14ac:dyDescent="0.25">
      <c r="CG108" s="278" t="s">
        <v>1393</v>
      </c>
      <c r="CH108" s="281" t="str">
        <f t="shared" si="11"/>
        <v>03009181</v>
      </c>
      <c r="CI108" s="281">
        <v>29696</v>
      </c>
      <c r="CJ108" s="507">
        <v>120.45</v>
      </c>
      <c r="CK108" s="506">
        <v>3.44</v>
      </c>
      <c r="CL108" s="506"/>
      <c r="CM108" s="519">
        <f>IFERROR(VLOOKUP(CI108,'calculo_abs.'!$E$2:$F$280,2,FALSE),"sin dato")</f>
        <v>9.1699263556298538E-3</v>
      </c>
      <c r="CN108" s="545">
        <v>14950</v>
      </c>
      <c r="CO108" s="545">
        <v>15673.36</v>
      </c>
      <c r="CP108" s="545">
        <v>48</v>
      </c>
      <c r="CQ108" s="545">
        <f t="shared" si="12"/>
        <v>15721.36</v>
      </c>
      <c r="CR108" s="545">
        <f t="shared" si="10"/>
        <v>1.0515959866220737</v>
      </c>
      <c r="CX108" s="547">
        <v>29336</v>
      </c>
      <c r="CY108" s="546" t="s">
        <v>1341</v>
      </c>
      <c r="CZ108" s="546">
        <v>6091.42</v>
      </c>
    </row>
    <row r="109" spans="85:104" ht="15" x14ac:dyDescent="0.25">
      <c r="CG109" s="278" t="s">
        <v>1363</v>
      </c>
      <c r="CH109" s="281" t="str">
        <f t="shared" si="11"/>
        <v>12000777</v>
      </c>
      <c r="CI109" s="281">
        <v>52023</v>
      </c>
      <c r="CJ109" s="507">
        <v>103.65</v>
      </c>
      <c r="CK109" s="506">
        <v>3.56</v>
      </c>
      <c r="CL109" s="506"/>
      <c r="CM109" s="519">
        <f>IFERROR(VLOOKUP(CI109,'calculo_abs.'!$E$2:$F$280,2,FALSE),"sin dato")</f>
        <v>0.12199945505811377</v>
      </c>
      <c r="CN109" s="545" t="s">
        <v>1204</v>
      </c>
      <c r="CO109" s="545">
        <v>0</v>
      </c>
      <c r="CP109" s="545">
        <v>0</v>
      </c>
      <c r="CQ109" s="545">
        <f t="shared" si="12"/>
        <v>0</v>
      </c>
      <c r="CR109" s="545">
        <f t="shared" ref="CR109:CR140" si="13">IFERROR(CQ109/CN109,0)</f>
        <v>0</v>
      </c>
      <c r="CX109" s="547">
        <v>29302</v>
      </c>
      <c r="CY109" s="546" t="s">
        <v>1359</v>
      </c>
      <c r="CZ109" s="546">
        <v>5814.15</v>
      </c>
    </row>
    <row r="110" spans="85:104" ht="15" x14ac:dyDescent="0.25">
      <c r="CG110" s="278" t="s">
        <v>1407</v>
      </c>
      <c r="CH110" s="281" t="str">
        <f t="shared" si="11"/>
        <v>03005197</v>
      </c>
      <c r="CI110" s="281">
        <v>29688</v>
      </c>
      <c r="CJ110" s="507">
        <v>237.21052631578948</v>
      </c>
      <c r="CK110" s="506">
        <v>3.1</v>
      </c>
      <c r="CL110" s="506"/>
      <c r="CM110" s="519">
        <f>IFERROR(VLOOKUP(CI110,'calculo_abs.'!$E$2:$F$280,2,FALSE),"sin dato")</f>
        <v>0.22421899760183264</v>
      </c>
      <c r="CN110" s="545">
        <v>29825</v>
      </c>
      <c r="CO110" s="545">
        <v>40240.1</v>
      </c>
      <c r="CP110" s="545">
        <v>0</v>
      </c>
      <c r="CQ110" s="545">
        <f t="shared" si="12"/>
        <v>40240.1</v>
      </c>
      <c r="CR110" s="545">
        <f t="shared" si="13"/>
        <v>1.3492070410729253</v>
      </c>
      <c r="CX110" s="547">
        <v>29482</v>
      </c>
      <c r="CY110" s="546" t="s">
        <v>1286</v>
      </c>
      <c r="CZ110" s="546">
        <v>5791.4</v>
      </c>
    </row>
    <row r="111" spans="85:104" ht="15" x14ac:dyDescent="0.25">
      <c r="CG111" s="278" t="s">
        <v>1341</v>
      </c>
      <c r="CH111" s="281" t="str">
        <f t="shared" si="11"/>
        <v>46012628</v>
      </c>
      <c r="CI111" s="281">
        <v>29336</v>
      </c>
      <c r="CJ111" s="507">
        <v>79.849999999999994</v>
      </c>
      <c r="CK111" s="506">
        <v>3.59</v>
      </c>
      <c r="CL111" s="506"/>
      <c r="CM111" s="519">
        <f>IFERROR(VLOOKUP(CI111,'calculo_abs.'!$E$2:$F$280,2,FALSE),"sin dato")</f>
        <v>2.7449960438931789E-2</v>
      </c>
      <c r="CN111" s="545">
        <v>9815</v>
      </c>
      <c r="CO111" s="545">
        <v>6091.42</v>
      </c>
      <c r="CP111" s="545">
        <v>5939.284673999995</v>
      </c>
      <c r="CQ111" s="545">
        <f t="shared" si="12"/>
        <v>12030.704673999995</v>
      </c>
      <c r="CR111" s="545">
        <f t="shared" si="13"/>
        <v>1.2257467828833413</v>
      </c>
      <c r="CX111" s="547">
        <v>29371</v>
      </c>
      <c r="CY111" s="546" t="s">
        <v>1157</v>
      </c>
      <c r="CZ111" s="546">
        <v>5289.21</v>
      </c>
    </row>
    <row r="112" spans="85:104" ht="15" x14ac:dyDescent="0.25">
      <c r="CG112" s="278" t="s">
        <v>1379</v>
      </c>
      <c r="CH112" s="281" t="str">
        <f t="shared" si="11"/>
        <v>12002351</v>
      </c>
      <c r="CI112" s="281">
        <v>29474</v>
      </c>
      <c r="CJ112" s="507">
        <v>44.4</v>
      </c>
      <c r="CK112" s="506">
        <v>3.4</v>
      </c>
      <c r="CL112" s="506"/>
      <c r="CM112" s="519" t="str">
        <f>IFERROR(VLOOKUP(CI112,'calculo_abs.'!$E$2:$F$280,2,FALSE),"sin dato")</f>
        <v>sin dato</v>
      </c>
      <c r="CN112" s="545" t="s">
        <v>1204</v>
      </c>
      <c r="CO112" s="545">
        <v>0</v>
      </c>
      <c r="CP112" s="545">
        <v>0</v>
      </c>
      <c r="CQ112" s="545">
        <f t="shared" si="12"/>
        <v>0</v>
      </c>
      <c r="CR112" s="545">
        <f t="shared" si="13"/>
        <v>0</v>
      </c>
      <c r="CX112" s="547">
        <v>29331</v>
      </c>
      <c r="CY112" s="546" t="s">
        <v>1225</v>
      </c>
      <c r="CZ112" s="546">
        <v>5209.88</v>
      </c>
    </row>
    <row r="113" spans="85:104" ht="15" x14ac:dyDescent="0.25">
      <c r="CG113" s="278" t="s">
        <v>1406</v>
      </c>
      <c r="CH113" s="281" t="str">
        <f t="shared" si="11"/>
        <v>46003238</v>
      </c>
      <c r="CI113" s="281">
        <v>29353</v>
      </c>
      <c r="CJ113" s="507">
        <v>151.66666666666666</v>
      </c>
      <c r="CK113" s="506">
        <v>3</v>
      </c>
      <c r="CL113" s="506"/>
      <c r="CM113" s="519">
        <f>IFERROR(VLOOKUP(CI113,'calculo_abs.'!$E$2:$F$280,2,FALSE),"sin dato")</f>
        <v>8.2406928738887858E-2</v>
      </c>
      <c r="CN113" s="545">
        <v>19063</v>
      </c>
      <c r="CO113" s="545">
        <v>11450.89</v>
      </c>
      <c r="CP113" s="545">
        <v>11156.151609320001</v>
      </c>
      <c r="CQ113" s="545">
        <f t="shared" si="12"/>
        <v>22607.04160932</v>
      </c>
      <c r="CR113" s="545">
        <f t="shared" si="13"/>
        <v>1.1859120605004458</v>
      </c>
      <c r="CX113" s="547">
        <v>29343</v>
      </c>
      <c r="CY113" s="546" t="s">
        <v>1154</v>
      </c>
      <c r="CZ113" s="546">
        <v>4993.18</v>
      </c>
    </row>
    <row r="114" spans="85:104" ht="15" x14ac:dyDescent="0.25">
      <c r="CG114" s="278" t="s">
        <v>1358</v>
      </c>
      <c r="CH114" s="281" t="str">
        <f t="shared" si="11"/>
        <v>46012631</v>
      </c>
      <c r="CI114" s="281">
        <v>29330</v>
      </c>
      <c r="CJ114" s="507">
        <v>110.83333333333333</v>
      </c>
      <c r="CK114" s="506">
        <v>3.34</v>
      </c>
      <c r="CL114" s="506"/>
      <c r="CM114" s="519">
        <f>IFERROR(VLOOKUP(CI114,'calculo_abs.'!$E$2:$F$280,2,FALSE),"sin dato")</f>
        <v>4.8371734415543662E-3</v>
      </c>
      <c r="CN114" s="545">
        <v>13130</v>
      </c>
      <c r="CO114" s="545">
        <v>7380.92</v>
      </c>
      <c r="CP114" s="545">
        <v>6517.5403259999966</v>
      </c>
      <c r="CQ114" s="545">
        <f t="shared" si="12"/>
        <v>13898.460325999997</v>
      </c>
      <c r="CR114" s="545">
        <f t="shared" si="13"/>
        <v>1.0585270621477529</v>
      </c>
      <c r="CX114" s="547">
        <v>51137</v>
      </c>
      <c r="CY114" s="546" t="s">
        <v>1180</v>
      </c>
      <c r="CZ114" s="546">
        <v>3683.31</v>
      </c>
    </row>
    <row r="115" spans="85:104" ht="15" x14ac:dyDescent="0.25">
      <c r="CG115" s="278" t="s">
        <v>1397</v>
      </c>
      <c r="CH115" s="281" t="str">
        <f t="shared" si="11"/>
        <v>46024072</v>
      </c>
      <c r="CI115" s="281">
        <v>29315</v>
      </c>
      <c r="CJ115" s="507">
        <v>166.6</v>
      </c>
      <c r="CK115" s="506">
        <v>1.91</v>
      </c>
      <c r="CL115" s="506"/>
      <c r="CM115" s="519">
        <f>IFERROR(VLOOKUP(CI115,'calculo_abs.'!$E$2:$F$280,2,FALSE),"sin dato")</f>
        <v>1.654395519391819E-2</v>
      </c>
      <c r="CN115" s="545">
        <v>21565</v>
      </c>
      <c r="CO115" s="545">
        <v>9844.9699999999993</v>
      </c>
      <c r="CP115" s="545">
        <v>8073.4471400000039</v>
      </c>
      <c r="CQ115" s="545">
        <f t="shared" si="12"/>
        <v>17918.417140000005</v>
      </c>
      <c r="CR115" s="545">
        <f t="shared" si="13"/>
        <v>0.83090271922096015</v>
      </c>
      <c r="CX115" s="547">
        <v>29545</v>
      </c>
      <c r="CY115" s="546" t="s">
        <v>1549</v>
      </c>
      <c r="CZ115" s="546">
        <v>1218.43</v>
      </c>
    </row>
    <row r="116" spans="85:104" ht="15" x14ac:dyDescent="0.25">
      <c r="CG116" s="550" t="s">
        <v>1291</v>
      </c>
      <c r="CH116" s="281" t="str">
        <f t="shared" si="11"/>
        <v>46001783</v>
      </c>
      <c r="CI116" s="281">
        <v>29299</v>
      </c>
      <c r="CJ116" s="507">
        <v>90.05</v>
      </c>
      <c r="CK116" s="506">
        <v>3.25</v>
      </c>
      <c r="CL116" s="506"/>
      <c r="CM116" s="519">
        <f>IFERROR(VLOOKUP(CI116,'calculo_abs.'!$E$2:$F$280,2,FALSE),"sin dato")</f>
        <v>0.10173959725218695</v>
      </c>
      <c r="CN116" s="545">
        <v>12746</v>
      </c>
      <c r="CO116" s="545">
        <v>0</v>
      </c>
      <c r="CP116" s="545">
        <v>17627</v>
      </c>
      <c r="CQ116" s="545">
        <f t="shared" si="12"/>
        <v>17627</v>
      </c>
      <c r="CR116" s="545">
        <v>1.27</v>
      </c>
      <c r="CX116" s="547">
        <v>29556</v>
      </c>
      <c r="CY116" s="546" t="s">
        <v>1550</v>
      </c>
      <c r="CZ116" s="546">
        <v>1100.42</v>
      </c>
    </row>
    <row r="117" spans="85:104" ht="15" x14ac:dyDescent="0.25">
      <c r="CG117" s="278" t="s">
        <v>1306</v>
      </c>
      <c r="CH117" s="281" t="str">
        <f t="shared" si="11"/>
        <v>03008290</v>
      </c>
      <c r="CI117" s="281">
        <v>29693</v>
      </c>
      <c r="CJ117" s="507">
        <v>119.41176470588235</v>
      </c>
      <c r="CK117" s="506">
        <v>3.15</v>
      </c>
      <c r="CL117" s="506"/>
      <c r="CM117" s="519">
        <f>IFERROR(VLOOKUP(CI117,'calculo_abs.'!$E$2:$F$280,2,FALSE),"sin dato")</f>
        <v>0.11583125301072883</v>
      </c>
      <c r="CN117" s="545">
        <v>15530</v>
      </c>
      <c r="CO117" s="545">
        <v>21333</v>
      </c>
      <c r="CP117" s="545">
        <v>59.226383999999996</v>
      </c>
      <c r="CQ117" s="545">
        <f t="shared" si="12"/>
        <v>21392.226384000001</v>
      </c>
      <c r="CR117" s="545">
        <f t="shared" si="13"/>
        <v>1.3774775520927238</v>
      </c>
      <c r="CX117" s="547"/>
      <c r="CY117" s="546"/>
      <c r="CZ117" s="546">
        <v>665.48</v>
      </c>
    </row>
    <row r="118" spans="85:104" ht="15" x14ac:dyDescent="0.25">
      <c r="CG118" s="278" t="s">
        <v>1272</v>
      </c>
      <c r="CH118" s="281" t="str">
        <f t="shared" si="11"/>
        <v>46023158</v>
      </c>
      <c r="CI118" s="281">
        <v>29329</v>
      </c>
      <c r="CJ118" s="507">
        <v>136.35</v>
      </c>
      <c r="CK118" s="506">
        <v>1.97</v>
      </c>
      <c r="CL118" s="506"/>
      <c r="CM118" s="519">
        <f>IFERROR(VLOOKUP(CI118,'calculo_abs.'!$E$2:$F$280,2,FALSE),"sin dato")</f>
        <v>0.10412176276805576</v>
      </c>
      <c r="CN118" s="545">
        <v>17453</v>
      </c>
      <c r="CO118" s="545">
        <v>12107.04</v>
      </c>
      <c r="CP118" s="545">
        <v>11340.584805400005</v>
      </c>
      <c r="CQ118" s="545">
        <f t="shared" si="12"/>
        <v>23447.624805400006</v>
      </c>
      <c r="CR118" s="545">
        <f t="shared" si="13"/>
        <v>1.3434724577665735</v>
      </c>
      <c r="CX118" s="547"/>
      <c r="CY118" s="546" t="s">
        <v>1551</v>
      </c>
      <c r="CZ118" s="546">
        <v>348.28</v>
      </c>
    </row>
    <row r="119" spans="85:104" ht="15" x14ac:dyDescent="0.25">
      <c r="CG119" s="278" t="s">
        <v>1342</v>
      </c>
      <c r="CH119" s="281" t="str">
        <f t="shared" si="11"/>
        <v>46014042</v>
      </c>
      <c r="CI119" s="281">
        <v>53754</v>
      </c>
      <c r="CJ119" s="507">
        <v>68.650000000000006</v>
      </c>
      <c r="CK119" s="506">
        <v>3.67</v>
      </c>
      <c r="CL119" s="506"/>
      <c r="CM119" s="519">
        <f>IFERROR(VLOOKUP(CI119,'calculo_abs.'!$E$2:$F$280,2,FALSE),"sin dato")</f>
        <v>0.16011884977967425</v>
      </c>
      <c r="CN119" s="545">
        <v>8908</v>
      </c>
      <c r="CO119" s="545">
        <v>9808.68</v>
      </c>
      <c r="CP119" s="545">
        <v>33.599999999999994</v>
      </c>
      <c r="CQ119" s="545">
        <f t="shared" si="12"/>
        <v>9842.2800000000007</v>
      </c>
      <c r="CR119" s="545">
        <f t="shared" si="13"/>
        <v>1.1048810058374496</v>
      </c>
      <c r="CX119" s="547">
        <v>29438</v>
      </c>
      <c r="CY119" s="546" t="s">
        <v>1552</v>
      </c>
      <c r="CZ119" s="546">
        <v>305.08</v>
      </c>
    </row>
    <row r="120" spans="85:104" ht="15" x14ac:dyDescent="0.25">
      <c r="CG120" s="278" t="s">
        <v>1293</v>
      </c>
      <c r="CH120" s="281" t="str">
        <f t="shared" si="11"/>
        <v>46000456</v>
      </c>
      <c r="CI120" s="281">
        <v>29402</v>
      </c>
      <c r="CJ120" s="507">
        <v>562.25</v>
      </c>
      <c r="CK120" s="506">
        <v>2.58</v>
      </c>
      <c r="CL120" s="506"/>
      <c r="CM120" s="519">
        <f>IFERROR(VLOOKUP(CI120,'calculo_abs.'!$E$2:$F$280,2,FALSE),"sin dato")</f>
        <v>0.15404698326078881</v>
      </c>
      <c r="CN120" s="545" t="s">
        <v>1204</v>
      </c>
      <c r="CO120" s="545">
        <v>0</v>
      </c>
      <c r="CP120" s="545">
        <v>0</v>
      </c>
      <c r="CQ120" s="545">
        <f t="shared" si="12"/>
        <v>0</v>
      </c>
      <c r="CR120" s="545">
        <f t="shared" si="13"/>
        <v>0</v>
      </c>
      <c r="CX120" s="547">
        <v>29375</v>
      </c>
      <c r="CY120" s="546" t="s">
        <v>1553</v>
      </c>
      <c r="CZ120" s="546">
        <v>189</v>
      </c>
    </row>
    <row r="121" spans="85:104" ht="15" x14ac:dyDescent="0.25">
      <c r="CG121" s="278" t="s">
        <v>1418</v>
      </c>
      <c r="CH121" s="281" t="str">
        <f t="shared" si="11"/>
        <v>03007893</v>
      </c>
      <c r="CI121" s="281">
        <v>29650</v>
      </c>
      <c r="CJ121" s="507">
        <v>102.89473684210526</v>
      </c>
      <c r="CK121" s="506">
        <v>3.29</v>
      </c>
      <c r="CL121" s="506"/>
      <c r="CM121" s="519">
        <f>IFERROR(VLOOKUP(CI121,'calculo_abs.'!$E$2:$F$280,2,FALSE),"sin dato")</f>
        <v>0.13091569698649774</v>
      </c>
      <c r="CN121" s="545" t="s">
        <v>1204</v>
      </c>
      <c r="CO121" s="545">
        <v>0</v>
      </c>
      <c r="CP121" s="545">
        <v>0</v>
      </c>
      <c r="CQ121" s="545">
        <f t="shared" si="12"/>
        <v>0</v>
      </c>
      <c r="CR121" s="545">
        <f t="shared" si="13"/>
        <v>0</v>
      </c>
      <c r="CX121" s="547">
        <v>29547</v>
      </c>
      <c r="CY121" s="546" t="s">
        <v>1554</v>
      </c>
      <c r="CZ121" s="546">
        <v>53.74</v>
      </c>
    </row>
    <row r="122" spans="85:104" ht="15" x14ac:dyDescent="0.25">
      <c r="CG122" s="278" t="s">
        <v>1310</v>
      </c>
      <c r="CH122" s="281" t="str">
        <f t="shared" si="11"/>
        <v>46000730</v>
      </c>
      <c r="CI122" s="281">
        <v>53715</v>
      </c>
      <c r="CJ122" s="507">
        <v>132.6</v>
      </c>
      <c r="CK122" s="506">
        <v>3.23</v>
      </c>
      <c r="CL122" s="506"/>
      <c r="CM122" s="519">
        <f>IFERROR(VLOOKUP(CI122,'calculo_abs.'!$E$2:$F$280,2,FALSE),"sin dato")</f>
        <v>9.3249124326927765E-2</v>
      </c>
      <c r="CN122" s="545">
        <v>16926</v>
      </c>
      <c r="CO122" s="545">
        <v>10106.530000000001</v>
      </c>
      <c r="CP122" s="545">
        <v>11323.380199999998</v>
      </c>
      <c r="CQ122" s="545">
        <f t="shared" si="12"/>
        <v>21429.910199999998</v>
      </c>
      <c r="CR122" s="545">
        <f t="shared" si="13"/>
        <v>1.2660941864587025</v>
      </c>
      <c r="CX122" s="547">
        <v>29373</v>
      </c>
      <c r="CY122" s="546" t="s">
        <v>1555</v>
      </c>
      <c r="CZ122" s="546">
        <v>6.35</v>
      </c>
    </row>
    <row r="123" spans="85:104" x14ac:dyDescent="0.2">
      <c r="CG123" s="278" t="s">
        <v>1359</v>
      </c>
      <c r="CH123" s="281" t="str">
        <f t="shared" si="11"/>
        <v>46007931</v>
      </c>
      <c r="CI123" s="281">
        <v>29302</v>
      </c>
      <c r="CJ123" s="507">
        <v>83.222222222222229</v>
      </c>
      <c r="CK123" s="506">
        <v>1.95</v>
      </c>
      <c r="CL123" s="506"/>
      <c r="CM123" s="519">
        <f>IFERROR(VLOOKUP(CI123,'calculo_abs.'!$E$2:$F$280,2,FALSE),"sin dato")</f>
        <v>2.2632132472728019E-2</v>
      </c>
      <c r="CN123" s="545">
        <v>10592</v>
      </c>
      <c r="CO123" s="545">
        <v>5814.15</v>
      </c>
      <c r="CP123" s="545">
        <v>6291.3273461599974</v>
      </c>
      <c r="CQ123" s="545">
        <f t="shared" si="12"/>
        <v>12105.477346159998</v>
      </c>
      <c r="CR123" s="545">
        <f t="shared" si="13"/>
        <v>1.142888722258308</v>
      </c>
      <c r="CX123" s="1"/>
      <c r="CY123" s="1"/>
    </row>
    <row r="124" spans="85:104" x14ac:dyDescent="0.2">
      <c r="CG124" s="278" t="s">
        <v>1394</v>
      </c>
      <c r="CH124" s="281" t="str">
        <f t="shared" si="11"/>
        <v>12002506</v>
      </c>
      <c r="CI124" s="281">
        <v>29439</v>
      </c>
      <c r="CJ124" s="507">
        <v>22.85</v>
      </c>
      <c r="CK124" s="506">
        <v>3.86</v>
      </c>
      <c r="CL124" s="506"/>
      <c r="CM124" s="519">
        <f>IFERROR(VLOOKUP(CI124,'calculo_abs.'!$E$2:$F$280,2,FALSE),"sin dato")</f>
        <v>5.6160744921908822E-3</v>
      </c>
      <c r="CN124" s="545" t="s">
        <v>1204</v>
      </c>
      <c r="CO124" s="545">
        <v>0</v>
      </c>
      <c r="CP124" s="545">
        <v>0</v>
      </c>
      <c r="CQ124" s="545">
        <f t="shared" si="12"/>
        <v>0</v>
      </c>
      <c r="CR124" s="545">
        <f t="shared" si="13"/>
        <v>0</v>
      </c>
      <c r="CX124" s="1"/>
      <c r="CY124" s="1"/>
    </row>
    <row r="125" spans="85:104" x14ac:dyDescent="0.2">
      <c r="CG125" s="278" t="s">
        <v>1410</v>
      </c>
      <c r="CH125" s="281" t="str">
        <f t="shared" si="11"/>
        <v>46017213</v>
      </c>
      <c r="CI125" s="281">
        <v>29328</v>
      </c>
      <c r="CJ125" s="507">
        <v>330.3</v>
      </c>
      <c r="CK125" s="506">
        <v>3.12</v>
      </c>
      <c r="CL125" s="506"/>
      <c r="CM125" s="519">
        <f>IFERROR(VLOOKUP(CI125,'calculo_abs.'!$E$2:$F$280,2,FALSE),"sin dato")</f>
        <v>5.2454947163445641E-2</v>
      </c>
      <c r="CN125" s="545">
        <v>42003</v>
      </c>
      <c r="CO125" s="545">
        <v>24612.38</v>
      </c>
      <c r="CP125" s="545">
        <v>18628.200781460007</v>
      </c>
      <c r="CQ125" s="545">
        <f t="shared" si="12"/>
        <v>43240.580781460012</v>
      </c>
      <c r="CR125" s="545">
        <f t="shared" si="13"/>
        <v>1.0294641045034882</v>
      </c>
      <c r="CX125" s="1"/>
      <c r="CY125" s="1"/>
    </row>
    <row r="126" spans="85:104" x14ac:dyDescent="0.2">
      <c r="CG126" s="278" t="s">
        <v>1408</v>
      </c>
      <c r="CH126" s="281" t="str">
        <f t="shared" si="11"/>
        <v>12000303</v>
      </c>
      <c r="CI126" s="281">
        <v>29475</v>
      </c>
      <c r="CJ126" s="507">
        <v>51.65</v>
      </c>
      <c r="CK126" s="506">
        <v>3.39</v>
      </c>
      <c r="CL126" s="506"/>
      <c r="CM126" s="519">
        <f>IFERROR(VLOOKUP(CI126,'calculo_abs.'!$E$2:$F$280,2,FALSE),"sin dato")</f>
        <v>0.14658251137402695</v>
      </c>
      <c r="CN126" s="545" t="s">
        <v>1204</v>
      </c>
      <c r="CO126" s="545">
        <v>0</v>
      </c>
      <c r="CP126" s="545">
        <v>0</v>
      </c>
      <c r="CQ126" s="545">
        <f t="shared" si="12"/>
        <v>0</v>
      </c>
      <c r="CR126" s="545">
        <f t="shared" si="13"/>
        <v>0</v>
      </c>
      <c r="CX126" s="1"/>
      <c r="CY126" s="1"/>
    </row>
    <row r="127" spans="85:104" x14ac:dyDescent="0.2">
      <c r="CG127" s="278" t="s">
        <v>1430</v>
      </c>
      <c r="CH127" s="281" t="str">
        <f t="shared" si="11"/>
        <v>03012074</v>
      </c>
      <c r="CI127" s="281">
        <v>29667</v>
      </c>
      <c r="CJ127" s="507">
        <v>101.6</v>
      </c>
      <c r="CK127" s="506">
        <v>3.25</v>
      </c>
      <c r="CL127" s="506"/>
      <c r="CM127" s="519">
        <f>IFERROR(VLOOKUP(CI127,'calculo_abs.'!$E$2:$F$280,2,FALSE),"sin dato")</f>
        <v>7.0907327822411756E-2</v>
      </c>
      <c r="CN127" s="545" t="s">
        <v>1204</v>
      </c>
      <c r="CO127" s="545">
        <v>0</v>
      </c>
      <c r="CP127" s="545">
        <v>0</v>
      </c>
      <c r="CQ127" s="545">
        <f t="shared" si="12"/>
        <v>0</v>
      </c>
      <c r="CR127" s="545">
        <f t="shared" si="13"/>
        <v>0</v>
      </c>
      <c r="CX127" s="1"/>
      <c r="CY127" s="1"/>
    </row>
    <row r="128" spans="85:104" x14ac:dyDescent="0.2">
      <c r="CG128" s="278" t="s">
        <v>1312</v>
      </c>
      <c r="CH128" s="281" t="str">
        <f t="shared" si="11"/>
        <v>46004000</v>
      </c>
      <c r="CI128" s="281">
        <v>29326</v>
      </c>
      <c r="CJ128" s="507">
        <v>256.85000000000002</v>
      </c>
      <c r="CK128" s="506">
        <v>3.12</v>
      </c>
      <c r="CL128" s="506"/>
      <c r="CM128" s="519">
        <f>IFERROR(VLOOKUP(CI128,'calculo_abs.'!$E$2:$F$280,2,FALSE),"sin dato")</f>
        <v>0.15965974868886731</v>
      </c>
      <c r="CN128" s="545">
        <v>33066</v>
      </c>
      <c r="CO128" s="545">
        <v>17926.669999999998</v>
      </c>
      <c r="CP128" s="545">
        <v>16572.082587999994</v>
      </c>
      <c r="CQ128" s="545">
        <f t="shared" si="12"/>
        <v>34498.752587999988</v>
      </c>
      <c r="CR128" s="545">
        <f t="shared" si="13"/>
        <v>1.0433300849210667</v>
      </c>
      <c r="CX128" s="1"/>
      <c r="CY128" s="1"/>
    </row>
    <row r="129" spans="85:103" x14ac:dyDescent="0.2">
      <c r="CG129" s="278" t="s">
        <v>1326</v>
      </c>
      <c r="CH129" s="281" t="str">
        <f t="shared" si="11"/>
        <v>03000138</v>
      </c>
      <c r="CI129" s="281">
        <v>54232</v>
      </c>
      <c r="CJ129" s="507">
        <v>159.1</v>
      </c>
      <c r="CK129" s="506">
        <v>3.08</v>
      </c>
      <c r="CL129" s="506"/>
      <c r="CM129" s="519">
        <f>IFERROR(VLOOKUP(CI129,'calculo_abs.'!$E$2:$F$280,2,FALSE),"sin dato")</f>
        <v>0.14482762787914111</v>
      </c>
      <c r="CN129" s="545">
        <v>19696</v>
      </c>
      <c r="CO129" s="545">
        <v>30349.37</v>
      </c>
      <c r="CP129" s="545">
        <v>49.355319999999999</v>
      </c>
      <c r="CQ129" s="545">
        <f t="shared" si="12"/>
        <v>30398.725319999998</v>
      </c>
      <c r="CR129" s="545">
        <f t="shared" si="13"/>
        <v>1.5433958834281072</v>
      </c>
      <c r="CX129" s="1"/>
      <c r="CY129" s="1"/>
    </row>
    <row r="130" spans="85:103" ht="13.5" customHeight="1" x14ac:dyDescent="0.2">
      <c r="CG130" s="278" t="s">
        <v>1440</v>
      </c>
      <c r="CH130" s="281" t="str">
        <f t="shared" si="11"/>
        <v>03010363</v>
      </c>
      <c r="CI130" s="281">
        <v>29669</v>
      </c>
      <c r="CJ130" s="507">
        <v>122.75</v>
      </c>
      <c r="CK130" s="506">
        <v>3.27</v>
      </c>
      <c r="CL130" s="506"/>
      <c r="CM130" s="519">
        <f>IFERROR(VLOOKUP(CI130,'calculo_abs.'!$E$2:$F$280,2,FALSE),"sin dato")</f>
        <v>6.6862664377613512E-2</v>
      </c>
      <c r="CN130" s="545" t="s">
        <v>1204</v>
      </c>
      <c r="CO130" s="545">
        <v>0</v>
      </c>
      <c r="CP130" s="545">
        <v>0</v>
      </c>
      <c r="CQ130" s="545">
        <f t="shared" si="12"/>
        <v>0</v>
      </c>
      <c r="CR130" s="545">
        <f t="shared" si="13"/>
        <v>0</v>
      </c>
      <c r="CX130" s="1"/>
      <c r="CY130" s="1"/>
    </row>
    <row r="131" spans="85:103" x14ac:dyDescent="0.2">
      <c r="CG131" s="278" t="s">
        <v>1375</v>
      </c>
      <c r="CH131" s="281" t="str">
        <f t="shared" ref="CH131:CH162" si="14">IFERROR(VLOOKUP(CI131,controller,3,FALSE),0)</f>
        <v>46014029</v>
      </c>
      <c r="CI131" s="281">
        <v>53758</v>
      </c>
      <c r="CJ131" s="507">
        <v>113.9</v>
      </c>
      <c r="CK131" s="506">
        <v>2.89</v>
      </c>
      <c r="CL131" s="506"/>
      <c r="CM131" s="519" t="str">
        <f>IFERROR(VLOOKUP(CI131,'calculo_abs.'!$E$2:$F$280,2,FALSE),"sin dato")</f>
        <v>sin dato</v>
      </c>
      <c r="CN131" s="545" t="s">
        <v>1204</v>
      </c>
      <c r="CO131" s="545">
        <v>0</v>
      </c>
      <c r="CP131" s="545">
        <v>0</v>
      </c>
      <c r="CQ131" s="545">
        <f t="shared" ref="CQ131:CQ162" si="15">+CO131+CP131</f>
        <v>0</v>
      </c>
      <c r="CR131" s="545">
        <f t="shared" si="13"/>
        <v>0</v>
      </c>
      <c r="CX131" s="1"/>
      <c r="CY131" s="1"/>
    </row>
    <row r="132" spans="85:103" x14ac:dyDescent="0.2">
      <c r="CG132" s="278" t="s">
        <v>1332</v>
      </c>
      <c r="CH132" s="281" t="str">
        <f t="shared" si="14"/>
        <v>B46984290</v>
      </c>
      <c r="CI132" s="281">
        <v>52743</v>
      </c>
      <c r="CJ132" s="507">
        <v>114.52631578947368</v>
      </c>
      <c r="CK132" s="506">
        <v>4.17</v>
      </c>
      <c r="CL132" s="506"/>
      <c r="CM132" s="519">
        <f>IFERROR(VLOOKUP(CI132,'calculo_abs.'!$E$2:$F$280,2,FALSE),"sin dato")</f>
        <v>0</v>
      </c>
      <c r="CN132" s="545" t="s">
        <v>1204</v>
      </c>
      <c r="CO132" s="545">
        <v>0</v>
      </c>
      <c r="CP132" s="545">
        <v>0</v>
      </c>
      <c r="CQ132" s="545">
        <f t="shared" si="15"/>
        <v>0</v>
      </c>
      <c r="CR132" s="545">
        <f t="shared" si="13"/>
        <v>0</v>
      </c>
      <c r="CX132" s="1"/>
      <c r="CY132" s="1"/>
    </row>
    <row r="133" spans="85:103" x14ac:dyDescent="0.2">
      <c r="CG133" s="278" t="s">
        <v>1389</v>
      </c>
      <c r="CH133" s="281" t="str">
        <f t="shared" si="14"/>
        <v>46010577</v>
      </c>
      <c r="CI133" s="281">
        <v>53366</v>
      </c>
      <c r="CJ133" s="507">
        <v>36.238095238095241</v>
      </c>
      <c r="CK133" s="506">
        <v>2.94</v>
      </c>
      <c r="CL133" s="506"/>
      <c r="CM133" s="519" t="str">
        <f>IFERROR(VLOOKUP(CI133,'calculo_abs.'!$E$2:$F$280,2,FALSE),"sin dato")</f>
        <v>sin dato</v>
      </c>
      <c r="CN133" s="545" t="s">
        <v>1204</v>
      </c>
      <c r="CO133" s="545">
        <v>0</v>
      </c>
      <c r="CP133" s="545">
        <v>0</v>
      </c>
      <c r="CQ133" s="545">
        <f t="shared" si="15"/>
        <v>0</v>
      </c>
      <c r="CR133" s="545">
        <f t="shared" si="13"/>
        <v>0</v>
      </c>
      <c r="CX133" s="1"/>
      <c r="CY133" s="1"/>
    </row>
    <row r="134" spans="85:103" x14ac:dyDescent="0.2">
      <c r="CG134" s="278" t="s">
        <v>1390</v>
      </c>
      <c r="CH134" s="281" t="str">
        <f t="shared" si="14"/>
        <v>46011624</v>
      </c>
      <c r="CI134" s="281">
        <v>29524</v>
      </c>
      <c r="CJ134" s="507">
        <v>119.05</v>
      </c>
      <c r="CK134" s="506">
        <v>2.75</v>
      </c>
      <c r="CL134" s="506"/>
      <c r="CM134" s="519" t="str">
        <f>IFERROR(VLOOKUP(CI134,'calculo_abs.'!$E$2:$F$280,2,FALSE),"sin dato")</f>
        <v>sin dato</v>
      </c>
      <c r="CN134" s="545" t="s">
        <v>1204</v>
      </c>
      <c r="CO134" s="545">
        <v>0</v>
      </c>
      <c r="CP134" s="545">
        <v>0</v>
      </c>
      <c r="CQ134" s="545">
        <f t="shared" si="15"/>
        <v>0</v>
      </c>
      <c r="CR134" s="545">
        <f t="shared" si="13"/>
        <v>0</v>
      </c>
      <c r="CX134" s="1"/>
      <c r="CY134" s="1"/>
    </row>
    <row r="135" spans="85:103" x14ac:dyDescent="0.2">
      <c r="CG135" s="278" t="s">
        <v>1350</v>
      </c>
      <c r="CH135" s="281" t="str">
        <f t="shared" si="14"/>
        <v>CDP9620102E-1</v>
      </c>
      <c r="CI135" s="281">
        <v>52834</v>
      </c>
      <c r="CJ135" s="507">
        <v>124</v>
      </c>
      <c r="CK135" s="506">
        <v>3.74</v>
      </c>
      <c r="CL135" s="506"/>
      <c r="CM135" s="519" t="str">
        <f>IFERROR(VLOOKUP(CI135,'calculo_abs.'!$E$2:$F$280,2,FALSE),"sin dato")</f>
        <v>sin dato</v>
      </c>
      <c r="CN135" s="545" t="s">
        <v>1204</v>
      </c>
      <c r="CO135" s="545">
        <v>0</v>
      </c>
      <c r="CP135" s="545">
        <v>0</v>
      </c>
      <c r="CQ135" s="545">
        <f t="shared" si="15"/>
        <v>0</v>
      </c>
      <c r="CR135" s="545">
        <f t="shared" si="13"/>
        <v>0</v>
      </c>
      <c r="CX135" s="1"/>
      <c r="CY135" s="1"/>
    </row>
    <row r="136" spans="85:103" x14ac:dyDescent="0.2">
      <c r="CG136" s="278" t="s">
        <v>1330</v>
      </c>
      <c r="CH136" s="281" t="str">
        <f t="shared" si="14"/>
        <v>46008133</v>
      </c>
      <c r="CI136" s="281">
        <v>29445</v>
      </c>
      <c r="CJ136" s="507">
        <v>29.05</v>
      </c>
      <c r="CK136" s="506">
        <v>3.23</v>
      </c>
      <c r="CL136" s="506"/>
      <c r="CM136" s="519">
        <f>IFERROR(VLOOKUP(CI136,'calculo_abs.'!$E$2:$F$280,2,FALSE),"sin dato")</f>
        <v>7.9116130314345525E-3</v>
      </c>
      <c r="CN136" s="545" t="s">
        <v>1204</v>
      </c>
      <c r="CO136" s="545">
        <v>0</v>
      </c>
      <c r="CP136" s="545">
        <v>0</v>
      </c>
      <c r="CQ136" s="545">
        <f t="shared" si="15"/>
        <v>0</v>
      </c>
      <c r="CR136" s="545">
        <f t="shared" si="13"/>
        <v>0</v>
      </c>
      <c r="CX136" s="1"/>
      <c r="CY136" s="1"/>
    </row>
    <row r="137" spans="85:103" x14ac:dyDescent="0.2">
      <c r="CG137" s="278" t="s">
        <v>548</v>
      </c>
      <c r="CH137" s="281" t="str">
        <f t="shared" si="14"/>
        <v>46027024-1</v>
      </c>
      <c r="CI137" s="281">
        <v>29490</v>
      </c>
      <c r="CJ137" s="507">
        <v>51.183333333333337</v>
      </c>
      <c r="CK137" s="506">
        <v>3.86</v>
      </c>
      <c r="CL137" s="506"/>
      <c r="CM137" s="519">
        <f>IFERROR(VLOOKUP(CI137,'calculo_abs.'!$E$2:$F$280,2,FALSE),"sin dato")</f>
        <v>0.480026466863541</v>
      </c>
      <c r="CN137" s="545" t="s">
        <v>1204</v>
      </c>
      <c r="CO137" s="545">
        <v>0</v>
      </c>
      <c r="CP137" s="545">
        <v>0</v>
      </c>
      <c r="CQ137" s="545">
        <f t="shared" si="15"/>
        <v>0</v>
      </c>
      <c r="CR137" s="545">
        <f t="shared" si="13"/>
        <v>0</v>
      </c>
      <c r="CX137" s="1"/>
      <c r="CY137" s="1"/>
    </row>
    <row r="138" spans="85:103" x14ac:dyDescent="0.2">
      <c r="CG138" s="278" t="s">
        <v>1404</v>
      </c>
      <c r="CH138" s="281" t="str">
        <f t="shared" si="14"/>
        <v>46020686</v>
      </c>
      <c r="CI138" s="281">
        <v>29398</v>
      </c>
      <c r="CJ138" s="507">
        <v>72.142857142857139</v>
      </c>
      <c r="CK138" s="506">
        <v>2.88</v>
      </c>
      <c r="CL138" s="506"/>
      <c r="CM138" s="519">
        <f>IFERROR(VLOOKUP(CI138,'calculo_abs.'!$E$2:$F$280,2,FALSE),"sin dato")</f>
        <v>0.31271936727414779</v>
      </c>
      <c r="CN138" s="545" t="s">
        <v>1204</v>
      </c>
      <c r="CO138" s="545">
        <v>0</v>
      </c>
      <c r="CP138" s="545">
        <v>0</v>
      </c>
      <c r="CQ138" s="545">
        <f t="shared" si="15"/>
        <v>0</v>
      </c>
      <c r="CR138" s="545">
        <f t="shared" si="13"/>
        <v>0</v>
      </c>
      <c r="CX138" s="1"/>
      <c r="CY138" s="1"/>
    </row>
    <row r="139" spans="85:103" x14ac:dyDescent="0.2">
      <c r="CG139" s="278" t="s">
        <v>1367</v>
      </c>
      <c r="CH139" s="281" t="str">
        <f t="shared" si="14"/>
        <v>46008261</v>
      </c>
      <c r="CI139" s="281">
        <v>29511</v>
      </c>
      <c r="CJ139" s="507">
        <v>92.84210526315789</v>
      </c>
      <c r="CK139" s="506">
        <v>2.5099999999999998</v>
      </c>
      <c r="CL139" s="506"/>
      <c r="CM139" s="519">
        <f>IFERROR(VLOOKUP(CI139,'calculo_abs.'!$E$2:$F$280,2,FALSE),"sin dato")</f>
        <v>0.18320622273800813</v>
      </c>
      <c r="CN139" s="545" t="s">
        <v>1204</v>
      </c>
      <c r="CO139" s="545">
        <v>0</v>
      </c>
      <c r="CP139" s="545">
        <v>0</v>
      </c>
      <c r="CQ139" s="545">
        <f t="shared" si="15"/>
        <v>0</v>
      </c>
      <c r="CR139" s="545">
        <f t="shared" si="13"/>
        <v>0</v>
      </c>
      <c r="CX139" s="1"/>
      <c r="CY139" s="1"/>
    </row>
    <row r="140" spans="85:103" x14ac:dyDescent="0.2">
      <c r="CG140" s="278" t="s">
        <v>1382</v>
      </c>
      <c r="CH140" s="281" t="str">
        <f t="shared" si="14"/>
        <v>46028892</v>
      </c>
      <c r="CI140" s="281">
        <v>54157</v>
      </c>
      <c r="CJ140" s="507">
        <v>133.35476190476192</v>
      </c>
      <c r="CK140" s="506">
        <v>4.6100000000000003</v>
      </c>
      <c r="CL140" s="506"/>
      <c r="CM140" s="519">
        <f>IFERROR(VLOOKUP(CI140,'calculo_abs.'!$E$2:$F$280,2,FALSE),"sin dato")</f>
        <v>0.22939525452434442</v>
      </c>
      <c r="CN140" s="545" t="s">
        <v>1204</v>
      </c>
      <c r="CO140" s="545">
        <v>0</v>
      </c>
      <c r="CP140" s="545">
        <v>0</v>
      </c>
      <c r="CQ140" s="545">
        <f t="shared" si="15"/>
        <v>0</v>
      </c>
      <c r="CR140" s="545">
        <f t="shared" si="13"/>
        <v>0</v>
      </c>
      <c r="CX140" s="1"/>
      <c r="CY140" s="1"/>
    </row>
    <row r="141" spans="85:103" x14ac:dyDescent="0.2">
      <c r="CG141" s="278" t="s">
        <v>1344</v>
      </c>
      <c r="CH141" s="281" t="str">
        <f t="shared" si="14"/>
        <v>03017874</v>
      </c>
      <c r="CI141" s="281">
        <v>29641</v>
      </c>
      <c r="CJ141" s="507">
        <v>85.142857142857139</v>
      </c>
      <c r="CK141" s="506">
        <v>3.12</v>
      </c>
      <c r="CL141" s="506"/>
      <c r="CM141" s="519" t="str">
        <f>IFERROR(VLOOKUP(CI141,'calculo_abs.'!$E$2:$F$280,2,FALSE),"sin dato")</f>
        <v>sin dato</v>
      </c>
      <c r="CN141" s="545" t="s">
        <v>1204</v>
      </c>
      <c r="CO141" s="545">
        <v>0</v>
      </c>
      <c r="CP141" s="545">
        <v>0</v>
      </c>
      <c r="CQ141" s="545">
        <f t="shared" si="15"/>
        <v>0</v>
      </c>
      <c r="CR141" s="545">
        <f t="shared" ref="CR141:CR166" si="16">IFERROR(CQ141/CN141,0)</f>
        <v>0</v>
      </c>
      <c r="CX141" s="1"/>
      <c r="CY141" s="1"/>
    </row>
    <row r="142" spans="85:103" x14ac:dyDescent="0.2">
      <c r="CG142" s="278" t="s">
        <v>1398</v>
      </c>
      <c r="CH142" s="281" t="str">
        <f t="shared" si="14"/>
        <v>ESA46318416</v>
      </c>
      <c r="CI142" s="281">
        <v>29316</v>
      </c>
      <c r="CJ142" s="507">
        <v>176.04761904761904</v>
      </c>
      <c r="CK142" s="506">
        <v>2.54</v>
      </c>
      <c r="CL142" s="506"/>
      <c r="CM142" s="519">
        <f>IFERROR(VLOOKUP(CI142,'calculo_abs.'!$E$2:$F$280,2,FALSE),"sin dato")</f>
        <v>1.6227116382634011E-2</v>
      </c>
      <c r="CN142" s="545" t="s">
        <v>1204</v>
      </c>
      <c r="CO142" s="545">
        <v>50810.77</v>
      </c>
      <c r="CP142" s="545">
        <v>122.77</v>
      </c>
      <c r="CQ142" s="545">
        <f t="shared" si="15"/>
        <v>50933.539999999994</v>
      </c>
      <c r="CR142" s="545">
        <f t="shared" si="16"/>
        <v>0</v>
      </c>
      <c r="CX142" s="1"/>
      <c r="CY142" s="1"/>
    </row>
    <row r="143" spans="85:103" x14ac:dyDescent="0.2">
      <c r="CG143" s="278" t="s">
        <v>1365</v>
      </c>
      <c r="CH143" s="281" t="str">
        <f t="shared" si="14"/>
        <v>46017298</v>
      </c>
      <c r="CI143" s="281">
        <v>29401</v>
      </c>
      <c r="CJ143" s="507">
        <v>188.14285714285714</v>
      </c>
      <c r="CK143" s="506">
        <v>3.06</v>
      </c>
      <c r="CL143" s="506"/>
      <c r="CM143" s="519" t="str">
        <f>IFERROR(VLOOKUP(CI143,'calculo_abs.'!$E$2:$F$280,2,FALSE),"sin dato")</f>
        <v>sin dato</v>
      </c>
      <c r="CN143" s="545" t="s">
        <v>1204</v>
      </c>
      <c r="CO143" s="545">
        <v>0</v>
      </c>
      <c r="CP143" s="545">
        <v>0</v>
      </c>
      <c r="CQ143" s="545">
        <f t="shared" si="15"/>
        <v>0</v>
      </c>
      <c r="CR143" s="545">
        <f t="shared" si="16"/>
        <v>0</v>
      </c>
      <c r="CX143" s="1"/>
      <c r="CY143" s="1"/>
    </row>
    <row r="144" spans="85:103" x14ac:dyDescent="0.2">
      <c r="CG144" s="278" t="s">
        <v>1381</v>
      </c>
      <c r="CH144" s="281" t="str">
        <f t="shared" si="14"/>
        <v>46008157</v>
      </c>
      <c r="CI144" s="281">
        <v>29442</v>
      </c>
      <c r="CJ144" s="507">
        <v>40</v>
      </c>
      <c r="CK144" s="506">
        <v>3.22</v>
      </c>
      <c r="CL144" s="506"/>
      <c r="CM144" s="519">
        <f>IFERROR(VLOOKUP(CI144,'calculo_abs.'!$E$2:$F$280,2,FALSE),"sin dato")</f>
        <v>2.0626938480532382E-2</v>
      </c>
      <c r="CN144" s="545" t="s">
        <v>1204</v>
      </c>
      <c r="CO144" s="545">
        <v>0</v>
      </c>
      <c r="CP144" s="545">
        <v>0</v>
      </c>
      <c r="CQ144" s="545">
        <f t="shared" si="15"/>
        <v>0</v>
      </c>
      <c r="CR144" s="545">
        <f t="shared" si="16"/>
        <v>0</v>
      </c>
      <c r="CX144" s="1"/>
      <c r="CY144" s="1"/>
    </row>
    <row r="145" spans="85:103" x14ac:dyDescent="0.2">
      <c r="CG145" s="278" t="s">
        <v>500</v>
      </c>
      <c r="CH145" s="281" t="str">
        <f t="shared" si="14"/>
        <v>46033310</v>
      </c>
      <c r="CI145" s="281">
        <v>29503</v>
      </c>
      <c r="CJ145" s="507">
        <v>198.1904761904762</v>
      </c>
      <c r="CK145" s="506">
        <v>2.91</v>
      </c>
      <c r="CL145" s="506"/>
      <c r="CM145" s="519" t="str">
        <f>IFERROR(VLOOKUP(CI145,'calculo_abs.'!$E$2:$F$280,2,FALSE),"sin dato")</f>
        <v>sin dato</v>
      </c>
      <c r="CN145" s="545" t="s">
        <v>1204</v>
      </c>
      <c r="CO145" s="545">
        <v>0</v>
      </c>
      <c r="CP145" s="545">
        <v>0</v>
      </c>
      <c r="CQ145" s="545">
        <f t="shared" si="15"/>
        <v>0</v>
      </c>
      <c r="CR145" s="545">
        <f t="shared" si="16"/>
        <v>0</v>
      </c>
      <c r="CX145" s="1"/>
      <c r="CY145" s="1"/>
    </row>
    <row r="146" spans="85:103" x14ac:dyDescent="0.2">
      <c r="CG146" s="278" t="s">
        <v>1431</v>
      </c>
      <c r="CH146" s="281" t="str">
        <f t="shared" si="14"/>
        <v>FROST</v>
      </c>
      <c r="CI146" s="281">
        <v>29436</v>
      </c>
      <c r="CJ146" s="507">
        <v>89.6</v>
      </c>
      <c r="CK146" s="506">
        <v>2.65</v>
      </c>
      <c r="CL146" s="506"/>
      <c r="CM146" s="519">
        <f>IFERROR(VLOOKUP(CI146,'calculo_abs.'!$E$2:$F$280,2,FALSE),"sin dato")</f>
        <v>0.41628117663173431</v>
      </c>
      <c r="CN146" s="545" t="s">
        <v>1204</v>
      </c>
      <c r="CO146" s="545">
        <v>0</v>
      </c>
      <c r="CP146" s="545">
        <v>0</v>
      </c>
      <c r="CQ146" s="545">
        <f t="shared" si="15"/>
        <v>0</v>
      </c>
      <c r="CR146" s="545">
        <f t="shared" si="16"/>
        <v>0</v>
      </c>
      <c r="CX146" s="1"/>
      <c r="CY146" s="1"/>
    </row>
    <row r="147" spans="85:103" x14ac:dyDescent="0.2">
      <c r="CG147" s="278" t="s">
        <v>1411</v>
      </c>
      <c r="CH147" s="281" t="str">
        <f t="shared" si="14"/>
        <v>ESG98117062</v>
      </c>
      <c r="CI147" s="281">
        <v>52792</v>
      </c>
      <c r="CJ147" s="507">
        <v>102.85714285714285</v>
      </c>
      <c r="CK147" s="506">
        <v>3.8</v>
      </c>
      <c r="CL147" s="506"/>
      <c r="CM147" s="519">
        <f>IFERROR(VLOOKUP(CI147,'calculo_abs.'!$E$2:$F$280,2,FALSE),"sin dato")</f>
        <v>1.9481628371384663E-2</v>
      </c>
      <c r="CN147" s="545" t="s">
        <v>1204</v>
      </c>
      <c r="CO147" s="545">
        <v>0</v>
      </c>
      <c r="CP147" s="545">
        <v>0</v>
      </c>
      <c r="CQ147" s="545">
        <f t="shared" si="15"/>
        <v>0</v>
      </c>
      <c r="CR147" s="545">
        <f t="shared" si="16"/>
        <v>0</v>
      </c>
      <c r="CX147" s="1"/>
      <c r="CY147" s="1"/>
    </row>
    <row r="148" spans="85:103" x14ac:dyDescent="0.2">
      <c r="CG148" s="278" t="s">
        <v>1441</v>
      </c>
      <c r="CH148" s="281" t="str">
        <f t="shared" si="14"/>
        <v>12002993</v>
      </c>
      <c r="CI148" s="281">
        <v>29376</v>
      </c>
      <c r="CJ148" s="507">
        <v>136.55000000000001</v>
      </c>
      <c r="CK148" s="506">
        <v>2.96</v>
      </c>
      <c r="CL148" s="506"/>
      <c r="CM148" s="519">
        <f>IFERROR(VLOOKUP(CI148,'calculo_abs.'!$E$2:$F$280,2,FALSE),"sin dato")</f>
        <v>9.5310206547203121E-3</v>
      </c>
      <c r="CN148" s="545">
        <v>16823</v>
      </c>
      <c r="CO148" s="545">
        <v>11221.68</v>
      </c>
      <c r="CP148" s="545">
        <v>7267.5217599999987</v>
      </c>
      <c r="CQ148" s="545">
        <f t="shared" si="15"/>
        <v>18489.20176</v>
      </c>
      <c r="CR148" s="545">
        <f t="shared" si="16"/>
        <v>1.0990430814955716</v>
      </c>
      <c r="CX148" s="1"/>
      <c r="CY148" s="1"/>
    </row>
    <row r="149" spans="85:103" x14ac:dyDescent="0.2">
      <c r="CG149" s="278" t="s">
        <v>622</v>
      </c>
      <c r="CH149" s="281" t="str">
        <f t="shared" si="14"/>
        <v>81237257</v>
      </c>
      <c r="CI149" s="281">
        <v>54177</v>
      </c>
      <c r="CJ149" s="507">
        <v>179.83333333333334</v>
      </c>
      <c r="CK149" s="506" t="s">
        <v>1204</v>
      </c>
      <c r="CL149" s="506"/>
      <c r="CM149" s="519" t="str">
        <f>IFERROR(VLOOKUP(CI149,'calculo_abs.'!$E$2:$F$280,2,FALSE),"sin dato")</f>
        <v>sin dato</v>
      </c>
      <c r="CN149" s="545" t="s">
        <v>1204</v>
      </c>
      <c r="CO149" s="545">
        <v>0</v>
      </c>
      <c r="CP149" s="545">
        <v>0</v>
      </c>
      <c r="CQ149" s="545">
        <f t="shared" si="15"/>
        <v>0</v>
      </c>
      <c r="CR149" s="545">
        <f t="shared" si="16"/>
        <v>0</v>
      </c>
      <c r="CX149" s="1"/>
      <c r="CY149" s="1"/>
    </row>
    <row r="150" spans="85:103" x14ac:dyDescent="0.2">
      <c r="CG150" s="278" t="s">
        <v>1442</v>
      </c>
      <c r="CH150" s="281" t="str">
        <f t="shared" si="14"/>
        <v>03006131</v>
      </c>
      <c r="CI150" s="281">
        <v>29658</v>
      </c>
      <c r="CJ150" s="507">
        <v>62.4</v>
      </c>
      <c r="CK150" s="506">
        <v>2.79</v>
      </c>
      <c r="CL150" s="506"/>
      <c r="CM150" s="519">
        <f>IFERROR(VLOOKUP(CI150,'calculo_abs.'!$E$2:$F$280,2,FALSE),"sin dato")</f>
        <v>2.2478536881444189E-2</v>
      </c>
      <c r="CN150" s="545" t="s">
        <v>1204</v>
      </c>
      <c r="CO150" s="545">
        <v>0</v>
      </c>
      <c r="CP150" s="545">
        <v>0</v>
      </c>
      <c r="CQ150" s="545">
        <f t="shared" si="15"/>
        <v>0</v>
      </c>
      <c r="CR150" s="545">
        <f t="shared" si="16"/>
        <v>0</v>
      </c>
      <c r="CX150" s="1"/>
      <c r="CY150" s="1"/>
    </row>
    <row r="151" spans="85:103" x14ac:dyDescent="0.2">
      <c r="CG151" s="278" t="s">
        <v>1340</v>
      </c>
      <c r="CH151" s="281">
        <f t="shared" si="14"/>
        <v>0</v>
      </c>
      <c r="CI151" s="281">
        <v>54085</v>
      </c>
      <c r="CJ151" s="507">
        <v>34.714285714285715</v>
      </c>
      <c r="CK151" s="506">
        <v>4</v>
      </c>
      <c r="CL151" s="506"/>
      <c r="CM151" s="519" t="str">
        <f>IFERROR(VLOOKUP(CI151,'calculo_abs.'!$E$2:$F$280,2,FALSE),"sin dato")</f>
        <v>sin dato</v>
      </c>
      <c r="CN151" s="545" t="s">
        <v>1204</v>
      </c>
      <c r="CO151" s="545">
        <v>0</v>
      </c>
      <c r="CP151" s="545">
        <v>0</v>
      </c>
      <c r="CQ151" s="545">
        <f t="shared" si="15"/>
        <v>0</v>
      </c>
      <c r="CR151" s="545">
        <f t="shared" si="16"/>
        <v>0</v>
      </c>
      <c r="CX151" s="1"/>
      <c r="CY151" s="1"/>
    </row>
    <row r="152" spans="85:103" x14ac:dyDescent="0.2">
      <c r="CG152" s="278" t="s">
        <v>1361</v>
      </c>
      <c r="CH152" s="281" t="str">
        <f t="shared" si="14"/>
        <v>03009956</v>
      </c>
      <c r="CI152" s="281">
        <v>29653</v>
      </c>
      <c r="CJ152" s="507">
        <v>42</v>
      </c>
      <c r="CK152" s="506">
        <v>3.34</v>
      </c>
      <c r="CL152" s="506"/>
      <c r="CM152" s="519" t="str">
        <f>IFERROR(VLOOKUP(CI152,'calculo_abs.'!$E$2:$F$280,2,FALSE),"sin dato")</f>
        <v>sin dato</v>
      </c>
      <c r="CN152" s="545" t="s">
        <v>1204</v>
      </c>
      <c r="CO152" s="545">
        <v>0</v>
      </c>
      <c r="CP152" s="545">
        <v>0</v>
      </c>
      <c r="CQ152" s="545">
        <f t="shared" si="15"/>
        <v>0</v>
      </c>
      <c r="CR152" s="545">
        <f t="shared" si="16"/>
        <v>0</v>
      </c>
      <c r="CX152" s="1"/>
      <c r="CY152" s="1"/>
    </row>
    <row r="153" spans="85:103" x14ac:dyDescent="0.2">
      <c r="CG153" s="278" t="s">
        <v>1427</v>
      </c>
      <c r="CH153" s="281" t="str">
        <f t="shared" si="14"/>
        <v>46010772</v>
      </c>
      <c r="CI153" s="281">
        <v>29390</v>
      </c>
      <c r="CJ153" s="507">
        <v>170</v>
      </c>
      <c r="CK153" s="506">
        <v>2.79</v>
      </c>
      <c r="CL153" s="506"/>
      <c r="CM153" s="519" t="str">
        <f>IFERROR(VLOOKUP(CI153,'calculo_abs.'!$E$2:$F$280,2,FALSE),"sin dato")</f>
        <v>sin dato</v>
      </c>
      <c r="CN153" s="545" t="s">
        <v>1204</v>
      </c>
      <c r="CO153" s="545">
        <v>0</v>
      </c>
      <c r="CP153" s="545">
        <v>0</v>
      </c>
      <c r="CQ153" s="545">
        <f t="shared" si="15"/>
        <v>0</v>
      </c>
      <c r="CR153" s="545">
        <f t="shared" si="16"/>
        <v>0</v>
      </c>
      <c r="CX153" s="1"/>
      <c r="CY153" s="1"/>
    </row>
    <row r="154" spans="85:103" x14ac:dyDescent="0.2">
      <c r="CG154" s="278" t="s">
        <v>1449</v>
      </c>
      <c r="CH154" s="281" t="str">
        <f t="shared" si="14"/>
        <v>12000480</v>
      </c>
      <c r="CI154" s="281">
        <v>29346</v>
      </c>
      <c r="CJ154" s="507">
        <v>95.7</v>
      </c>
      <c r="CK154" s="506">
        <v>1.84</v>
      </c>
      <c r="CL154" s="506"/>
      <c r="CM154" s="519">
        <f>IFERROR(VLOOKUP(CI154,'calculo_abs.'!$E$2:$F$280,2,FALSE),"sin dato")</f>
        <v>0.16458534569609029</v>
      </c>
      <c r="CN154" s="545">
        <v>12797</v>
      </c>
      <c r="CO154" s="545">
        <v>9220.7099999999991</v>
      </c>
      <c r="CP154" s="545">
        <v>5575.5573339999992</v>
      </c>
      <c r="CQ154" s="545">
        <f t="shared" si="15"/>
        <v>14796.267333999998</v>
      </c>
      <c r="CR154" s="545">
        <f t="shared" si="16"/>
        <v>1.1562293767289207</v>
      </c>
      <c r="CX154" s="1"/>
      <c r="CY154" s="1"/>
    </row>
    <row r="155" spans="85:103" x14ac:dyDescent="0.2">
      <c r="CG155" s="278" t="s">
        <v>1438</v>
      </c>
      <c r="CH155" s="281" t="str">
        <f t="shared" si="14"/>
        <v>12321386</v>
      </c>
      <c r="CI155" s="281">
        <v>54164</v>
      </c>
      <c r="CJ155" s="507">
        <v>65.05</v>
      </c>
      <c r="CK155" s="506">
        <v>5</v>
      </c>
      <c r="CL155" s="506"/>
      <c r="CM155" s="519">
        <f>IFERROR(VLOOKUP(CI155,'calculo_abs.'!$E$2:$F$280,2,FALSE),"sin dato")</f>
        <v>0</v>
      </c>
      <c r="CN155" s="545" t="s">
        <v>1204</v>
      </c>
      <c r="CO155" s="545">
        <v>0</v>
      </c>
      <c r="CP155" s="545">
        <v>0</v>
      </c>
      <c r="CQ155" s="545">
        <f t="shared" si="15"/>
        <v>0</v>
      </c>
      <c r="CR155" s="545">
        <f t="shared" si="16"/>
        <v>0</v>
      </c>
      <c r="CX155" s="1"/>
      <c r="CY155" s="1"/>
    </row>
    <row r="156" spans="85:103" x14ac:dyDescent="0.2">
      <c r="CG156" s="278" t="s">
        <v>1421</v>
      </c>
      <c r="CH156" s="281" t="str">
        <f t="shared" si="14"/>
        <v>46025039</v>
      </c>
      <c r="CI156" s="281">
        <v>29530</v>
      </c>
      <c r="CJ156" s="507">
        <v>36.328571428571422</v>
      </c>
      <c r="CK156" s="506">
        <v>4.9400000000000004</v>
      </c>
      <c r="CL156" s="506"/>
      <c r="CM156" s="519" t="str">
        <f>IFERROR(VLOOKUP(CI156,'calculo_abs.'!$E$2:$F$280,2,FALSE),"sin dato")</f>
        <v>sin dato</v>
      </c>
      <c r="CN156" s="545" t="s">
        <v>1204</v>
      </c>
      <c r="CO156" s="545">
        <v>0</v>
      </c>
      <c r="CP156" s="545">
        <v>0</v>
      </c>
      <c r="CQ156" s="545">
        <f t="shared" si="15"/>
        <v>0</v>
      </c>
      <c r="CR156" s="545">
        <f t="shared" si="16"/>
        <v>0</v>
      </c>
      <c r="CX156" s="1"/>
      <c r="CY156" s="1"/>
    </row>
    <row r="157" spans="85:103" x14ac:dyDescent="0.2">
      <c r="CG157" s="278" t="s">
        <v>1274</v>
      </c>
      <c r="CH157" s="281" t="str">
        <f t="shared" si="14"/>
        <v>46017304</v>
      </c>
      <c r="CI157" s="281">
        <v>29296</v>
      </c>
      <c r="CJ157" s="507">
        <v>597.20000000000005</v>
      </c>
      <c r="CK157" s="506">
        <v>3.3</v>
      </c>
      <c r="CL157" s="506"/>
      <c r="CM157" s="519">
        <f>IFERROR(VLOOKUP(CI157,'calculo_abs.'!$E$2:$F$280,2,FALSE),"sin dato")</f>
        <v>0.11049333649328194</v>
      </c>
      <c r="CN157" s="545">
        <v>75675</v>
      </c>
      <c r="CO157" s="545">
        <v>91849.1</v>
      </c>
      <c r="CP157" s="545">
        <v>20194.707199980003</v>
      </c>
      <c r="CQ157" s="545">
        <f t="shared" si="15"/>
        <v>112043.80719998002</v>
      </c>
      <c r="CR157" s="545">
        <f t="shared" si="16"/>
        <v>1.480592100429204</v>
      </c>
      <c r="CX157" s="1"/>
      <c r="CY157" s="1"/>
    </row>
    <row r="158" spans="85:103" x14ac:dyDescent="0.2">
      <c r="CG158" s="278" t="s">
        <v>1458</v>
      </c>
      <c r="CH158" s="281" t="str">
        <f t="shared" si="14"/>
        <v>12007760</v>
      </c>
      <c r="CI158" s="281">
        <v>53358</v>
      </c>
      <c r="CJ158" s="507">
        <v>23</v>
      </c>
      <c r="CK158" s="506">
        <v>2.98</v>
      </c>
      <c r="CL158" s="506"/>
      <c r="CM158" s="519">
        <f>IFERROR(VLOOKUP(CI158,'calculo_abs.'!$E$2:$F$280,2,FALSE),"sin dato")</f>
        <v>0</v>
      </c>
      <c r="CN158" s="545" t="s">
        <v>1204</v>
      </c>
      <c r="CO158" s="545">
        <v>0</v>
      </c>
      <c r="CP158" s="545">
        <v>0</v>
      </c>
      <c r="CQ158" s="545">
        <f t="shared" si="15"/>
        <v>0</v>
      </c>
      <c r="CR158" s="545">
        <f t="shared" si="16"/>
        <v>0</v>
      </c>
      <c r="CX158" s="1"/>
      <c r="CY158" s="1"/>
    </row>
    <row r="159" spans="85:103" x14ac:dyDescent="0.2">
      <c r="CG159" s="278" t="s">
        <v>1465</v>
      </c>
      <c r="CH159" s="281" t="str">
        <f t="shared" si="14"/>
        <v>12002282</v>
      </c>
      <c r="CI159" s="281">
        <v>29477</v>
      </c>
      <c r="CJ159" s="507">
        <v>135.05000000000001</v>
      </c>
      <c r="CK159" s="506">
        <v>2.84</v>
      </c>
      <c r="CL159" s="506"/>
      <c r="CM159" s="519" t="str">
        <f>IFERROR(VLOOKUP(CI159,'calculo_abs.'!$E$2:$F$280,2,FALSE),"sin dato")</f>
        <v>sin dato</v>
      </c>
      <c r="CN159" s="545" t="s">
        <v>1204</v>
      </c>
      <c r="CO159" s="545">
        <v>0</v>
      </c>
      <c r="CP159" s="545">
        <v>0</v>
      </c>
      <c r="CQ159" s="545">
        <f t="shared" si="15"/>
        <v>0</v>
      </c>
      <c r="CR159" s="545">
        <f t="shared" si="16"/>
        <v>0</v>
      </c>
      <c r="CX159" s="1"/>
      <c r="CY159" s="1"/>
    </row>
    <row r="160" spans="85:103" x14ac:dyDescent="0.2">
      <c r="CG160" s="278" t="s">
        <v>560</v>
      </c>
      <c r="CH160" s="281" t="str">
        <f t="shared" si="14"/>
        <v>46005-2</v>
      </c>
      <c r="CI160" s="281">
        <v>53470</v>
      </c>
      <c r="CJ160" s="507">
        <v>45</v>
      </c>
      <c r="CK160" s="506">
        <v>3.3</v>
      </c>
      <c r="CL160" s="506"/>
      <c r="CM160" s="519" t="str">
        <f>IFERROR(VLOOKUP(CI160,'calculo_abs.'!$E$2:$F$280,2,FALSE),"sin dato")</f>
        <v>sin dato</v>
      </c>
      <c r="CN160" s="545" t="s">
        <v>1204</v>
      </c>
      <c r="CO160" s="545">
        <v>0</v>
      </c>
      <c r="CP160" s="545">
        <v>0</v>
      </c>
      <c r="CQ160" s="545">
        <f t="shared" si="15"/>
        <v>0</v>
      </c>
      <c r="CR160" s="545">
        <f t="shared" si="16"/>
        <v>0</v>
      </c>
      <c r="CX160" s="1"/>
      <c r="CY160" s="1"/>
    </row>
    <row r="161" spans="85:103" x14ac:dyDescent="0.2">
      <c r="CG161" s="278" t="s">
        <v>1450</v>
      </c>
      <c r="CH161" s="281" t="str">
        <f t="shared" si="14"/>
        <v>03002721</v>
      </c>
      <c r="CI161" s="281">
        <v>29668</v>
      </c>
      <c r="CJ161" s="507">
        <v>141.33333333333334</v>
      </c>
      <c r="CK161" s="506">
        <v>2.71</v>
      </c>
      <c r="CL161" s="506"/>
      <c r="CM161" s="519" t="str">
        <f>IFERROR(VLOOKUP(CI161,'calculo_abs.'!$E$2:$F$280,2,FALSE),"sin dato")</f>
        <v>sin dato</v>
      </c>
      <c r="CN161" s="545" t="s">
        <v>1204</v>
      </c>
      <c r="CO161" s="545">
        <v>0</v>
      </c>
      <c r="CP161" s="545">
        <v>0</v>
      </c>
      <c r="CQ161" s="545">
        <f t="shared" si="15"/>
        <v>0</v>
      </c>
      <c r="CR161" s="545">
        <f t="shared" si="16"/>
        <v>0</v>
      </c>
      <c r="CX161" s="1"/>
      <c r="CY161" s="1"/>
    </row>
    <row r="162" spans="85:103" x14ac:dyDescent="0.2">
      <c r="CG162" s="278" t="s">
        <v>1417</v>
      </c>
      <c r="CH162" s="281" t="str">
        <f t="shared" si="14"/>
        <v>12001204</v>
      </c>
      <c r="CI162" s="281">
        <v>29451</v>
      </c>
      <c r="CJ162" s="507">
        <v>140.65</v>
      </c>
      <c r="CK162" s="506">
        <v>3.77</v>
      </c>
      <c r="CL162" s="506"/>
      <c r="CM162" s="519">
        <f>IFERROR(VLOOKUP(CI162,'calculo_abs.'!$E$2:$F$280,2,FALSE),"sin dato")</f>
        <v>1.0921643927879112E-2</v>
      </c>
      <c r="CN162" s="545" t="s">
        <v>1204</v>
      </c>
      <c r="CO162" s="545">
        <v>0</v>
      </c>
      <c r="CP162" s="545">
        <v>0</v>
      </c>
      <c r="CQ162" s="545">
        <f t="shared" si="15"/>
        <v>0</v>
      </c>
      <c r="CR162" s="545">
        <f t="shared" si="16"/>
        <v>0</v>
      </c>
      <c r="CX162" s="1"/>
      <c r="CY162" s="1"/>
    </row>
    <row r="163" spans="85:103" x14ac:dyDescent="0.2">
      <c r="CG163" s="278" t="s">
        <v>1429</v>
      </c>
      <c r="CH163" s="281" t="str">
        <f t="shared" ref="CH163:CH194" si="17">IFERROR(VLOOKUP(CI163,controller,3,FALSE),0)</f>
        <v>46001989</v>
      </c>
      <c r="CI163" s="281">
        <v>51166</v>
      </c>
      <c r="CJ163" s="507">
        <v>106.25</v>
      </c>
      <c r="CK163" s="506">
        <v>2.94</v>
      </c>
      <c r="CL163" s="506"/>
      <c r="CM163" s="519">
        <f>IFERROR(VLOOKUP(CI163,'calculo_abs.'!$E$2:$F$280,2,FALSE),"sin dato")</f>
        <v>0</v>
      </c>
      <c r="CN163" s="545" t="s">
        <v>1204</v>
      </c>
      <c r="CO163" s="545">
        <v>0</v>
      </c>
      <c r="CP163" s="545">
        <v>0</v>
      </c>
      <c r="CQ163" s="545">
        <f t="shared" ref="CQ163:CQ189" si="18">+CO163+CP163</f>
        <v>0</v>
      </c>
      <c r="CR163" s="545">
        <f t="shared" si="16"/>
        <v>0</v>
      </c>
      <c r="CX163" s="1"/>
      <c r="CY163" s="1"/>
    </row>
    <row r="164" spans="85:103" x14ac:dyDescent="0.2">
      <c r="CG164" s="278" t="s">
        <v>1439</v>
      </c>
      <c r="CH164" s="281" t="str">
        <f t="shared" si="17"/>
        <v>ESB97728224</v>
      </c>
      <c r="CI164" s="281">
        <v>29462</v>
      </c>
      <c r="CJ164" s="507">
        <v>12.380952380952381</v>
      </c>
      <c r="CK164" s="506">
        <v>6.5</v>
      </c>
      <c r="CL164" s="506"/>
      <c r="CM164" s="519" t="str">
        <f>IFERROR(VLOOKUP(CI164,'calculo_abs.'!$E$2:$F$280,2,FALSE),"sin dato")</f>
        <v>sin dato</v>
      </c>
      <c r="CN164" s="545" t="s">
        <v>1204</v>
      </c>
      <c r="CO164" s="545">
        <v>0</v>
      </c>
      <c r="CP164" s="545">
        <v>0</v>
      </c>
      <c r="CQ164" s="545">
        <f t="shared" si="18"/>
        <v>0</v>
      </c>
      <c r="CR164" s="545">
        <f t="shared" si="16"/>
        <v>0</v>
      </c>
      <c r="CX164" s="1"/>
      <c r="CY164" s="1"/>
    </row>
    <row r="165" spans="85:103" x14ac:dyDescent="0.2">
      <c r="CG165" s="278" t="s">
        <v>528</v>
      </c>
      <c r="CH165" s="281" t="str">
        <f t="shared" si="17"/>
        <v>46011971</v>
      </c>
      <c r="CI165" s="281">
        <v>29506</v>
      </c>
      <c r="CJ165" s="507">
        <v>100.14047619047619</v>
      </c>
      <c r="CK165" s="506">
        <v>3.15</v>
      </c>
      <c r="CL165" s="506"/>
      <c r="CM165" s="519" t="str">
        <f>IFERROR(VLOOKUP(CI165,'calculo_abs.'!$E$2:$F$280,2,FALSE),"sin dato")</f>
        <v>sin dato</v>
      </c>
      <c r="CN165" s="545" t="s">
        <v>1204</v>
      </c>
      <c r="CO165" s="545">
        <v>0</v>
      </c>
      <c r="CP165" s="545">
        <v>0</v>
      </c>
      <c r="CQ165" s="545">
        <f t="shared" si="18"/>
        <v>0</v>
      </c>
      <c r="CR165" s="545">
        <f t="shared" si="16"/>
        <v>0</v>
      </c>
      <c r="CX165" s="1"/>
      <c r="CY165" s="1"/>
    </row>
    <row r="166" spans="85:103" x14ac:dyDescent="0.2">
      <c r="CG166" s="278" t="s">
        <v>1377</v>
      </c>
      <c r="CH166" s="281" t="str">
        <f t="shared" si="17"/>
        <v>03019147</v>
      </c>
      <c r="CI166" s="281">
        <v>29655</v>
      </c>
      <c r="CJ166" s="507">
        <v>70.849999999999994</v>
      </c>
      <c r="CK166" s="506">
        <v>3.18</v>
      </c>
      <c r="CL166" s="506"/>
      <c r="CM166" s="519" t="str">
        <f>IFERROR(VLOOKUP(CI166,'calculo_abs.'!$E$2:$F$280,2,FALSE),"sin dato")</f>
        <v>sin dato</v>
      </c>
      <c r="CN166" s="545" t="s">
        <v>1204</v>
      </c>
      <c r="CO166" s="545">
        <v>0</v>
      </c>
      <c r="CP166" s="545">
        <v>0</v>
      </c>
      <c r="CQ166" s="545">
        <f t="shared" si="18"/>
        <v>0</v>
      </c>
      <c r="CR166" s="545">
        <f t="shared" si="16"/>
        <v>0</v>
      </c>
      <c r="CX166" s="1"/>
      <c r="CY166" s="1"/>
    </row>
    <row r="167" spans="85:103" x14ac:dyDescent="0.2">
      <c r="CG167" s="278" t="s">
        <v>1396</v>
      </c>
      <c r="CH167" s="281" t="str">
        <f t="shared" si="17"/>
        <v>46015231</v>
      </c>
      <c r="CI167" s="281">
        <v>52893</v>
      </c>
      <c r="CJ167" s="507">
        <v>415.45</v>
      </c>
      <c r="CK167" s="506">
        <v>3.2</v>
      </c>
      <c r="CL167" s="506"/>
      <c r="CM167" s="519" t="str">
        <f>IFERROR(VLOOKUP(CI167,'calculo_abs.'!$E$2:$F$280,2,FALSE),"sin dato")</f>
        <v>sin dato</v>
      </c>
      <c r="CN167" s="545">
        <v>44704</v>
      </c>
      <c r="CO167" s="545">
        <v>0</v>
      </c>
      <c r="CP167" s="545">
        <v>84061</v>
      </c>
      <c r="CQ167" s="545">
        <f t="shared" si="18"/>
        <v>84061</v>
      </c>
      <c r="CR167" s="545">
        <v>1.77</v>
      </c>
      <c r="CX167" s="1"/>
      <c r="CY167" s="1"/>
    </row>
    <row r="168" spans="85:103" x14ac:dyDescent="0.2">
      <c r="CG168" s="278" t="s">
        <v>1405</v>
      </c>
      <c r="CH168" s="281" t="str">
        <f t="shared" si="17"/>
        <v>46011661</v>
      </c>
      <c r="CI168" s="281">
        <v>29485</v>
      </c>
      <c r="CJ168" s="507">
        <v>113.86666666666666</v>
      </c>
      <c r="CK168" s="506">
        <v>2.69</v>
      </c>
      <c r="CL168" s="506"/>
      <c r="CM168" s="519">
        <f>IFERROR(VLOOKUP(CI168,'calculo_abs.'!$E$2:$F$280,2,FALSE),"sin dato")</f>
        <v>8.7647443670554562E-2</v>
      </c>
      <c r="CN168" s="545" t="s">
        <v>1204</v>
      </c>
      <c r="CO168" s="545">
        <v>0</v>
      </c>
      <c r="CP168" s="545">
        <v>0</v>
      </c>
      <c r="CQ168" s="545">
        <f t="shared" si="18"/>
        <v>0</v>
      </c>
      <c r="CR168" s="545">
        <f t="shared" ref="CR168:CR189" si="19">IFERROR(CQ168/CN168,0)</f>
        <v>0</v>
      </c>
      <c r="CX168" s="1"/>
      <c r="CY168" s="1"/>
    </row>
    <row r="169" spans="85:103" x14ac:dyDescent="0.2">
      <c r="CG169" s="278" t="s">
        <v>1416</v>
      </c>
      <c r="CH169" s="281" t="str">
        <f t="shared" si="17"/>
        <v>46006616-1</v>
      </c>
      <c r="CI169" s="602">
        <v>53171</v>
      </c>
      <c r="CJ169" s="507">
        <v>201.10000000000002</v>
      </c>
      <c r="CK169" s="506">
        <v>1.83</v>
      </c>
      <c r="CL169" s="506"/>
      <c r="CM169" s="519" t="str">
        <f>IFERROR(VLOOKUP(CI169,'calculo_abs.'!$E$2:$F$280,2,FALSE),"sin dato")</f>
        <v>sin dato</v>
      </c>
      <c r="CN169" s="545">
        <v>25538</v>
      </c>
      <c r="CO169" s="545">
        <v>0</v>
      </c>
      <c r="CP169" s="545">
        <v>20266</v>
      </c>
      <c r="CQ169" s="545">
        <f t="shared" si="18"/>
        <v>20266</v>
      </c>
      <c r="CR169" s="545">
        <v>1.26</v>
      </c>
      <c r="CX169" s="1"/>
      <c r="CY169" s="1"/>
    </row>
    <row r="170" spans="85:103" x14ac:dyDescent="0.2">
      <c r="CG170" s="278" t="s">
        <v>1388</v>
      </c>
      <c r="CH170" s="281" t="str">
        <f t="shared" si="17"/>
        <v>ESR1200174I</v>
      </c>
      <c r="CI170" s="281">
        <v>29494</v>
      </c>
      <c r="CJ170" s="507">
        <v>20</v>
      </c>
      <c r="CK170" s="506">
        <v>3.2</v>
      </c>
      <c r="CL170" s="506"/>
      <c r="CM170" s="519" t="str">
        <f>IFERROR(VLOOKUP(CI170,'calculo_abs.'!$E$2:$F$280,2,FALSE),"sin dato")</f>
        <v>sin dato</v>
      </c>
      <c r="CN170" s="545" t="s">
        <v>1204</v>
      </c>
      <c r="CO170" s="545">
        <v>0</v>
      </c>
      <c r="CP170" s="545">
        <v>0</v>
      </c>
      <c r="CQ170" s="545">
        <f t="shared" si="18"/>
        <v>0</v>
      </c>
      <c r="CR170" s="545">
        <f t="shared" si="19"/>
        <v>0</v>
      </c>
      <c r="CX170" s="1"/>
      <c r="CY170" s="1"/>
    </row>
    <row r="171" spans="85:103" x14ac:dyDescent="0.2">
      <c r="CG171" s="278" t="s">
        <v>1428</v>
      </c>
      <c r="CH171" s="281" t="str">
        <f t="shared" si="17"/>
        <v>46003202</v>
      </c>
      <c r="CI171" s="281">
        <v>29461</v>
      </c>
      <c r="CJ171" s="507">
        <v>123.84210526315789</v>
      </c>
      <c r="CK171" s="506">
        <v>2.0499999999999998</v>
      </c>
      <c r="CL171" s="506"/>
      <c r="CM171" s="519">
        <f>IFERROR(VLOOKUP(CI171,'calculo_abs.'!$E$2:$F$280,2,FALSE),"sin dato")</f>
        <v>7.9829124563773085E-2</v>
      </c>
      <c r="CN171" s="545">
        <v>14636</v>
      </c>
      <c r="CO171" s="545">
        <v>11222.32</v>
      </c>
      <c r="CP171" s="545">
        <v>12182.537081660001</v>
      </c>
      <c r="CQ171" s="545">
        <f t="shared" si="18"/>
        <v>23404.85708166</v>
      </c>
      <c r="CR171" s="545">
        <f t="shared" si="19"/>
        <v>1.5991293441965018</v>
      </c>
      <c r="CX171" s="1"/>
      <c r="CY171" s="1"/>
    </row>
    <row r="172" spans="85:103" ht="13.5" customHeight="1" x14ac:dyDescent="0.2">
      <c r="CG172" s="278" t="s">
        <v>871</v>
      </c>
      <c r="CH172" s="281" t="str">
        <f t="shared" si="17"/>
        <v>46001667_1</v>
      </c>
      <c r="CI172" s="281">
        <v>29368</v>
      </c>
      <c r="CJ172" s="507">
        <v>157.73684210526315</v>
      </c>
      <c r="CK172" s="506">
        <v>1.85</v>
      </c>
      <c r="CL172" s="506"/>
      <c r="CM172" s="519">
        <f>IFERROR(VLOOKUP(CI172,'calculo_abs.'!$E$2:$F$280,2,FALSE),"sin dato")</f>
        <v>3.7868480200616533E-2</v>
      </c>
      <c r="CN172" s="545">
        <v>18876</v>
      </c>
      <c r="CO172" s="545">
        <v>11972.92</v>
      </c>
      <c r="CP172" s="545">
        <v>0</v>
      </c>
      <c r="CQ172" s="545">
        <f t="shared" si="18"/>
        <v>11972.92</v>
      </c>
      <c r="CR172" s="545">
        <f t="shared" si="19"/>
        <v>0.63429328247510064</v>
      </c>
      <c r="CX172" s="1"/>
      <c r="CY172" s="1"/>
    </row>
    <row r="173" spans="85:103" x14ac:dyDescent="0.2">
      <c r="CG173" s="278" t="s">
        <v>1448</v>
      </c>
      <c r="CH173" s="281" t="str">
        <f t="shared" si="17"/>
        <v>46011910</v>
      </c>
      <c r="CI173" s="281">
        <v>29469</v>
      </c>
      <c r="CJ173" s="507">
        <v>104.47619047619048</v>
      </c>
      <c r="CK173" s="506">
        <v>2.76</v>
      </c>
      <c r="CL173" s="506"/>
      <c r="CM173" s="519" t="str">
        <f>IFERROR(VLOOKUP(CI173,'calculo_abs.'!$E$2:$F$280,2,FALSE),"sin dato")</f>
        <v>sin dato</v>
      </c>
      <c r="CN173" s="545" t="s">
        <v>1204</v>
      </c>
      <c r="CO173" s="545">
        <v>0</v>
      </c>
      <c r="CP173" s="545">
        <v>0</v>
      </c>
      <c r="CQ173" s="545">
        <f t="shared" si="18"/>
        <v>0</v>
      </c>
      <c r="CR173" s="545">
        <f t="shared" si="19"/>
        <v>0</v>
      </c>
      <c r="CX173" s="1"/>
      <c r="CY173" s="1"/>
    </row>
    <row r="174" spans="85:103" x14ac:dyDescent="0.2">
      <c r="CG174" s="278" t="s">
        <v>1420</v>
      </c>
      <c r="CH174" s="281" t="str">
        <f t="shared" si="17"/>
        <v>46010930</v>
      </c>
      <c r="CI174" s="281">
        <v>29320</v>
      </c>
      <c r="CJ174" s="507">
        <v>327.25</v>
      </c>
      <c r="CK174" s="506">
        <v>3.44</v>
      </c>
      <c r="CL174" s="506"/>
      <c r="CM174" s="519">
        <f>IFERROR(VLOOKUP(CI174,'calculo_abs.'!$E$2:$F$280,2,FALSE),"sin dato")</f>
        <v>0.13941835808820222</v>
      </c>
      <c r="CN174" s="545">
        <v>39830</v>
      </c>
      <c r="CO174" s="545">
        <v>20046.740000000002</v>
      </c>
      <c r="CP174" s="545">
        <v>20875.090653239993</v>
      </c>
      <c r="CQ174" s="545">
        <f t="shared" si="18"/>
        <v>40921.830653239995</v>
      </c>
      <c r="CR174" s="545">
        <f t="shared" si="19"/>
        <v>1.027412268472006</v>
      </c>
      <c r="CX174" s="1"/>
      <c r="CY174" s="1"/>
    </row>
    <row r="175" spans="85:103" x14ac:dyDescent="0.2">
      <c r="CG175" s="278" t="s">
        <v>1459</v>
      </c>
      <c r="CH175" s="281" t="str">
        <f t="shared" si="17"/>
        <v>03014356</v>
      </c>
      <c r="CI175" s="281">
        <v>29657</v>
      </c>
      <c r="CJ175" s="507">
        <v>262.1904761904762</v>
      </c>
      <c r="CK175" s="506">
        <v>2.94</v>
      </c>
      <c r="CL175" s="506"/>
      <c r="CM175" s="519" t="str">
        <f>IFERROR(VLOOKUP(CI175,'calculo_abs.'!$E$2:$F$280,2,FALSE),"sin dato")</f>
        <v>sin dato</v>
      </c>
      <c r="CN175" s="545" t="s">
        <v>1204</v>
      </c>
      <c r="CO175" s="545">
        <v>0</v>
      </c>
      <c r="CP175" s="545">
        <v>0</v>
      </c>
      <c r="CQ175" s="545">
        <f t="shared" si="18"/>
        <v>0</v>
      </c>
      <c r="CR175" s="545">
        <f t="shared" si="19"/>
        <v>0</v>
      </c>
      <c r="CX175" s="1"/>
      <c r="CY175" s="1"/>
    </row>
    <row r="176" spans="85:103" x14ac:dyDescent="0.2">
      <c r="CG176" s="278" t="s">
        <v>777</v>
      </c>
      <c r="CH176" s="281" t="str">
        <f t="shared" si="17"/>
        <v>12007863</v>
      </c>
      <c r="CI176" s="281">
        <v>29456</v>
      </c>
      <c r="CJ176" s="507">
        <v>84.285714285714278</v>
      </c>
      <c r="CK176" s="506">
        <v>2.77</v>
      </c>
      <c r="CL176" s="506"/>
      <c r="CM176" s="519" t="str">
        <f>IFERROR(VLOOKUP(CI176,'calculo_abs.'!$E$2:$F$280,2,FALSE),"sin dato")</f>
        <v>sin dato</v>
      </c>
      <c r="CN176" s="545" t="s">
        <v>1204</v>
      </c>
      <c r="CO176" s="545">
        <v>0</v>
      </c>
      <c r="CP176" s="545">
        <v>0</v>
      </c>
      <c r="CQ176" s="545">
        <f t="shared" si="18"/>
        <v>0</v>
      </c>
      <c r="CR176" s="545">
        <f t="shared" si="19"/>
        <v>0</v>
      </c>
      <c r="CX176" s="1"/>
      <c r="CY176" s="1"/>
    </row>
    <row r="177" spans="85:103" x14ac:dyDescent="0.2">
      <c r="CG177" s="278" t="s">
        <v>1471</v>
      </c>
      <c r="CH177" s="281" t="str">
        <f t="shared" si="17"/>
        <v>03001143</v>
      </c>
      <c r="CI177" s="281">
        <v>29663</v>
      </c>
      <c r="CJ177" s="507">
        <v>354.75</v>
      </c>
      <c r="CK177" s="506">
        <v>3.29</v>
      </c>
      <c r="CL177" s="506"/>
      <c r="CM177" s="519">
        <f>IFERROR(VLOOKUP(CI177,'calculo_abs.'!$E$2:$F$280,2,FALSE),"sin dato")</f>
        <v>2.8078173383795833E-2</v>
      </c>
      <c r="CN177" s="545" t="s">
        <v>1204</v>
      </c>
      <c r="CO177" s="545">
        <v>0</v>
      </c>
      <c r="CP177" s="545">
        <v>0</v>
      </c>
      <c r="CQ177" s="545">
        <f t="shared" si="18"/>
        <v>0</v>
      </c>
      <c r="CR177" s="545">
        <f t="shared" si="19"/>
        <v>0</v>
      </c>
      <c r="CX177" s="1"/>
      <c r="CY177" s="1"/>
    </row>
    <row r="178" spans="85:103" x14ac:dyDescent="0.2">
      <c r="CG178" s="278" t="s">
        <v>1351</v>
      </c>
      <c r="CH178" s="281" t="str">
        <f t="shared" si="17"/>
        <v>46004346</v>
      </c>
      <c r="CI178" s="281">
        <v>29303</v>
      </c>
      <c r="CJ178" s="507">
        <v>638.70000000000005</v>
      </c>
      <c r="CK178" s="506">
        <v>2.61</v>
      </c>
      <c r="CL178" s="506"/>
      <c r="CM178" s="519">
        <f>IFERROR(VLOOKUP(CI178,'calculo_abs.'!$E$2:$F$280,2,FALSE),"sin dato")</f>
        <v>0.24649300013866493</v>
      </c>
      <c r="CN178" s="545">
        <v>67243</v>
      </c>
      <c r="CO178" s="545">
        <v>75882.11</v>
      </c>
      <c r="CP178" s="545">
        <v>20172.059280000001</v>
      </c>
      <c r="CQ178" s="545">
        <f t="shared" si="18"/>
        <v>96054.169280000002</v>
      </c>
      <c r="CR178" s="545">
        <v>1.31</v>
      </c>
      <c r="CX178" s="1"/>
      <c r="CY178" s="1"/>
    </row>
    <row r="179" spans="85:103" ht="14.25" customHeight="1" x14ac:dyDescent="0.2">
      <c r="CG179" s="278" t="s">
        <v>1456</v>
      </c>
      <c r="CH179" s="281" t="str">
        <f t="shared" si="17"/>
        <v>945</v>
      </c>
      <c r="CI179" s="281">
        <v>50328</v>
      </c>
      <c r="CJ179" s="507">
        <v>96.583333333333343</v>
      </c>
      <c r="CK179" s="506">
        <v>2.64</v>
      </c>
      <c r="CL179" s="506"/>
      <c r="CM179" s="519">
        <f>IFERROR(VLOOKUP(CI179,'calculo_abs.'!$E$2:$F$280,2,FALSE),"sin dato")</f>
        <v>5.2393021525382305E-2</v>
      </c>
      <c r="CN179" s="545" t="s">
        <v>1204</v>
      </c>
      <c r="CO179" s="545">
        <v>0</v>
      </c>
      <c r="CP179" s="545">
        <v>0</v>
      </c>
      <c r="CQ179" s="545">
        <f t="shared" si="18"/>
        <v>0</v>
      </c>
      <c r="CR179" s="545">
        <f t="shared" si="19"/>
        <v>0</v>
      </c>
      <c r="CX179" s="1"/>
      <c r="CY179" s="1"/>
    </row>
    <row r="180" spans="85:103" x14ac:dyDescent="0.2">
      <c r="CG180" s="278" t="s">
        <v>1433</v>
      </c>
      <c r="CH180" s="281" t="str">
        <f t="shared" si="17"/>
        <v>46002258</v>
      </c>
      <c r="CI180" s="281">
        <v>29399</v>
      </c>
      <c r="CJ180" s="507">
        <v>86</v>
      </c>
      <c r="CK180" s="506">
        <v>2.98</v>
      </c>
      <c r="CL180" s="506"/>
      <c r="CM180" s="519">
        <f>IFERROR(VLOOKUP(CI180,'calculo_abs.'!$E$2:$F$280,2,FALSE),"sin dato")</f>
        <v>0.23242041871381355</v>
      </c>
      <c r="CN180" s="545" t="s">
        <v>1204</v>
      </c>
      <c r="CO180" s="545">
        <v>0</v>
      </c>
      <c r="CP180" s="545">
        <v>0</v>
      </c>
      <c r="CQ180" s="545">
        <f t="shared" si="18"/>
        <v>0</v>
      </c>
      <c r="CR180" s="545">
        <f t="shared" si="19"/>
        <v>0</v>
      </c>
      <c r="CX180" s="1"/>
      <c r="CY180" s="1"/>
    </row>
    <row r="181" spans="85:103" x14ac:dyDescent="0.2">
      <c r="CG181" s="278" t="s">
        <v>1415</v>
      </c>
      <c r="CH181" s="281" t="str">
        <f t="shared" si="17"/>
        <v>46033577</v>
      </c>
      <c r="CI181" s="281">
        <v>54003</v>
      </c>
      <c r="CJ181" s="507">
        <v>28</v>
      </c>
      <c r="CK181" s="506">
        <v>3.35</v>
      </c>
      <c r="CL181" s="506"/>
      <c r="CM181" s="519" t="str">
        <f>IFERROR(VLOOKUP(CI181,'calculo_abs.'!$E$2:$F$280,2,FALSE),"sin dato")</f>
        <v>sin dato</v>
      </c>
      <c r="CN181" s="545" t="s">
        <v>1204</v>
      </c>
      <c r="CO181" s="545">
        <v>0</v>
      </c>
      <c r="CP181" s="545">
        <v>0</v>
      </c>
      <c r="CQ181" s="545">
        <f t="shared" si="18"/>
        <v>0</v>
      </c>
      <c r="CR181" s="545">
        <f t="shared" si="19"/>
        <v>0</v>
      </c>
      <c r="CX181" s="1"/>
      <c r="CY181" s="1"/>
    </row>
    <row r="182" spans="85:103" x14ac:dyDescent="0.2">
      <c r="CG182" s="278" t="s">
        <v>1447</v>
      </c>
      <c r="CH182" s="281" t="str">
        <f t="shared" si="17"/>
        <v>ESB46164588</v>
      </c>
      <c r="CI182" s="281">
        <v>51179</v>
      </c>
      <c r="CJ182" s="507">
        <v>94.1875</v>
      </c>
      <c r="CK182" s="506">
        <v>2.14</v>
      </c>
      <c r="CL182" s="506"/>
      <c r="CM182" s="519" t="str">
        <f>IFERROR(VLOOKUP(CI182,'calculo_abs.'!$E$2:$F$280,2,FALSE),"sin dato")</f>
        <v>sin dato</v>
      </c>
      <c r="CN182" s="545" t="s">
        <v>1204</v>
      </c>
      <c r="CO182" s="545">
        <v>0</v>
      </c>
      <c r="CP182" s="545">
        <v>0</v>
      </c>
      <c r="CQ182" s="545">
        <f t="shared" si="18"/>
        <v>0</v>
      </c>
      <c r="CR182" s="545">
        <f t="shared" si="19"/>
        <v>0</v>
      </c>
      <c r="CX182" s="1"/>
      <c r="CY182" s="1"/>
    </row>
    <row r="183" spans="85:103" x14ac:dyDescent="0.2">
      <c r="CG183" s="278" t="s">
        <v>1455</v>
      </c>
      <c r="CH183" s="281" t="str">
        <f t="shared" si="17"/>
        <v>46010620</v>
      </c>
      <c r="CI183" s="281">
        <v>29422</v>
      </c>
      <c r="CJ183" s="507">
        <v>37.6</v>
      </c>
      <c r="CK183" s="506">
        <v>3.03</v>
      </c>
      <c r="CL183" s="506"/>
      <c r="CM183" s="519" t="str">
        <f>IFERROR(VLOOKUP(CI183,'calculo_abs.'!$E$2:$F$280,2,FALSE),"sin dato")</f>
        <v>sin dato</v>
      </c>
      <c r="CN183" s="545" t="s">
        <v>1204</v>
      </c>
      <c r="CO183" s="545">
        <v>0</v>
      </c>
      <c r="CP183" s="545">
        <v>0</v>
      </c>
      <c r="CQ183" s="545">
        <f t="shared" si="18"/>
        <v>0</v>
      </c>
      <c r="CR183" s="545">
        <f t="shared" si="19"/>
        <v>0</v>
      </c>
      <c r="CX183" s="1"/>
      <c r="CY183" s="1"/>
    </row>
    <row r="184" spans="85:103" x14ac:dyDescent="0.2">
      <c r="CG184" s="278" t="s">
        <v>1464</v>
      </c>
      <c r="CH184" s="281" t="str">
        <f t="shared" si="17"/>
        <v>ESF46185658</v>
      </c>
      <c r="CI184" s="281">
        <v>29395</v>
      </c>
      <c r="CJ184" s="507">
        <v>42.904761904761905</v>
      </c>
      <c r="CK184" s="506">
        <v>3.66</v>
      </c>
      <c r="CL184" s="506"/>
      <c r="CM184" s="519">
        <f>IFERROR(VLOOKUP(CI184,'calculo_abs.'!$E$2:$F$280,2,FALSE),"sin dato")</f>
        <v>0</v>
      </c>
      <c r="CN184" s="545" t="s">
        <v>1204</v>
      </c>
      <c r="CO184" s="545">
        <v>0</v>
      </c>
      <c r="CP184" s="545">
        <v>0</v>
      </c>
      <c r="CQ184" s="545">
        <f t="shared" si="18"/>
        <v>0</v>
      </c>
      <c r="CR184" s="545">
        <f t="shared" si="19"/>
        <v>0</v>
      </c>
      <c r="CX184" s="1"/>
      <c r="CY184" s="1"/>
    </row>
    <row r="185" spans="85:103" x14ac:dyDescent="0.2">
      <c r="CG185" s="278" t="s">
        <v>1556</v>
      </c>
      <c r="CH185" s="281" t="str">
        <f t="shared" si="17"/>
        <v>98761471</v>
      </c>
      <c r="CI185" s="281">
        <v>53953</v>
      </c>
      <c r="CJ185" s="507">
        <v>30.047619047619047</v>
      </c>
      <c r="CK185" s="506">
        <v>3.25</v>
      </c>
      <c r="CL185" s="506"/>
      <c r="CM185" s="519" t="str">
        <f>IFERROR(VLOOKUP(CI185,'calculo_abs.'!$E$2:$F$280,2,FALSE),"sin dato")</f>
        <v>sin dato</v>
      </c>
      <c r="CN185" s="545" t="s">
        <v>1204</v>
      </c>
      <c r="CO185" s="545">
        <v>0</v>
      </c>
      <c r="CP185" s="545">
        <v>0</v>
      </c>
      <c r="CQ185" s="545">
        <f t="shared" si="18"/>
        <v>0</v>
      </c>
      <c r="CR185" s="545">
        <f t="shared" si="19"/>
        <v>0</v>
      </c>
      <c r="CX185" s="1"/>
      <c r="CY185" s="1"/>
    </row>
    <row r="186" spans="85:103" x14ac:dyDescent="0.2">
      <c r="CG186" s="278" t="s">
        <v>1557</v>
      </c>
      <c r="CH186" s="281" t="str">
        <f t="shared" si="17"/>
        <v>ALCER1</v>
      </c>
      <c r="CI186" s="281">
        <v>52030</v>
      </c>
      <c r="CJ186" s="507">
        <v>131.42777777777778</v>
      </c>
      <c r="CK186" s="506">
        <v>3.56</v>
      </c>
      <c r="CL186" s="506"/>
      <c r="CM186" s="519" t="str">
        <f>IFERROR(VLOOKUP(CI186,'calculo_abs.'!$E$2:$F$280,2,FALSE),"sin dato")</f>
        <v>sin dato</v>
      </c>
      <c r="CN186" s="545" t="s">
        <v>1204</v>
      </c>
      <c r="CO186" s="545">
        <v>0</v>
      </c>
      <c r="CP186" s="545">
        <v>0</v>
      </c>
      <c r="CQ186" s="545">
        <f t="shared" si="18"/>
        <v>0</v>
      </c>
      <c r="CR186" s="545">
        <f t="shared" si="19"/>
        <v>0</v>
      </c>
      <c r="CX186" s="1"/>
      <c r="CY186" s="1"/>
    </row>
    <row r="187" spans="85:103" x14ac:dyDescent="0.2">
      <c r="CG187" s="278" t="s">
        <v>1426</v>
      </c>
      <c r="CH187" s="281" t="str">
        <f t="shared" si="17"/>
        <v>10777100</v>
      </c>
      <c r="CI187" s="281">
        <v>53756</v>
      </c>
      <c r="CJ187" s="507">
        <v>54.45</v>
      </c>
      <c r="CK187" s="506">
        <v>4.68</v>
      </c>
      <c r="CL187" s="506"/>
      <c r="CM187" s="519" t="str">
        <f>IFERROR(VLOOKUP(CI187,'calculo_abs.'!$E$2:$F$280,2,FALSE),"sin dato")</f>
        <v>sin dato</v>
      </c>
      <c r="CN187" s="545" t="s">
        <v>1204</v>
      </c>
      <c r="CO187" s="545">
        <v>0</v>
      </c>
      <c r="CP187" s="545">
        <v>0</v>
      </c>
      <c r="CQ187" s="545">
        <f t="shared" si="18"/>
        <v>0</v>
      </c>
      <c r="CR187" s="545">
        <f t="shared" si="19"/>
        <v>0</v>
      </c>
      <c r="CX187" s="1"/>
      <c r="CY187" s="1"/>
    </row>
    <row r="188" spans="85:103" x14ac:dyDescent="0.2">
      <c r="CG188" s="278" t="s">
        <v>1470</v>
      </c>
      <c r="CH188" s="281" t="str">
        <f t="shared" si="17"/>
        <v>12007267</v>
      </c>
      <c r="CI188" s="281">
        <v>29526</v>
      </c>
      <c r="CJ188" s="507">
        <v>34.94736842105263</v>
      </c>
      <c r="CK188" s="506">
        <v>3.15</v>
      </c>
      <c r="CL188" s="506"/>
      <c r="CM188" s="519" t="str">
        <f>IFERROR(VLOOKUP(CI188,'calculo_abs.'!$E$2:$F$280,2,FALSE),"sin dato")</f>
        <v>sin dato</v>
      </c>
      <c r="CN188" s="545" t="s">
        <v>1204</v>
      </c>
      <c r="CO188" s="545">
        <v>0</v>
      </c>
      <c r="CP188" s="545">
        <v>0</v>
      </c>
      <c r="CQ188" s="545">
        <f t="shared" si="18"/>
        <v>0</v>
      </c>
      <c r="CR188" s="545">
        <f t="shared" si="19"/>
        <v>0</v>
      </c>
      <c r="CX188" s="1"/>
      <c r="CY188" s="1"/>
    </row>
    <row r="189" spans="85:103" x14ac:dyDescent="0.2">
      <c r="CG189" s="278" t="s">
        <v>1392</v>
      </c>
      <c r="CH189" s="281" t="str">
        <f t="shared" si="17"/>
        <v>ESB54947783</v>
      </c>
      <c r="CI189" s="281">
        <v>29666</v>
      </c>
      <c r="CJ189" s="507">
        <v>20</v>
      </c>
      <c r="CK189" s="506">
        <v>5.9</v>
      </c>
      <c r="CL189" s="506"/>
      <c r="CM189" s="519">
        <f>IFERROR(VLOOKUP(CI189,'calculo_abs.'!$E$2:$F$280,2,FALSE),"sin dato")</f>
        <v>2.3721347353942945E-2</v>
      </c>
      <c r="CN189" s="545" t="s">
        <v>1204</v>
      </c>
      <c r="CO189" s="545">
        <v>0</v>
      </c>
      <c r="CP189" s="545">
        <v>0</v>
      </c>
      <c r="CQ189" s="545">
        <f t="shared" si="18"/>
        <v>0</v>
      </c>
      <c r="CR189" s="545">
        <f t="shared" si="19"/>
        <v>0</v>
      </c>
      <c r="CX189" s="1"/>
      <c r="CY189" s="1"/>
    </row>
    <row r="190" spans="85:103" x14ac:dyDescent="0.2">
      <c r="CG190" s="278" t="s">
        <v>1283</v>
      </c>
      <c r="CH190" s="281" t="str">
        <f t="shared" si="17"/>
        <v>ESA12641080</v>
      </c>
      <c r="CI190" s="281">
        <v>53683</v>
      </c>
      <c r="CJ190" s="507"/>
      <c r="CK190" s="506"/>
      <c r="CL190" s="506"/>
      <c r="CM190" s="519" t="str">
        <f>IFERROR(VLOOKUP(CI190,'calculo_abs.'!$E$2:$F$280,2,FALSE),"sin dato")</f>
        <v>sin dato</v>
      </c>
      <c r="CN190" s="545" t="s">
        <v>1204</v>
      </c>
      <c r="CO190" s="545">
        <v>0</v>
      </c>
      <c r="CP190" s="545">
        <v>0</v>
      </c>
      <c r="CQ190" s="545">
        <f t="shared" ref="CQ190" si="20">+CO190+CP190</f>
        <v>0</v>
      </c>
      <c r="CR190" s="545">
        <f t="shared" ref="CR190" si="21">IFERROR(CQ190/CN190,0)</f>
        <v>0</v>
      </c>
      <c r="CX190" s="1"/>
      <c r="CY190" s="1"/>
    </row>
    <row r="191" spans="85:103" x14ac:dyDescent="0.2">
      <c r="CG191" s="278" t="s">
        <v>1457</v>
      </c>
      <c r="CH191" s="281" t="str">
        <f t="shared" si="17"/>
        <v>ESG12028452</v>
      </c>
      <c r="CI191" s="281">
        <v>29306</v>
      </c>
      <c r="CJ191" s="507"/>
      <c r="CK191" s="506"/>
      <c r="CL191" s="506"/>
      <c r="CM191" s="519">
        <f>IFERROR(VLOOKUP(CI191,'calculo_abs.'!$E$2:$F$280,2,FALSE),"sin dato")</f>
        <v>1.9424092879236379E-2</v>
      </c>
      <c r="CN191" s="545" t="s">
        <v>1204</v>
      </c>
      <c r="CO191" s="545">
        <v>0</v>
      </c>
      <c r="CP191" s="545">
        <v>0</v>
      </c>
      <c r="CQ191" s="545">
        <f t="shared" ref="CQ191" si="22">+CO191+CP191</f>
        <v>0</v>
      </c>
      <c r="CR191" s="545">
        <f t="shared" ref="CR191" si="23">IFERROR(CQ191/CN191,0)</f>
        <v>0</v>
      </c>
      <c r="CX191" s="1"/>
      <c r="CY191" s="1"/>
    </row>
    <row r="192" spans="85:103" x14ac:dyDescent="0.2">
      <c r="CG192" s="278" t="s">
        <v>424</v>
      </c>
      <c r="CH192" s="281" t="str">
        <f t="shared" si="17"/>
        <v>46026421</v>
      </c>
      <c r="CI192" s="281">
        <v>29311</v>
      </c>
      <c r="CJ192" s="281"/>
      <c r="CK192" s="281"/>
      <c r="CL192" s="281"/>
      <c r="CM192" s="519">
        <f>IFERROR(VLOOKUP(CI192,'calculo_abs.'!$E$2:$F$280,2,FALSE),"sin dato")</f>
        <v>7.2386852477695704E-2</v>
      </c>
      <c r="CN192" s="545" t="s">
        <v>1204</v>
      </c>
      <c r="CO192" s="545">
        <v>0</v>
      </c>
      <c r="CP192" s="545">
        <v>0</v>
      </c>
      <c r="CQ192" s="545">
        <f t="shared" ref="CQ192" si="24">+CO192+CP192</f>
        <v>0</v>
      </c>
      <c r="CR192" s="545">
        <f t="shared" ref="CR192" si="25">IFERROR(CQ192/CN192,0)</f>
        <v>0</v>
      </c>
      <c r="CX192" s="1"/>
      <c r="CY192" s="1"/>
    </row>
    <row r="193" spans="85:103" x14ac:dyDescent="0.2">
      <c r="CG193" s="278" t="s">
        <v>1195</v>
      </c>
      <c r="CH193" s="281" t="str">
        <f t="shared" si="17"/>
        <v>86771714</v>
      </c>
      <c r="CI193" s="281">
        <v>54264</v>
      </c>
      <c r="CJ193" s="281"/>
      <c r="CK193" s="281"/>
      <c r="CL193" s="281"/>
      <c r="CM193" s="519">
        <f>IFERROR(VLOOKUP(CI193,'calculo_abs.'!$E$2:$F$280,2,FALSE),"sin dato")</f>
        <v>1.8095119254189457E-2</v>
      </c>
      <c r="CN193" s="545" t="s">
        <v>1204</v>
      </c>
      <c r="CO193" s="545">
        <v>0</v>
      </c>
      <c r="CP193" s="545">
        <v>0</v>
      </c>
      <c r="CQ193" s="545">
        <f t="shared" ref="CQ193" si="26">+CO193+CP193</f>
        <v>0</v>
      </c>
      <c r="CR193" s="545">
        <f t="shared" ref="CR193" si="27">IFERROR(CQ193/CN193,0)</f>
        <v>0</v>
      </c>
      <c r="CX193" s="1"/>
      <c r="CY193" s="1"/>
    </row>
    <row r="194" spans="85:103" x14ac:dyDescent="0.2">
      <c r="CG194" s="278" t="s">
        <v>1348</v>
      </c>
      <c r="CH194" s="281">
        <f t="shared" si="17"/>
        <v>0</v>
      </c>
      <c r="CI194" s="281">
        <v>54265</v>
      </c>
      <c r="CJ194" s="281"/>
      <c r="CK194" s="281"/>
      <c r="CL194" s="281"/>
      <c r="CM194" s="519">
        <f>IFERROR(VLOOKUP(CI194,'calculo_abs.'!$E$2:$F$280,2,FALSE),"sin dato")</f>
        <v>0</v>
      </c>
      <c r="CN194" s="545" t="s">
        <v>1204</v>
      </c>
      <c r="CO194" s="545">
        <v>0</v>
      </c>
      <c r="CP194" s="545">
        <v>0</v>
      </c>
      <c r="CQ194" s="545">
        <f t="shared" ref="CQ194" si="28">+CO194+CP194</f>
        <v>0</v>
      </c>
      <c r="CR194" s="545">
        <f t="shared" ref="CR194" si="29">IFERROR(CQ194/CN194,0)</f>
        <v>0</v>
      </c>
      <c r="CX194" s="1"/>
      <c r="CY194" s="1"/>
    </row>
    <row r="195" spans="85:103" x14ac:dyDescent="0.2">
      <c r="CG195" s="281" t="s">
        <v>1530</v>
      </c>
      <c r="CH195" s="278" t="s">
        <v>407</v>
      </c>
      <c r="CI195" s="281">
        <v>29317</v>
      </c>
      <c r="CJ195" s="281"/>
      <c r="CK195" s="281"/>
      <c r="CL195" s="281"/>
      <c r="CM195" s="519">
        <f>IFERROR(VLOOKUP(CI195,'calculo_abs.'!$E$2:$F$280,2,FALSE),"sin dato")</f>
        <v>7.2771119461522107E-2</v>
      </c>
      <c r="CN195" s="545" t="s">
        <v>1204</v>
      </c>
      <c r="CO195" s="545">
        <v>0</v>
      </c>
      <c r="CP195" s="545">
        <v>0</v>
      </c>
      <c r="CQ195" s="545">
        <f t="shared" ref="CQ195" si="30">+CO195+CP195</f>
        <v>0</v>
      </c>
      <c r="CR195" s="545">
        <f t="shared" ref="CR195" si="31">IFERROR(CQ195/CN195,0)</f>
        <v>0</v>
      </c>
      <c r="CX195" s="1"/>
      <c r="CY195" s="1"/>
    </row>
    <row r="196" spans="85:103" x14ac:dyDescent="0.2">
      <c r="CG196" s="278"/>
      <c r="CH196" s="281"/>
      <c r="CI196" s="281"/>
      <c r="CJ196" s="281"/>
      <c r="CK196" s="281"/>
      <c r="CL196" s="281"/>
      <c r="CM196" s="519"/>
      <c r="CN196" s="519"/>
      <c r="CO196" s="519"/>
      <c r="CP196" s="519"/>
      <c r="CQ196" s="519"/>
      <c r="CR196" s="545"/>
      <c r="CX196" s="1"/>
      <c r="CY196" s="1"/>
    </row>
    <row r="197" spans="85:103" x14ac:dyDescent="0.2">
      <c r="CG197" s="278"/>
      <c r="CH197" s="281"/>
      <c r="CI197" s="281"/>
      <c r="CJ197" s="281"/>
      <c r="CK197" s="281"/>
      <c r="CL197" s="281"/>
      <c r="CM197" s="519"/>
      <c r="CN197" s="519"/>
      <c r="CO197" s="519"/>
      <c r="CP197" s="519"/>
      <c r="CQ197" s="519"/>
      <c r="CR197" s="545"/>
      <c r="CX197" s="1"/>
      <c r="CY197" s="1"/>
    </row>
    <row r="198" spans="85:103" x14ac:dyDescent="0.2">
      <c r="CG198" s="278"/>
      <c r="CH198" s="281"/>
      <c r="CI198" s="281"/>
      <c r="CJ198" s="281"/>
      <c r="CK198" s="281"/>
      <c r="CL198" s="281"/>
      <c r="CM198" s="519"/>
      <c r="CN198" s="519"/>
      <c r="CO198" s="519"/>
      <c r="CP198" s="519"/>
      <c r="CQ198" s="519"/>
      <c r="CR198" s="545"/>
      <c r="CX198" s="1"/>
      <c r="CY198" s="1"/>
    </row>
    <row r="199" spans="85:103" x14ac:dyDescent="0.2">
      <c r="CG199" s="278"/>
      <c r="CH199" s="281"/>
      <c r="CI199" s="281"/>
      <c r="CJ199" s="281"/>
      <c r="CK199" s="281"/>
      <c r="CL199" s="281"/>
      <c r="CM199" s="519"/>
      <c r="CN199" s="519"/>
      <c r="CO199" s="519"/>
      <c r="CP199" s="519"/>
      <c r="CQ199" s="519"/>
      <c r="CR199" s="545"/>
      <c r="CX199" s="1"/>
      <c r="CY199" s="1"/>
    </row>
    <row r="200" spans="85:103" x14ac:dyDescent="0.2">
      <c r="CG200" s="278"/>
      <c r="CH200" s="281"/>
      <c r="CI200" s="281"/>
      <c r="CJ200" s="281"/>
      <c r="CK200" s="281"/>
      <c r="CL200" s="281"/>
      <c r="CM200" s="519"/>
      <c r="CN200" s="519"/>
      <c r="CO200" s="519"/>
      <c r="CP200" s="519"/>
      <c r="CQ200" s="519"/>
      <c r="CR200" s="545"/>
      <c r="CX200" s="1"/>
      <c r="CY200" s="1"/>
    </row>
    <row r="201" spans="85:103" x14ac:dyDescent="0.2">
      <c r="CG201" s="278"/>
      <c r="CH201" s="281"/>
      <c r="CI201" s="281"/>
      <c r="CJ201" s="281"/>
      <c r="CK201" s="281"/>
      <c r="CL201" s="281"/>
      <c r="CM201" s="519"/>
      <c r="CN201" s="519"/>
      <c r="CO201" s="519"/>
      <c r="CP201" s="519"/>
      <c r="CQ201" s="519"/>
      <c r="CR201" s="545"/>
      <c r="CX201" s="1"/>
      <c r="CY201" s="1"/>
    </row>
    <row r="202" spans="85:103" x14ac:dyDescent="0.2">
      <c r="CG202" s="278"/>
      <c r="CH202" s="281"/>
      <c r="CI202" s="281"/>
      <c r="CJ202" s="281"/>
      <c r="CK202" s="281"/>
      <c r="CL202" s="281"/>
      <c r="CM202" s="519"/>
      <c r="CN202" s="519"/>
      <c r="CO202" s="519"/>
      <c r="CP202" s="519"/>
      <c r="CQ202" s="519"/>
      <c r="CR202" s="545"/>
      <c r="CX202" s="1"/>
      <c r="CY202" s="1"/>
    </row>
    <row r="203" spans="85:103" x14ac:dyDescent="0.2">
      <c r="CG203" s="278"/>
      <c r="CH203" s="281"/>
      <c r="CI203" s="281"/>
      <c r="CJ203" s="281"/>
      <c r="CK203" s="281"/>
      <c r="CL203" s="281"/>
      <c r="CM203" s="519"/>
      <c r="CN203" s="519"/>
      <c r="CO203" s="519"/>
      <c r="CP203" s="519"/>
      <c r="CQ203" s="519"/>
      <c r="CR203" s="545"/>
      <c r="CX203" s="1"/>
      <c r="CY203" s="1"/>
    </row>
    <row r="204" spans="85:103" x14ac:dyDescent="0.2">
      <c r="CG204" s="278"/>
      <c r="CH204" s="281"/>
      <c r="CI204" s="281"/>
      <c r="CJ204" s="281"/>
      <c r="CK204" s="281"/>
      <c r="CL204" s="281"/>
      <c r="CM204" s="519"/>
      <c r="CN204" s="519"/>
      <c r="CO204" s="519"/>
      <c r="CP204" s="519"/>
      <c r="CQ204" s="519"/>
      <c r="CR204" s="545"/>
      <c r="CX204" s="1"/>
      <c r="CY204" s="1"/>
    </row>
    <row r="205" spans="85:103" x14ac:dyDescent="0.2">
      <c r="CG205" s="278"/>
      <c r="CH205" s="281"/>
      <c r="CI205" s="281"/>
      <c r="CJ205" s="281"/>
      <c r="CK205" s="281"/>
      <c r="CL205" s="281"/>
      <c r="CM205" s="519"/>
      <c r="CN205" s="519"/>
      <c r="CO205" s="519"/>
      <c r="CP205" s="519"/>
      <c r="CQ205" s="519"/>
      <c r="CR205" s="545"/>
      <c r="CX205" s="1"/>
      <c r="CY205" s="1"/>
    </row>
    <row r="206" spans="85:103" x14ac:dyDescent="0.2">
      <c r="CG206" s="278"/>
      <c r="CH206" s="281"/>
      <c r="CI206" s="281"/>
      <c r="CJ206" s="281"/>
      <c r="CK206" s="281"/>
      <c r="CL206" s="281"/>
      <c r="CM206" s="519"/>
      <c r="CN206" s="519"/>
      <c r="CO206" s="519"/>
      <c r="CP206" s="519"/>
      <c r="CQ206" s="519"/>
      <c r="CR206" s="545"/>
      <c r="CX206" s="1"/>
      <c r="CY206" s="1"/>
    </row>
    <row r="207" spans="85:103" x14ac:dyDescent="0.2">
      <c r="CG207" s="278"/>
      <c r="CH207" s="281"/>
      <c r="CI207" s="281"/>
      <c r="CJ207" s="281"/>
      <c r="CK207" s="281"/>
      <c r="CL207" s="281"/>
      <c r="CM207" s="519"/>
      <c r="CN207" s="519"/>
      <c r="CO207" s="519"/>
      <c r="CP207" s="519"/>
      <c r="CQ207" s="519"/>
      <c r="CR207" s="545"/>
      <c r="CX207" s="1"/>
      <c r="CY207" s="1"/>
    </row>
    <row r="208" spans="85:103" x14ac:dyDescent="0.2">
      <c r="CG208" s="278"/>
      <c r="CH208" s="281"/>
      <c r="CI208" s="281"/>
      <c r="CJ208" s="281"/>
      <c r="CK208" s="281"/>
      <c r="CL208" s="281"/>
      <c r="CM208" s="519"/>
      <c r="CN208" s="519"/>
      <c r="CO208" s="519"/>
      <c r="CP208" s="519"/>
      <c r="CQ208" s="519"/>
      <c r="CR208" s="545"/>
      <c r="CX208" s="1"/>
      <c r="CY208" s="1"/>
    </row>
    <row r="209" spans="85:103" x14ac:dyDescent="0.2">
      <c r="CG209" s="278"/>
      <c r="CH209" s="281"/>
      <c r="CI209" s="281"/>
      <c r="CJ209" s="281"/>
      <c r="CK209" s="281"/>
      <c r="CL209" s="281"/>
      <c r="CM209" s="519"/>
      <c r="CN209" s="519"/>
      <c r="CO209" s="519"/>
      <c r="CP209" s="519"/>
      <c r="CQ209" s="519"/>
      <c r="CR209" s="545"/>
      <c r="CX209" s="1"/>
      <c r="CY209" s="1"/>
    </row>
    <row r="210" spans="85:103" x14ac:dyDescent="0.2">
      <c r="CG210" s="278"/>
      <c r="CH210" s="281"/>
      <c r="CI210" s="281"/>
      <c r="CJ210" s="281"/>
      <c r="CK210" s="281"/>
      <c r="CL210" s="281"/>
      <c r="CM210" s="519"/>
      <c r="CN210" s="519"/>
      <c r="CO210" s="519"/>
      <c r="CP210" s="519"/>
      <c r="CQ210" s="519"/>
      <c r="CR210" s="545"/>
      <c r="CX210" s="1"/>
      <c r="CY210" s="1"/>
    </row>
    <row r="211" spans="85:103" x14ac:dyDescent="0.2">
      <c r="CG211" s="278"/>
      <c r="CH211" s="281"/>
      <c r="CI211" s="281"/>
      <c r="CJ211" s="281"/>
      <c r="CK211" s="281"/>
      <c r="CL211" s="281"/>
      <c r="CM211" s="519"/>
      <c r="CN211" s="519"/>
      <c r="CO211" s="519"/>
      <c r="CP211" s="519"/>
      <c r="CQ211" s="519"/>
      <c r="CR211" s="545"/>
      <c r="CX211" s="1"/>
      <c r="CY211" s="1"/>
    </row>
    <row r="212" spans="85:103" x14ac:dyDescent="0.2">
      <c r="CG212" s="278"/>
      <c r="CH212" s="281"/>
      <c r="CI212" s="281"/>
      <c r="CJ212" s="281"/>
      <c r="CK212" s="281"/>
      <c r="CL212" s="281"/>
      <c r="CM212" s="519"/>
      <c r="CN212" s="519"/>
      <c r="CO212" s="519"/>
      <c r="CP212" s="519"/>
      <c r="CQ212" s="519"/>
      <c r="CR212" s="545"/>
      <c r="CX212" s="1"/>
      <c r="CY212" s="1"/>
    </row>
    <row r="213" spans="85:103" x14ac:dyDescent="0.2">
      <c r="CG213" s="278"/>
      <c r="CH213" s="281"/>
      <c r="CI213" s="281"/>
      <c r="CJ213" s="281"/>
      <c r="CK213" s="281"/>
      <c r="CL213" s="281"/>
      <c r="CM213" s="519"/>
      <c r="CN213" s="519"/>
      <c r="CO213" s="519"/>
      <c r="CP213" s="519"/>
      <c r="CQ213" s="519"/>
      <c r="CR213" s="545"/>
      <c r="CX213" s="1"/>
      <c r="CY213" s="1"/>
    </row>
    <row r="214" spans="85:103" x14ac:dyDescent="0.2">
      <c r="CG214" s="278"/>
      <c r="CH214" s="281"/>
      <c r="CI214" s="281"/>
      <c r="CJ214" s="281"/>
      <c r="CK214" s="281"/>
      <c r="CL214" s="281"/>
      <c r="CM214" s="519"/>
      <c r="CN214" s="519"/>
      <c r="CO214" s="519"/>
      <c r="CP214" s="519"/>
      <c r="CQ214" s="519"/>
      <c r="CR214" s="545"/>
      <c r="CX214" s="1"/>
      <c r="CY214" s="1"/>
    </row>
    <row r="215" spans="85:103" x14ac:dyDescent="0.2">
      <c r="CG215" s="278"/>
      <c r="CH215" s="281"/>
      <c r="CI215" s="281"/>
      <c r="CJ215" s="281"/>
      <c r="CK215" s="281"/>
      <c r="CL215" s="281"/>
      <c r="CM215" s="519"/>
      <c r="CN215" s="519"/>
      <c r="CO215" s="519"/>
      <c r="CP215" s="519"/>
      <c r="CQ215" s="519"/>
      <c r="CR215" s="545"/>
      <c r="CX215" s="1"/>
      <c r="CY215" s="1"/>
    </row>
    <row r="216" spans="85:103" x14ac:dyDescent="0.2">
      <c r="CG216" s="278"/>
      <c r="CH216" s="281"/>
      <c r="CI216" s="281"/>
      <c r="CJ216" s="281"/>
      <c r="CK216" s="281"/>
      <c r="CL216" s="281"/>
      <c r="CM216" s="519"/>
      <c r="CN216" s="519"/>
      <c r="CO216" s="519"/>
      <c r="CP216" s="519"/>
      <c r="CQ216" s="519"/>
      <c r="CR216" s="545"/>
      <c r="CX216" s="1"/>
      <c r="CY216" s="1"/>
    </row>
    <row r="217" spans="85:103" x14ac:dyDescent="0.2">
      <c r="CG217" s="278"/>
      <c r="CH217" s="281"/>
      <c r="CI217" s="281"/>
      <c r="CJ217" s="281"/>
      <c r="CK217" s="281"/>
      <c r="CL217" s="281"/>
      <c r="CM217" s="519"/>
      <c r="CN217" s="519"/>
      <c r="CO217" s="519"/>
      <c r="CP217" s="519"/>
      <c r="CQ217" s="519"/>
      <c r="CR217" s="545"/>
      <c r="CX217" s="1"/>
      <c r="CY217" s="1"/>
    </row>
    <row r="218" spans="85:103" x14ac:dyDescent="0.2">
      <c r="CG218" s="278"/>
      <c r="CH218" s="281"/>
      <c r="CI218" s="281"/>
      <c r="CJ218" s="281"/>
      <c r="CK218" s="281"/>
      <c r="CL218" s="281"/>
      <c r="CM218" s="519"/>
      <c r="CN218" s="519"/>
      <c r="CO218" s="519"/>
      <c r="CP218" s="519"/>
      <c r="CQ218" s="519"/>
      <c r="CR218" s="545"/>
      <c r="CX218" s="1"/>
      <c r="CY218" s="1"/>
    </row>
    <row r="219" spans="85:103" x14ac:dyDescent="0.2">
      <c r="CG219" s="278"/>
      <c r="CH219" s="281"/>
      <c r="CI219" s="281"/>
      <c r="CJ219" s="281"/>
      <c r="CK219" s="281"/>
      <c r="CL219" s="281"/>
      <c r="CM219" s="519"/>
      <c r="CN219" s="519"/>
      <c r="CO219" s="519"/>
      <c r="CP219" s="519"/>
      <c r="CQ219" s="519"/>
      <c r="CR219" s="545"/>
      <c r="CX219" s="1"/>
      <c r="CY219" s="1"/>
    </row>
    <row r="220" spans="85:103" x14ac:dyDescent="0.2">
      <c r="CG220" s="278"/>
      <c r="CH220" s="281"/>
      <c r="CI220" s="281"/>
      <c r="CJ220" s="281"/>
      <c r="CK220" s="281"/>
      <c r="CL220" s="281"/>
      <c r="CM220" s="519"/>
      <c r="CN220" s="519"/>
      <c r="CO220" s="519"/>
      <c r="CP220" s="519"/>
      <c r="CQ220" s="519"/>
      <c r="CR220" s="545"/>
      <c r="CX220" s="1"/>
      <c r="CY220" s="1"/>
    </row>
    <row r="221" spans="85:103" x14ac:dyDescent="0.2">
      <c r="CG221" s="278"/>
      <c r="CH221" s="281"/>
      <c r="CI221" s="281"/>
      <c r="CJ221" s="281"/>
      <c r="CK221" s="281"/>
      <c r="CL221" s="281"/>
      <c r="CM221" s="519"/>
      <c r="CN221" s="519"/>
      <c r="CO221" s="519"/>
      <c r="CP221" s="519"/>
      <c r="CQ221" s="519"/>
      <c r="CR221" s="545"/>
      <c r="CX221" s="1"/>
      <c r="CY221" s="1"/>
    </row>
    <row r="222" spans="85:103" x14ac:dyDescent="0.2">
      <c r="CG222" s="278"/>
      <c r="CH222" s="281"/>
      <c r="CI222" s="281"/>
      <c r="CJ222" s="281"/>
      <c r="CK222" s="281"/>
      <c r="CL222" s="281"/>
      <c r="CM222" s="519"/>
      <c r="CN222" s="519"/>
      <c r="CO222" s="519"/>
      <c r="CP222" s="519"/>
      <c r="CQ222" s="519"/>
      <c r="CR222" s="545"/>
      <c r="CX222" s="1"/>
      <c r="CY222" s="1"/>
    </row>
    <row r="223" spans="85:103" x14ac:dyDescent="0.2">
      <c r="CG223" s="278"/>
      <c r="CH223" s="281"/>
      <c r="CI223" s="281"/>
      <c r="CJ223" s="281"/>
      <c r="CK223" s="281"/>
      <c r="CL223" s="281"/>
      <c r="CM223" s="519"/>
      <c r="CN223" s="519"/>
      <c r="CO223" s="519"/>
      <c r="CP223" s="519"/>
      <c r="CQ223" s="519"/>
      <c r="CR223" s="545"/>
      <c r="CX223" s="1"/>
      <c r="CY223" s="1"/>
    </row>
    <row r="224" spans="85:103" x14ac:dyDescent="0.2">
      <c r="CG224" s="278"/>
      <c r="CH224" s="281"/>
      <c r="CI224" s="281"/>
      <c r="CJ224" s="281"/>
      <c r="CK224" s="281"/>
      <c r="CL224" s="281"/>
      <c r="CM224" s="519"/>
      <c r="CN224" s="519"/>
      <c r="CO224" s="519"/>
      <c r="CP224" s="519"/>
      <c r="CQ224" s="519"/>
      <c r="CR224" s="545"/>
      <c r="CX224" s="1"/>
      <c r="CY224" s="1"/>
    </row>
    <row r="225" spans="85:103" x14ac:dyDescent="0.2">
      <c r="CG225" s="278"/>
      <c r="CH225" s="281"/>
      <c r="CI225" s="281"/>
      <c r="CJ225" s="281"/>
      <c r="CK225" s="281"/>
      <c r="CL225" s="281"/>
      <c r="CM225" s="519"/>
      <c r="CN225" s="519"/>
      <c r="CO225" s="519"/>
      <c r="CP225" s="519"/>
      <c r="CQ225" s="519"/>
      <c r="CR225" s="545"/>
      <c r="CX225" s="1"/>
      <c r="CY225" s="1"/>
    </row>
    <row r="226" spans="85:103" x14ac:dyDescent="0.2">
      <c r="CG226" s="278"/>
      <c r="CH226" s="281"/>
      <c r="CI226" s="281"/>
      <c r="CJ226" s="281"/>
      <c r="CK226" s="281"/>
      <c r="CL226" s="281"/>
      <c r="CM226" s="519"/>
      <c r="CN226" s="519"/>
      <c r="CO226" s="519"/>
      <c r="CP226" s="519"/>
      <c r="CQ226" s="519"/>
      <c r="CR226" s="545"/>
      <c r="CX226" s="1"/>
      <c r="CY226" s="1"/>
    </row>
    <row r="227" spans="85:103" x14ac:dyDescent="0.2">
      <c r="CG227" s="278"/>
      <c r="CH227" s="281"/>
      <c r="CI227" s="281"/>
      <c r="CJ227" s="281"/>
      <c r="CK227" s="281"/>
      <c r="CL227" s="281"/>
      <c r="CM227" s="519"/>
      <c r="CN227" s="519"/>
      <c r="CO227" s="519"/>
      <c r="CP227" s="519"/>
      <c r="CQ227" s="519"/>
      <c r="CR227" s="545"/>
      <c r="CX227" s="1"/>
      <c r="CY227" s="1"/>
    </row>
    <row r="228" spans="85:103" x14ac:dyDescent="0.2">
      <c r="CG228" s="278"/>
      <c r="CH228" s="281"/>
      <c r="CI228" s="281"/>
      <c r="CJ228" s="281"/>
      <c r="CK228" s="281"/>
      <c r="CL228" s="281"/>
      <c r="CM228" s="519"/>
      <c r="CN228" s="519"/>
      <c r="CO228" s="519"/>
      <c r="CP228" s="519"/>
      <c r="CQ228" s="519"/>
      <c r="CR228" s="545"/>
      <c r="CX228" s="1"/>
      <c r="CY228" s="1"/>
    </row>
    <row r="229" spans="85:103" x14ac:dyDescent="0.2">
      <c r="CG229" s="278"/>
      <c r="CH229" s="281"/>
      <c r="CI229" s="281"/>
      <c r="CJ229" s="281"/>
      <c r="CK229" s="281"/>
      <c r="CL229" s="281"/>
      <c r="CM229" s="519"/>
      <c r="CN229" s="519"/>
      <c r="CO229" s="519"/>
      <c r="CP229" s="519"/>
      <c r="CQ229" s="519"/>
      <c r="CR229" s="545"/>
      <c r="CX229" s="1"/>
      <c r="CY229" s="1"/>
    </row>
    <row r="230" spans="85:103" x14ac:dyDescent="0.2">
      <c r="CG230" s="278"/>
      <c r="CH230" s="281"/>
      <c r="CI230" s="281"/>
      <c r="CJ230" s="281"/>
      <c r="CK230" s="281"/>
      <c r="CL230" s="281"/>
      <c r="CM230" s="519"/>
      <c r="CN230" s="519"/>
      <c r="CO230" s="519"/>
      <c r="CP230" s="519"/>
      <c r="CQ230" s="519"/>
      <c r="CR230" s="545"/>
      <c r="CX230" s="1"/>
      <c r="CY230" s="1"/>
    </row>
    <row r="231" spans="85:103" x14ac:dyDescent="0.2">
      <c r="CG231" s="278"/>
      <c r="CH231" s="281"/>
      <c r="CI231" s="281"/>
      <c r="CJ231" s="281"/>
      <c r="CK231" s="281"/>
      <c r="CL231" s="281"/>
      <c r="CM231" s="519"/>
      <c r="CN231" s="519"/>
      <c r="CO231" s="519"/>
      <c r="CP231" s="519"/>
      <c r="CQ231" s="519"/>
      <c r="CR231" s="545"/>
      <c r="CX231" s="1"/>
      <c r="CY231" s="1"/>
    </row>
    <row r="232" spans="85:103" x14ac:dyDescent="0.2">
      <c r="CG232" s="278"/>
      <c r="CH232" s="281"/>
      <c r="CI232" s="281"/>
      <c r="CJ232" s="281"/>
      <c r="CK232" s="281"/>
      <c r="CL232" s="281"/>
      <c r="CM232" s="519"/>
      <c r="CN232" s="519"/>
      <c r="CO232" s="519"/>
      <c r="CP232" s="519"/>
      <c r="CQ232" s="519"/>
      <c r="CR232" s="545"/>
      <c r="CX232" s="1"/>
      <c r="CY232" s="1"/>
    </row>
    <row r="233" spans="85:103" x14ac:dyDescent="0.2">
      <c r="CG233" s="278"/>
      <c r="CH233" s="281"/>
      <c r="CI233" s="281"/>
      <c r="CJ233" s="281"/>
      <c r="CK233" s="281"/>
      <c r="CL233" s="281"/>
      <c r="CM233" s="519"/>
      <c r="CN233" s="519"/>
      <c r="CO233" s="519"/>
      <c r="CP233" s="519"/>
      <c r="CQ233" s="519"/>
      <c r="CR233" s="545"/>
      <c r="CX233" s="1"/>
      <c r="CY233" s="1"/>
    </row>
    <row r="234" spans="85:103" x14ac:dyDescent="0.2">
      <c r="CG234" s="278"/>
      <c r="CH234" s="281"/>
      <c r="CI234" s="281"/>
      <c r="CJ234" s="281"/>
      <c r="CK234" s="281"/>
      <c r="CL234" s="281"/>
      <c r="CM234" s="519"/>
      <c r="CN234" s="519"/>
      <c r="CO234" s="519"/>
      <c r="CP234" s="519"/>
      <c r="CQ234" s="519"/>
      <c r="CR234" s="545"/>
      <c r="CX234" s="1"/>
      <c r="CY234" s="1"/>
    </row>
    <row r="235" spans="85:103" x14ac:dyDescent="0.2">
      <c r="CG235" s="278"/>
      <c r="CH235" s="281"/>
      <c r="CI235" s="281"/>
      <c r="CJ235" s="281"/>
      <c r="CK235" s="281"/>
      <c r="CL235" s="281"/>
      <c r="CM235" s="519"/>
      <c r="CN235" s="519"/>
      <c r="CO235" s="519"/>
      <c r="CP235" s="519"/>
      <c r="CQ235" s="519"/>
      <c r="CR235" s="545"/>
      <c r="CX235" s="1"/>
      <c r="CY235" s="1"/>
    </row>
    <row r="236" spans="85:103" x14ac:dyDescent="0.2">
      <c r="CG236" s="278"/>
      <c r="CH236" s="281"/>
      <c r="CI236" s="281"/>
      <c r="CJ236" s="281"/>
      <c r="CK236" s="281"/>
      <c r="CL236" s="281"/>
      <c r="CM236" s="519"/>
      <c r="CN236" s="519"/>
      <c r="CO236" s="519"/>
      <c r="CP236" s="519"/>
      <c r="CQ236" s="519"/>
      <c r="CR236" s="545"/>
      <c r="CX236" s="1"/>
      <c r="CY236" s="1"/>
    </row>
    <row r="237" spans="85:103" x14ac:dyDescent="0.2">
      <c r="CG237" s="278"/>
      <c r="CH237" s="281"/>
      <c r="CI237" s="281"/>
      <c r="CJ237" s="281"/>
      <c r="CK237" s="281"/>
      <c r="CL237" s="281"/>
      <c r="CM237" s="519"/>
      <c r="CN237" s="519"/>
      <c r="CO237" s="519"/>
      <c r="CP237" s="519"/>
      <c r="CQ237" s="519"/>
      <c r="CR237" s="545"/>
      <c r="CX237" s="1"/>
      <c r="CY237" s="1"/>
    </row>
    <row r="238" spans="85:103" x14ac:dyDescent="0.2">
      <c r="CG238" s="278"/>
      <c r="CH238" s="281"/>
      <c r="CI238" s="281"/>
      <c r="CJ238" s="281"/>
      <c r="CK238" s="281"/>
      <c r="CL238" s="281"/>
      <c r="CM238" s="519"/>
      <c r="CN238" s="519"/>
      <c r="CO238" s="519"/>
      <c r="CP238" s="519"/>
      <c r="CQ238" s="519"/>
      <c r="CR238" s="545"/>
      <c r="CX238" s="1"/>
      <c r="CY238" s="1"/>
    </row>
    <row r="239" spans="85:103" x14ac:dyDescent="0.2">
      <c r="CG239" s="278"/>
      <c r="CH239" s="281"/>
      <c r="CI239" s="281"/>
      <c r="CJ239" s="281"/>
      <c r="CK239" s="281"/>
      <c r="CL239" s="281"/>
      <c r="CM239" s="519"/>
      <c r="CN239" s="519"/>
      <c r="CO239" s="519"/>
      <c r="CP239" s="519"/>
      <c r="CQ239" s="519"/>
      <c r="CR239" s="545"/>
      <c r="CX239" s="1"/>
      <c r="CY239" s="1"/>
    </row>
    <row r="240" spans="85:103" x14ac:dyDescent="0.2">
      <c r="CG240" s="278"/>
      <c r="CH240" s="281"/>
      <c r="CI240" s="281"/>
      <c r="CJ240" s="281"/>
      <c r="CK240" s="281"/>
      <c r="CL240" s="281"/>
      <c r="CM240" s="519"/>
      <c r="CN240" s="519"/>
      <c r="CO240" s="519"/>
      <c r="CP240" s="519"/>
      <c r="CQ240" s="519"/>
      <c r="CR240" s="545"/>
      <c r="CX240" s="1"/>
      <c r="CY240" s="1"/>
    </row>
    <row r="241" spans="85:103" x14ac:dyDescent="0.2">
      <c r="CG241" s="278"/>
      <c r="CH241" s="281"/>
      <c r="CI241" s="281"/>
      <c r="CJ241" s="281"/>
      <c r="CK241" s="281"/>
      <c r="CL241" s="281"/>
      <c r="CM241" s="519"/>
      <c r="CN241" s="519"/>
      <c r="CO241" s="519"/>
      <c r="CP241" s="519"/>
      <c r="CQ241" s="519"/>
      <c r="CR241" s="545"/>
      <c r="CX241" s="1"/>
      <c r="CY241" s="1"/>
    </row>
    <row r="242" spans="85:103" x14ac:dyDescent="0.2">
      <c r="CG242" s="278"/>
      <c r="CH242" s="281"/>
      <c r="CI242" s="281"/>
      <c r="CJ242" s="281"/>
      <c r="CK242" s="281"/>
      <c r="CL242" s="281"/>
      <c r="CM242" s="519"/>
      <c r="CN242" s="519"/>
      <c r="CO242" s="519"/>
      <c r="CP242" s="519"/>
      <c r="CQ242" s="519"/>
      <c r="CR242" s="545"/>
      <c r="CX242" s="1"/>
      <c r="CY242" s="1"/>
    </row>
    <row r="243" spans="85:103" x14ac:dyDescent="0.2">
      <c r="CG243" s="278"/>
      <c r="CH243" s="281"/>
      <c r="CI243" s="281"/>
      <c r="CJ243" s="281"/>
      <c r="CK243" s="281"/>
      <c r="CL243" s="281"/>
      <c r="CM243" s="519"/>
      <c r="CN243" s="519"/>
      <c r="CO243" s="519"/>
      <c r="CP243" s="519"/>
      <c r="CQ243" s="519"/>
      <c r="CR243" s="545"/>
      <c r="CX243" s="1"/>
      <c r="CY243" s="1"/>
    </row>
    <row r="244" spans="85:103" x14ac:dyDescent="0.2">
      <c r="CG244" s="278"/>
      <c r="CH244" s="281"/>
      <c r="CI244" s="281"/>
      <c r="CJ244" s="281"/>
      <c r="CK244" s="281"/>
      <c r="CL244" s="281"/>
      <c r="CM244" s="519"/>
      <c r="CN244" s="519"/>
      <c r="CO244" s="519"/>
      <c r="CP244" s="519"/>
      <c r="CQ244" s="519"/>
      <c r="CR244" s="545"/>
      <c r="CX244" s="1"/>
      <c r="CY244" s="1"/>
    </row>
    <row r="245" spans="85:103" x14ac:dyDescent="0.2">
      <c r="CG245" s="278"/>
      <c r="CH245" s="281"/>
      <c r="CI245" s="281"/>
      <c r="CJ245" s="281"/>
      <c r="CK245" s="281"/>
      <c r="CL245" s="281"/>
      <c r="CM245" s="519"/>
      <c r="CN245" s="519"/>
      <c r="CO245" s="519"/>
      <c r="CP245" s="519"/>
      <c r="CQ245" s="519"/>
      <c r="CR245" s="545"/>
      <c r="CX245" s="1"/>
      <c r="CY245" s="1"/>
    </row>
    <row r="246" spans="85:103" x14ac:dyDescent="0.2">
      <c r="CG246" s="278"/>
      <c r="CH246" s="281"/>
      <c r="CI246" s="281"/>
      <c r="CJ246" s="281"/>
      <c r="CK246" s="281"/>
      <c r="CL246" s="281"/>
      <c r="CM246" s="519"/>
      <c r="CN246" s="519"/>
      <c r="CO246" s="519"/>
      <c r="CP246" s="519"/>
      <c r="CQ246" s="519"/>
      <c r="CR246" s="545"/>
      <c r="CX246" s="1"/>
      <c r="CY246" s="1"/>
    </row>
    <row r="247" spans="85:103" x14ac:dyDescent="0.2">
      <c r="CG247" s="278"/>
      <c r="CH247" s="281"/>
      <c r="CI247" s="281"/>
      <c r="CJ247" s="281"/>
      <c r="CK247" s="281"/>
      <c r="CL247" s="281"/>
      <c r="CM247" s="519"/>
      <c r="CN247" s="519"/>
      <c r="CO247" s="519"/>
      <c r="CP247" s="519"/>
      <c r="CQ247" s="519"/>
      <c r="CR247" s="545"/>
      <c r="CX247" s="1"/>
      <c r="CY247" s="1"/>
    </row>
    <row r="248" spans="85:103" x14ac:dyDescent="0.2">
      <c r="CG248" s="278"/>
      <c r="CH248" s="281"/>
      <c r="CI248" s="281"/>
      <c r="CJ248" s="281"/>
      <c r="CK248" s="281"/>
      <c r="CL248" s="281"/>
      <c r="CM248" s="519"/>
      <c r="CN248" s="519"/>
      <c r="CO248" s="519"/>
      <c r="CP248" s="519"/>
      <c r="CQ248" s="519"/>
      <c r="CR248" s="545"/>
      <c r="CX248" s="1"/>
      <c r="CY248" s="1"/>
    </row>
    <row r="249" spans="85:103" x14ac:dyDescent="0.2">
      <c r="CG249" s="278"/>
      <c r="CH249" s="281"/>
      <c r="CI249" s="281"/>
      <c r="CJ249" s="281"/>
      <c r="CK249" s="281"/>
      <c r="CL249" s="281"/>
      <c r="CM249" s="519"/>
      <c r="CN249" s="519"/>
      <c r="CO249" s="519"/>
      <c r="CP249" s="519"/>
      <c r="CQ249" s="519"/>
      <c r="CR249" s="545"/>
      <c r="CX249" s="1"/>
      <c r="CY249" s="1"/>
    </row>
    <row r="250" spans="85:103" x14ac:dyDescent="0.2">
      <c r="CG250" s="278"/>
      <c r="CH250" s="281"/>
      <c r="CI250" s="281"/>
      <c r="CJ250" s="281"/>
      <c r="CK250" s="281"/>
      <c r="CL250" s="281"/>
      <c r="CM250" s="519"/>
      <c r="CN250" s="519"/>
      <c r="CO250" s="519"/>
      <c r="CP250" s="519"/>
      <c r="CQ250" s="519"/>
      <c r="CR250" s="545"/>
      <c r="CX250" s="1"/>
      <c r="CY250" s="1"/>
    </row>
    <row r="251" spans="85:103" x14ac:dyDescent="0.2">
      <c r="CG251" s="278"/>
      <c r="CH251" s="281"/>
      <c r="CI251" s="281"/>
      <c r="CJ251" s="281"/>
      <c r="CK251" s="281"/>
      <c r="CL251" s="281"/>
      <c r="CM251" s="519"/>
      <c r="CN251" s="519"/>
      <c r="CO251" s="519"/>
      <c r="CP251" s="519"/>
      <c r="CQ251" s="519"/>
      <c r="CR251" s="545"/>
      <c r="CX251" s="1"/>
      <c r="CY251" s="1"/>
    </row>
    <row r="252" spans="85:103" x14ac:dyDescent="0.2">
      <c r="CG252" s="278"/>
      <c r="CH252" s="281"/>
      <c r="CI252" s="281"/>
      <c r="CJ252" s="281"/>
      <c r="CK252" s="281"/>
      <c r="CL252" s="281"/>
      <c r="CM252" s="519"/>
      <c r="CN252" s="519"/>
      <c r="CO252" s="519"/>
      <c r="CP252" s="519"/>
      <c r="CQ252" s="519"/>
      <c r="CR252" s="545"/>
      <c r="CX252" s="1"/>
      <c r="CY252" s="1"/>
    </row>
    <row r="253" spans="85:103" x14ac:dyDescent="0.2">
      <c r="CG253" s="278"/>
      <c r="CH253" s="281"/>
      <c r="CI253" s="281"/>
      <c r="CJ253" s="281"/>
      <c r="CK253" s="281"/>
      <c r="CL253" s="281"/>
      <c r="CM253" s="519"/>
      <c r="CN253" s="519"/>
      <c r="CO253" s="519"/>
      <c r="CP253" s="519"/>
      <c r="CQ253" s="519"/>
      <c r="CR253" s="545"/>
      <c r="CX253" s="1"/>
      <c r="CY253" s="1"/>
    </row>
    <row r="254" spans="85:103" x14ac:dyDescent="0.2">
      <c r="CG254" s="278"/>
      <c r="CH254" s="281"/>
      <c r="CI254" s="281"/>
      <c r="CJ254" s="281"/>
      <c r="CK254" s="281"/>
      <c r="CL254" s="281"/>
      <c r="CM254" s="519"/>
      <c r="CN254" s="519"/>
      <c r="CO254" s="519"/>
      <c r="CP254" s="519"/>
      <c r="CQ254" s="519"/>
      <c r="CR254" s="545"/>
      <c r="CX254" s="1"/>
      <c r="CY254" s="1"/>
    </row>
    <row r="255" spans="85:103" x14ac:dyDescent="0.2">
      <c r="CG255" s="278"/>
      <c r="CH255" s="281"/>
      <c r="CI255" s="281"/>
      <c r="CJ255" s="281"/>
      <c r="CK255" s="281"/>
      <c r="CL255" s="281"/>
      <c r="CM255" s="519"/>
      <c r="CN255" s="519"/>
      <c r="CO255" s="519"/>
      <c r="CP255" s="519"/>
      <c r="CQ255" s="519"/>
      <c r="CR255" s="545"/>
      <c r="CX255" s="1"/>
      <c r="CY255" s="1"/>
    </row>
    <row r="256" spans="85:103" x14ac:dyDescent="0.2">
      <c r="CG256" s="278"/>
      <c r="CH256" s="281"/>
      <c r="CI256" s="281"/>
      <c r="CJ256" s="281"/>
      <c r="CK256" s="281"/>
      <c r="CL256" s="281"/>
      <c r="CM256" s="519"/>
      <c r="CN256" s="519"/>
      <c r="CO256" s="519"/>
      <c r="CP256" s="519"/>
      <c r="CQ256" s="519"/>
      <c r="CR256" s="545"/>
      <c r="CX256" s="1"/>
      <c r="CY256" s="1"/>
    </row>
    <row r="257" spans="85:103" x14ac:dyDescent="0.2">
      <c r="CG257" s="278"/>
      <c r="CH257" s="281"/>
      <c r="CI257" s="281"/>
      <c r="CJ257" s="281"/>
      <c r="CK257" s="281"/>
      <c r="CL257" s="281"/>
      <c r="CM257" s="519"/>
      <c r="CN257" s="519"/>
      <c r="CO257" s="519"/>
      <c r="CP257" s="519"/>
      <c r="CQ257" s="519"/>
      <c r="CR257" s="545"/>
      <c r="CX257" s="1"/>
      <c r="CY257" s="1"/>
    </row>
    <row r="258" spans="85:103" x14ac:dyDescent="0.2">
      <c r="CG258" s="278"/>
      <c r="CH258" s="281"/>
      <c r="CI258" s="281"/>
      <c r="CJ258" s="281"/>
      <c r="CK258" s="281"/>
      <c r="CL258" s="281"/>
      <c r="CM258" s="519"/>
      <c r="CN258" s="519"/>
      <c r="CO258" s="519"/>
      <c r="CP258" s="519"/>
      <c r="CQ258" s="519"/>
      <c r="CR258" s="545"/>
      <c r="CX258" s="1"/>
      <c r="CY258" s="1"/>
    </row>
    <row r="259" spans="85:103" x14ac:dyDescent="0.2">
      <c r="CG259" s="278"/>
      <c r="CH259" s="281"/>
      <c r="CI259" s="281"/>
      <c r="CJ259" s="281"/>
      <c r="CK259" s="281"/>
      <c r="CL259" s="281"/>
      <c r="CM259" s="519"/>
      <c r="CN259" s="519"/>
      <c r="CO259" s="519"/>
      <c r="CP259" s="519"/>
      <c r="CQ259" s="519"/>
      <c r="CR259" s="545"/>
      <c r="CX259" s="1"/>
      <c r="CY259" s="1"/>
    </row>
    <row r="260" spans="85:103" x14ac:dyDescent="0.2">
      <c r="CG260" s="278"/>
      <c r="CH260" s="281"/>
      <c r="CI260" s="281"/>
      <c r="CJ260" s="281"/>
      <c r="CK260" s="281"/>
      <c r="CL260" s="281"/>
      <c r="CM260" s="519"/>
      <c r="CN260" s="519"/>
      <c r="CO260" s="519"/>
      <c r="CP260" s="519"/>
      <c r="CQ260" s="519"/>
      <c r="CR260" s="545"/>
      <c r="CX260" s="1"/>
      <c r="CY260" s="1"/>
    </row>
    <row r="261" spans="85:103" x14ac:dyDescent="0.2">
      <c r="CG261" s="278"/>
      <c r="CH261" s="281"/>
      <c r="CI261" s="281"/>
      <c r="CJ261" s="281"/>
      <c r="CK261" s="281"/>
      <c r="CL261" s="281"/>
      <c r="CM261" s="519"/>
      <c r="CN261" s="519"/>
      <c r="CO261" s="519"/>
      <c r="CP261" s="519"/>
      <c r="CQ261" s="519"/>
      <c r="CR261" s="545"/>
      <c r="CX261" s="1"/>
      <c r="CY261" s="1"/>
    </row>
    <row r="262" spans="85:103" x14ac:dyDescent="0.2">
      <c r="CG262" s="278"/>
      <c r="CH262" s="281"/>
      <c r="CI262" s="281"/>
      <c r="CJ262" s="281"/>
      <c r="CK262" s="281"/>
      <c r="CL262" s="281"/>
      <c r="CM262" s="519"/>
      <c r="CN262" s="519"/>
      <c r="CO262" s="519"/>
      <c r="CP262" s="519"/>
      <c r="CQ262" s="519"/>
      <c r="CR262" s="545"/>
      <c r="CX262" s="1"/>
      <c r="CY262" s="1"/>
    </row>
    <row r="263" spans="85:103" x14ac:dyDescent="0.2">
      <c r="CG263" s="278"/>
      <c r="CH263" s="281"/>
      <c r="CI263" s="281"/>
      <c r="CJ263" s="281"/>
      <c r="CK263" s="281"/>
      <c r="CL263" s="281"/>
      <c r="CM263" s="519"/>
      <c r="CN263" s="519"/>
      <c r="CO263" s="519"/>
      <c r="CP263" s="519"/>
      <c r="CQ263" s="519"/>
      <c r="CR263" s="545"/>
      <c r="CX263" s="1"/>
      <c r="CY263" s="1"/>
    </row>
    <row r="264" spans="85:103" x14ac:dyDescent="0.2">
      <c r="CG264" s="278"/>
      <c r="CH264" s="281"/>
      <c r="CI264" s="281"/>
      <c r="CJ264" s="281"/>
      <c r="CK264" s="281"/>
      <c r="CL264" s="281"/>
      <c r="CM264" s="519"/>
      <c r="CN264" s="519"/>
      <c r="CO264" s="519"/>
      <c r="CP264" s="519"/>
      <c r="CQ264" s="519"/>
      <c r="CR264" s="545"/>
      <c r="CX264" s="1"/>
      <c r="CY264" s="1"/>
    </row>
    <row r="265" spans="85:103" x14ac:dyDescent="0.2">
      <c r="CG265" s="278"/>
      <c r="CH265" s="281"/>
      <c r="CI265" s="281"/>
      <c r="CJ265" s="281"/>
      <c r="CK265" s="281"/>
      <c r="CL265" s="281"/>
      <c r="CM265" s="519"/>
      <c r="CN265" s="519"/>
      <c r="CO265" s="519"/>
      <c r="CP265" s="519"/>
      <c r="CQ265" s="519"/>
      <c r="CR265" s="545"/>
      <c r="CX265" s="1"/>
      <c r="CY265" s="1"/>
    </row>
    <row r="266" spans="85:103" x14ac:dyDescent="0.2">
      <c r="CG266" s="278"/>
      <c r="CH266" s="281"/>
      <c r="CI266" s="281"/>
      <c r="CJ266" s="281"/>
      <c r="CK266" s="281"/>
      <c r="CL266" s="281"/>
      <c r="CM266" s="519"/>
      <c r="CN266" s="519"/>
      <c r="CO266" s="519"/>
      <c r="CP266" s="519"/>
      <c r="CQ266" s="519"/>
      <c r="CR266" s="545"/>
      <c r="CX266" s="1"/>
      <c r="CY266" s="1"/>
    </row>
    <row r="267" spans="85:103" x14ac:dyDescent="0.2">
      <c r="CG267" s="278"/>
      <c r="CH267" s="281"/>
      <c r="CI267" s="281"/>
      <c r="CJ267" s="281"/>
      <c r="CK267" s="281"/>
      <c r="CL267" s="281"/>
      <c r="CM267" s="519"/>
      <c r="CN267" s="519"/>
      <c r="CO267" s="519"/>
      <c r="CP267" s="519"/>
      <c r="CQ267" s="519"/>
      <c r="CR267" s="545"/>
      <c r="CX267" s="1"/>
      <c r="CY267" s="1"/>
    </row>
    <row r="268" spans="85:103" x14ac:dyDescent="0.2">
      <c r="CX268" s="1"/>
      <c r="CY268" s="1"/>
    </row>
    <row r="269" spans="85:103" x14ac:dyDescent="0.2">
      <c r="CX269" s="1"/>
      <c r="CY269" s="1"/>
    </row>
    <row r="270" spans="85:103" x14ac:dyDescent="0.2">
      <c r="CX270" s="1"/>
      <c r="CY270" s="1"/>
    </row>
    <row r="271" spans="85:103" x14ac:dyDescent="0.2">
      <c r="CX271" s="1"/>
      <c r="CY271" s="1"/>
    </row>
    <row r="272" spans="85:103" x14ac:dyDescent="0.2">
      <c r="CX272" s="1"/>
      <c r="CY272" s="1"/>
    </row>
    <row r="273" spans="102:103" x14ac:dyDescent="0.2">
      <c r="CX273" s="1"/>
      <c r="CY273" s="1"/>
    </row>
    <row r="274" spans="102:103" x14ac:dyDescent="0.2">
      <c r="CX274" s="1"/>
      <c r="CY274" s="1"/>
    </row>
    <row r="275" spans="102:103" x14ac:dyDescent="0.2">
      <c r="CX275" s="1"/>
      <c r="CY275" s="1"/>
    </row>
    <row r="276" spans="102:103" x14ac:dyDescent="0.2">
      <c r="CX276" s="1"/>
      <c r="CY276" s="1"/>
    </row>
    <row r="277" spans="102:103" x14ac:dyDescent="0.2">
      <c r="CX277" s="1"/>
      <c r="CY277" s="1"/>
    </row>
    <row r="278" spans="102:103" x14ac:dyDescent="0.2">
      <c r="CX278" s="1"/>
      <c r="CY278" s="1"/>
    </row>
    <row r="279" spans="102:103" x14ac:dyDescent="0.2">
      <c r="CX279" s="1"/>
      <c r="CY279" s="1"/>
    </row>
    <row r="280" spans="102:103" x14ac:dyDescent="0.2">
      <c r="CX280" s="1"/>
      <c r="CY280" s="1"/>
    </row>
    <row r="281" spans="102:103" x14ac:dyDescent="0.2">
      <c r="CX281" s="1"/>
      <c r="CY281" s="1"/>
    </row>
    <row r="282" spans="102:103" x14ac:dyDescent="0.2">
      <c r="CX282" s="1"/>
      <c r="CY282" s="1"/>
    </row>
    <row r="283" spans="102:103" x14ac:dyDescent="0.2">
      <c r="CX283" s="1"/>
      <c r="CY283" s="1"/>
    </row>
    <row r="284" spans="102:103" x14ac:dyDescent="0.2">
      <c r="CX284" s="1"/>
      <c r="CY284" s="1"/>
    </row>
    <row r="285" spans="102:103" x14ac:dyDescent="0.2">
      <c r="CX285" s="1"/>
      <c r="CY285" s="1"/>
    </row>
    <row r="286" spans="102:103" x14ac:dyDescent="0.2">
      <c r="CX286" s="1"/>
      <c r="CY286" s="1"/>
    </row>
    <row r="287" spans="102:103" x14ac:dyDescent="0.2">
      <c r="CX287" s="1"/>
      <c r="CY287" s="1"/>
    </row>
    <row r="288" spans="102:103" x14ac:dyDescent="0.2">
      <c r="CX288" s="1"/>
      <c r="CY288" s="1"/>
    </row>
    <row r="289" spans="102:103" x14ac:dyDescent="0.2">
      <c r="CX289" s="1"/>
      <c r="CY289" s="1"/>
    </row>
    <row r="290" spans="102:103" x14ac:dyDescent="0.2">
      <c r="CX290" s="1"/>
      <c r="CY290" s="1"/>
    </row>
    <row r="291" spans="102:103" x14ac:dyDescent="0.2">
      <c r="CX291" s="1"/>
      <c r="CY291" s="1"/>
    </row>
    <row r="292" spans="102:103" x14ac:dyDescent="0.2">
      <c r="CX292" s="1"/>
      <c r="CY292" s="1"/>
    </row>
    <row r="293" spans="102:103" x14ac:dyDescent="0.2">
      <c r="CX293" s="1"/>
      <c r="CY293" s="1"/>
    </row>
    <row r="294" spans="102:103" x14ac:dyDescent="0.2">
      <c r="CX294" s="1"/>
      <c r="CY294" s="1"/>
    </row>
    <row r="295" spans="102:103" x14ac:dyDescent="0.2">
      <c r="CX295" s="1"/>
      <c r="CY295" s="1"/>
    </row>
    <row r="296" spans="102:103" x14ac:dyDescent="0.2">
      <c r="CX296" s="1"/>
      <c r="CY296" s="1"/>
    </row>
    <row r="297" spans="102:103" x14ac:dyDescent="0.2">
      <c r="CX297" s="1"/>
      <c r="CY297" s="1"/>
    </row>
    <row r="298" spans="102:103" x14ac:dyDescent="0.2">
      <c r="CX298" s="1"/>
      <c r="CY298" s="1"/>
    </row>
    <row r="299" spans="102:103" x14ac:dyDescent="0.2">
      <c r="CX299" s="1"/>
      <c r="CY299" s="1"/>
    </row>
    <row r="300" spans="102:103" x14ac:dyDescent="0.2">
      <c r="CX300" s="1"/>
      <c r="CY300" s="1"/>
    </row>
    <row r="301" spans="102:103" x14ac:dyDescent="0.2">
      <c r="CX301" s="1"/>
      <c r="CY301" s="1"/>
    </row>
    <row r="302" spans="102:103" x14ac:dyDescent="0.2">
      <c r="CX302" s="1"/>
      <c r="CY302" s="1"/>
    </row>
    <row r="303" spans="102:103" x14ac:dyDescent="0.2">
      <c r="CX303" s="1"/>
      <c r="CY303" s="1"/>
    </row>
    <row r="304" spans="102:103" x14ac:dyDescent="0.2">
      <c r="CX304" s="1"/>
      <c r="CY304" s="1"/>
    </row>
    <row r="305" spans="102:103" x14ac:dyDescent="0.2">
      <c r="CX305" s="1"/>
      <c r="CY305" s="1"/>
    </row>
    <row r="306" spans="102:103" x14ac:dyDescent="0.2">
      <c r="CX306" s="1"/>
      <c r="CY306" s="1"/>
    </row>
    <row r="307" spans="102:103" x14ac:dyDescent="0.2">
      <c r="CX307" s="1"/>
      <c r="CY307" s="1"/>
    </row>
    <row r="308" spans="102:103" x14ac:dyDescent="0.2">
      <c r="CX308" s="1"/>
      <c r="CY308" s="1"/>
    </row>
    <row r="309" spans="102:103" x14ac:dyDescent="0.2">
      <c r="CX309" s="1"/>
      <c r="CY309" s="1"/>
    </row>
    <row r="310" spans="102:103" x14ac:dyDescent="0.2">
      <c r="CX310" s="1"/>
      <c r="CY310" s="1"/>
    </row>
    <row r="311" spans="102:103" x14ac:dyDescent="0.2">
      <c r="CX311" s="1"/>
      <c r="CY311" s="1"/>
    </row>
    <row r="312" spans="102:103" x14ac:dyDescent="0.2">
      <c r="CX312" s="1"/>
      <c r="CY312" s="1"/>
    </row>
    <row r="313" spans="102:103" x14ac:dyDescent="0.2">
      <c r="CX313" s="1"/>
      <c r="CY313" s="1"/>
    </row>
    <row r="314" spans="102:103" x14ac:dyDescent="0.2">
      <c r="CX314" s="1"/>
      <c r="CY314" s="1"/>
    </row>
    <row r="315" spans="102:103" x14ac:dyDescent="0.2">
      <c r="CX315" s="1"/>
      <c r="CY315" s="1"/>
    </row>
    <row r="316" spans="102:103" x14ac:dyDescent="0.2">
      <c r="CX316" s="1"/>
      <c r="CY316" s="1"/>
    </row>
    <row r="317" spans="102:103" x14ac:dyDescent="0.2">
      <c r="CX317" s="1"/>
      <c r="CY317" s="1"/>
    </row>
    <row r="318" spans="102:103" x14ac:dyDescent="0.2">
      <c r="CX318" s="1"/>
      <c r="CY318" s="1"/>
    </row>
    <row r="319" spans="102:103" x14ac:dyDescent="0.2">
      <c r="CX319" s="1"/>
      <c r="CY319" s="1"/>
    </row>
    <row r="320" spans="102:103" x14ac:dyDescent="0.2">
      <c r="CX320" s="1"/>
      <c r="CY320" s="1"/>
    </row>
    <row r="321" spans="102:103" x14ac:dyDescent="0.2">
      <c r="CX321" s="1"/>
      <c r="CY321" s="1"/>
    </row>
    <row r="322" spans="102:103" x14ac:dyDescent="0.2">
      <c r="CX322" s="1"/>
      <c r="CY322" s="1"/>
    </row>
    <row r="323" spans="102:103" x14ac:dyDescent="0.2">
      <c r="CX323" s="1"/>
      <c r="CY323" s="1"/>
    </row>
    <row r="324" spans="102:103" x14ac:dyDescent="0.2">
      <c r="CX324" s="1"/>
      <c r="CY324" s="1"/>
    </row>
    <row r="325" spans="102:103" x14ac:dyDescent="0.2">
      <c r="CX325" s="1"/>
      <c r="CY325" s="1"/>
    </row>
    <row r="326" spans="102:103" x14ac:dyDescent="0.2">
      <c r="CX326" s="1"/>
      <c r="CY326" s="1"/>
    </row>
    <row r="327" spans="102:103" x14ac:dyDescent="0.2">
      <c r="CX327" s="1"/>
      <c r="CY327" s="1"/>
    </row>
    <row r="328" spans="102:103" x14ac:dyDescent="0.2">
      <c r="CX328" s="1"/>
      <c r="CY328" s="1"/>
    </row>
    <row r="329" spans="102:103" x14ac:dyDescent="0.2">
      <c r="CX329" s="1"/>
      <c r="CY329" s="1"/>
    </row>
    <row r="330" spans="102:103" x14ac:dyDescent="0.2">
      <c r="CX330" s="1"/>
      <c r="CY330" s="1"/>
    </row>
    <row r="331" spans="102:103" x14ac:dyDescent="0.2">
      <c r="CX331" s="1"/>
      <c r="CY331" s="1"/>
    </row>
    <row r="332" spans="102:103" x14ac:dyDescent="0.2">
      <c r="CX332" s="1"/>
      <c r="CY332" s="1"/>
    </row>
    <row r="333" spans="102:103" x14ac:dyDescent="0.2">
      <c r="CX333" s="1"/>
      <c r="CY333" s="1"/>
    </row>
    <row r="334" spans="102:103" x14ac:dyDescent="0.2">
      <c r="CX334" s="1"/>
      <c r="CY334" s="1"/>
    </row>
    <row r="335" spans="102:103" x14ac:dyDescent="0.2">
      <c r="CX335" s="1"/>
      <c r="CY335" s="1"/>
    </row>
    <row r="336" spans="102:103" x14ac:dyDescent="0.2">
      <c r="CX336" s="1"/>
      <c r="CY336" s="1"/>
    </row>
    <row r="337" spans="102:103" x14ac:dyDescent="0.2">
      <c r="CX337" s="1"/>
      <c r="CY337" s="1"/>
    </row>
    <row r="338" spans="102:103" x14ac:dyDescent="0.2">
      <c r="CX338" s="1"/>
      <c r="CY338" s="1"/>
    </row>
    <row r="339" spans="102:103" x14ac:dyDescent="0.2">
      <c r="CX339" s="1"/>
      <c r="CY339" s="1"/>
    </row>
    <row r="340" spans="102:103" x14ac:dyDescent="0.2">
      <c r="CX340" s="1"/>
      <c r="CY340" s="1"/>
    </row>
    <row r="341" spans="102:103" x14ac:dyDescent="0.2">
      <c r="CX341" s="1"/>
      <c r="CY341" s="1"/>
    </row>
    <row r="342" spans="102:103" x14ac:dyDescent="0.2">
      <c r="CX342" s="1"/>
      <c r="CY342" s="1"/>
    </row>
    <row r="343" spans="102:103" x14ac:dyDescent="0.2">
      <c r="CX343" s="1"/>
      <c r="CY343" s="1"/>
    </row>
    <row r="344" spans="102:103" x14ac:dyDescent="0.2">
      <c r="CX344" s="1"/>
      <c r="CY344" s="1"/>
    </row>
    <row r="345" spans="102:103" x14ac:dyDescent="0.2">
      <c r="CX345" s="1"/>
      <c r="CY345" s="1"/>
    </row>
    <row r="346" spans="102:103" x14ac:dyDescent="0.2">
      <c r="CX346" s="1"/>
      <c r="CY346" s="1"/>
    </row>
    <row r="347" spans="102:103" x14ac:dyDescent="0.2">
      <c r="CX347" s="1"/>
      <c r="CY347" s="1"/>
    </row>
    <row r="348" spans="102:103" x14ac:dyDescent="0.2">
      <c r="CX348" s="1"/>
      <c r="CY348" s="1"/>
    </row>
    <row r="349" spans="102:103" x14ac:dyDescent="0.2">
      <c r="CX349" s="1"/>
      <c r="CY349" s="1"/>
    </row>
    <row r="350" spans="102:103" x14ac:dyDescent="0.2">
      <c r="CX350" s="1"/>
      <c r="CY350" s="1"/>
    </row>
    <row r="351" spans="102:103" x14ac:dyDescent="0.2">
      <c r="CX351" s="1"/>
      <c r="CY351" s="1"/>
    </row>
    <row r="352" spans="102:103" x14ac:dyDescent="0.2">
      <c r="CX352" s="1"/>
      <c r="CY352" s="1"/>
    </row>
    <row r="353" spans="102:103" x14ac:dyDescent="0.2">
      <c r="CX353" s="1"/>
      <c r="CY353" s="1"/>
    </row>
    <row r="354" spans="102:103" x14ac:dyDescent="0.2">
      <c r="CX354" s="1"/>
      <c r="CY354" s="1"/>
    </row>
    <row r="355" spans="102:103" x14ac:dyDescent="0.2">
      <c r="CX355" s="1"/>
      <c r="CY355" s="1"/>
    </row>
    <row r="356" spans="102:103" x14ac:dyDescent="0.2">
      <c r="CX356" s="1"/>
      <c r="CY356" s="1"/>
    </row>
    <row r="357" spans="102:103" x14ac:dyDescent="0.2">
      <c r="CX357" s="1"/>
      <c r="CY357" s="1"/>
    </row>
    <row r="358" spans="102:103" x14ac:dyDescent="0.2">
      <c r="CX358" s="1"/>
      <c r="CY358" s="1"/>
    </row>
    <row r="359" spans="102:103" x14ac:dyDescent="0.2">
      <c r="CX359" s="1"/>
      <c r="CY359" s="1"/>
    </row>
    <row r="360" spans="102:103" x14ac:dyDescent="0.2">
      <c r="CX360" s="1"/>
      <c r="CY360" s="1"/>
    </row>
    <row r="361" spans="102:103" x14ac:dyDescent="0.2">
      <c r="CX361" s="1"/>
      <c r="CY361" s="1"/>
    </row>
    <row r="362" spans="102:103" x14ac:dyDescent="0.2">
      <c r="CX362" s="1"/>
      <c r="CY362" s="1"/>
    </row>
    <row r="363" spans="102:103" x14ac:dyDescent="0.2">
      <c r="CX363" s="1"/>
      <c r="CY363" s="1"/>
    </row>
    <row r="364" spans="102:103" x14ac:dyDescent="0.2">
      <c r="CX364" s="1"/>
      <c r="CY364" s="1"/>
    </row>
    <row r="365" spans="102:103" x14ac:dyDescent="0.2">
      <c r="CX365" s="1"/>
      <c r="CY365" s="1"/>
    </row>
    <row r="366" spans="102:103" x14ac:dyDescent="0.2">
      <c r="CX366" s="1"/>
      <c r="CY366" s="1"/>
    </row>
    <row r="367" spans="102:103" x14ac:dyDescent="0.2">
      <c r="CX367" s="1"/>
      <c r="CY367" s="1"/>
    </row>
    <row r="368" spans="102:103" x14ac:dyDescent="0.2">
      <c r="CX368" s="1"/>
      <c r="CY368" s="1"/>
    </row>
    <row r="369" spans="102:103" x14ac:dyDescent="0.2">
      <c r="CX369" s="1"/>
      <c r="CY369" s="1"/>
    </row>
    <row r="370" spans="102:103" x14ac:dyDescent="0.2">
      <c r="CX370" s="1"/>
      <c r="CY370" s="1"/>
    </row>
    <row r="371" spans="102:103" x14ac:dyDescent="0.2">
      <c r="CX371" s="1"/>
      <c r="CY371" s="1"/>
    </row>
    <row r="372" spans="102:103" x14ac:dyDescent="0.2">
      <c r="CX372" s="1"/>
      <c r="CY372" s="1"/>
    </row>
    <row r="373" spans="102:103" x14ac:dyDescent="0.2">
      <c r="CX373" s="1"/>
      <c r="CY373" s="1"/>
    </row>
    <row r="374" spans="102:103" x14ac:dyDescent="0.2">
      <c r="CX374" s="1"/>
      <c r="CY374" s="1"/>
    </row>
    <row r="375" spans="102:103" x14ac:dyDescent="0.2">
      <c r="CX375" s="1"/>
      <c r="CY375" s="1"/>
    </row>
    <row r="376" spans="102:103" x14ac:dyDescent="0.2">
      <c r="CX376" s="1"/>
      <c r="CY376" s="1"/>
    </row>
    <row r="377" spans="102:103" x14ac:dyDescent="0.2">
      <c r="CX377" s="1"/>
      <c r="CY377" s="1"/>
    </row>
    <row r="378" spans="102:103" x14ac:dyDescent="0.2">
      <c r="CX378" s="1"/>
      <c r="CY378" s="1"/>
    </row>
    <row r="379" spans="102:103" x14ac:dyDescent="0.2">
      <c r="CX379" s="1"/>
      <c r="CY379" s="1"/>
    </row>
    <row r="380" spans="102:103" x14ac:dyDescent="0.2">
      <c r="CX380" s="1"/>
      <c r="CY380" s="1"/>
    </row>
    <row r="381" spans="102:103" x14ac:dyDescent="0.2">
      <c r="CX381" s="1"/>
      <c r="CY381" s="1"/>
    </row>
    <row r="382" spans="102:103" x14ac:dyDescent="0.2">
      <c r="CX382" s="1"/>
      <c r="CY382" s="1"/>
    </row>
    <row r="383" spans="102:103" x14ac:dyDescent="0.2">
      <c r="CX383" s="1"/>
      <c r="CY383" s="1"/>
    </row>
    <row r="384" spans="102:103" x14ac:dyDescent="0.2">
      <c r="CX384" s="1"/>
      <c r="CY384" s="1"/>
    </row>
    <row r="385" spans="102:103" x14ac:dyDescent="0.2">
      <c r="CX385" s="1"/>
      <c r="CY385" s="1"/>
    </row>
    <row r="386" spans="102:103" x14ac:dyDescent="0.2">
      <c r="CX386" s="1"/>
      <c r="CY386" s="1"/>
    </row>
    <row r="387" spans="102:103" x14ac:dyDescent="0.2">
      <c r="CX387" s="1"/>
      <c r="CY387" s="1"/>
    </row>
    <row r="388" spans="102:103" x14ac:dyDescent="0.2">
      <c r="CX388" s="1"/>
      <c r="CY388" s="1"/>
    </row>
    <row r="389" spans="102:103" x14ac:dyDescent="0.2">
      <c r="CX389" s="1"/>
      <c r="CY389" s="1"/>
    </row>
    <row r="390" spans="102:103" x14ac:dyDescent="0.2">
      <c r="CX390" s="1"/>
      <c r="CY390" s="1"/>
    </row>
    <row r="391" spans="102:103" x14ac:dyDescent="0.2">
      <c r="CX391" s="1"/>
      <c r="CY391" s="1"/>
    </row>
    <row r="392" spans="102:103" x14ac:dyDescent="0.2">
      <c r="CX392" s="1"/>
      <c r="CY392" s="1"/>
    </row>
    <row r="393" spans="102:103" x14ac:dyDescent="0.2">
      <c r="CX393" s="1"/>
      <c r="CY393" s="1"/>
    </row>
    <row r="394" spans="102:103" x14ac:dyDescent="0.2">
      <c r="CX394" s="1"/>
      <c r="CY394" s="1"/>
    </row>
    <row r="395" spans="102:103" x14ac:dyDescent="0.2">
      <c r="CX395" s="1"/>
      <c r="CY395" s="1"/>
    </row>
    <row r="396" spans="102:103" x14ac:dyDescent="0.2">
      <c r="CX396" s="1"/>
      <c r="CY396" s="1"/>
    </row>
    <row r="397" spans="102:103" x14ac:dyDescent="0.2">
      <c r="CX397" s="1"/>
      <c r="CY397" s="1"/>
    </row>
    <row r="398" spans="102:103" x14ac:dyDescent="0.2">
      <c r="CX398" s="1"/>
      <c r="CY398" s="1"/>
    </row>
    <row r="399" spans="102:103" x14ac:dyDescent="0.2">
      <c r="CX399" s="1"/>
      <c r="CY399" s="1"/>
    </row>
    <row r="400" spans="102:103" x14ac:dyDescent="0.2">
      <c r="CX400" s="1"/>
      <c r="CY400" s="1"/>
    </row>
    <row r="401" spans="102:103" x14ac:dyDescent="0.2">
      <c r="CX401" s="1"/>
      <c r="CY401" s="1"/>
    </row>
    <row r="402" spans="102:103" x14ac:dyDescent="0.2">
      <c r="CX402" s="1"/>
      <c r="CY402" s="1"/>
    </row>
    <row r="403" spans="102:103" x14ac:dyDescent="0.2">
      <c r="CX403" s="1"/>
      <c r="CY403" s="1"/>
    </row>
    <row r="404" spans="102:103" x14ac:dyDescent="0.2">
      <c r="CX404" s="1"/>
      <c r="CY404" s="1"/>
    </row>
    <row r="405" spans="102:103" x14ac:dyDescent="0.2">
      <c r="CX405" s="1"/>
      <c r="CY405" s="1"/>
    </row>
    <row r="406" spans="102:103" x14ac:dyDescent="0.2">
      <c r="CX406" s="1"/>
      <c r="CY406" s="1"/>
    </row>
    <row r="407" spans="102:103" x14ac:dyDescent="0.2">
      <c r="CX407" s="1"/>
      <c r="CY407" s="1"/>
    </row>
    <row r="408" spans="102:103" x14ac:dyDescent="0.2">
      <c r="CX408" s="1"/>
      <c r="CY408" s="1"/>
    </row>
    <row r="409" spans="102:103" x14ac:dyDescent="0.2">
      <c r="CX409" s="1"/>
      <c r="CY409" s="1"/>
    </row>
    <row r="410" spans="102:103" x14ac:dyDescent="0.2">
      <c r="CX410" s="1"/>
      <c r="CY410" s="1"/>
    </row>
    <row r="411" spans="102:103" x14ac:dyDescent="0.2">
      <c r="CX411" s="1"/>
      <c r="CY411" s="1"/>
    </row>
    <row r="412" spans="102:103" x14ac:dyDescent="0.2">
      <c r="CX412" s="1"/>
      <c r="CY412" s="1"/>
    </row>
    <row r="413" spans="102:103" x14ac:dyDescent="0.2">
      <c r="CX413" s="1"/>
      <c r="CY413" s="1"/>
    </row>
  </sheetData>
  <sortState xmlns:xlrd2="http://schemas.microsoft.com/office/spreadsheetml/2017/richdata2" ref="N3:N18">
    <sortCondition ref="N3:N18"/>
  </sortState>
  <mergeCells count="1">
    <mergeCell ref="I1:J1"/>
  </mergeCells>
  <dataValidations count="1">
    <dataValidation type="list" allowBlank="1" showInputMessage="1" showErrorMessage="1" sqref="CE3:CE32 CC3:CC32 CA3:CA32 BY3:BY32 BU3:BU32 BS3:BS32 BE3:BE32 BO3:BO32 BM3:BM32 BK3:BK32 BQ3:BQ32 BG3:BG33 BI3:BI21 BI23:BI32" xr:uid="{A3E2F3A2-86A4-480F-A444-60432403ADD8}">
      <formula1>Listado_clientes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8292-4E8A-45E7-BC49-60AE5EB45BF5}">
  <sheetPr codeName="Hoja2">
    <tabColor theme="9" tint="-0.249977111117893"/>
  </sheetPr>
  <dimension ref="A1:L570"/>
  <sheetViews>
    <sheetView topLeftCell="A72" workbookViewId="0">
      <selection activeCell="A93" sqref="A1:A1048576"/>
    </sheetView>
  </sheetViews>
  <sheetFormatPr baseColWidth="10" defaultColWidth="11.42578125" defaultRowHeight="12.75" x14ac:dyDescent="0.2"/>
  <cols>
    <col min="1" max="1" width="54.5703125" customWidth="1"/>
    <col min="5" max="5" width="11.42578125" style="70"/>
    <col min="6" max="6" width="16.5703125" style="100" customWidth="1"/>
    <col min="7" max="7" width="14.5703125" style="384" customWidth="1"/>
    <col min="8" max="8" width="6.42578125" customWidth="1"/>
    <col min="9" max="9" width="35.5703125" style="236" customWidth="1"/>
    <col min="10" max="10" width="13.5703125" customWidth="1"/>
  </cols>
  <sheetData>
    <row r="1" spans="1:12" x14ac:dyDescent="0.2">
      <c r="A1" s="511" t="s">
        <v>295</v>
      </c>
      <c r="B1" s="512" t="s">
        <v>231</v>
      </c>
      <c r="C1" s="513" t="s">
        <v>1558</v>
      </c>
      <c r="D1" s="514" t="s">
        <v>1559</v>
      </c>
      <c r="E1" s="524" t="s">
        <v>1560</v>
      </c>
      <c r="F1" s="515" t="s">
        <v>1561</v>
      </c>
      <c r="G1" s="526"/>
      <c r="I1" s="521" t="s">
        <v>1562</v>
      </c>
      <c r="J1" s="520" t="s">
        <v>1128</v>
      </c>
      <c r="K1" s="520" t="s">
        <v>1563</v>
      </c>
      <c r="L1" s="520" t="s">
        <v>310</v>
      </c>
    </row>
    <row r="2" spans="1:12" x14ac:dyDescent="0.2">
      <c r="A2" s="516" t="s">
        <v>1564</v>
      </c>
      <c r="B2" s="517">
        <v>13543.590000000002</v>
      </c>
      <c r="C2" s="517">
        <v>0</v>
      </c>
      <c r="D2" s="517">
        <v>13543.590000000002</v>
      </c>
      <c r="E2" s="525">
        <v>53554</v>
      </c>
      <c r="F2" s="539">
        <v>1</v>
      </c>
      <c r="G2" s="527"/>
      <c r="I2" s="532" t="s">
        <v>1565</v>
      </c>
      <c r="J2" s="533" t="s">
        <v>1566</v>
      </c>
      <c r="K2" s="534">
        <v>46000158</v>
      </c>
      <c r="L2" s="529">
        <v>29459</v>
      </c>
    </row>
    <row r="3" spans="1:12" x14ac:dyDescent="0.2">
      <c r="A3" s="516" t="s">
        <v>1567</v>
      </c>
      <c r="B3" s="517">
        <v>2979.76</v>
      </c>
      <c r="C3" s="517">
        <v>0</v>
      </c>
      <c r="D3" s="517">
        <v>2979.76</v>
      </c>
      <c r="E3" s="525">
        <v>0</v>
      </c>
      <c r="F3" s="539">
        <v>1</v>
      </c>
      <c r="G3" s="527"/>
      <c r="I3" s="530" t="s">
        <v>1565</v>
      </c>
      <c r="J3" s="531" t="s">
        <v>1568</v>
      </c>
      <c r="K3" s="529" t="s">
        <v>447</v>
      </c>
      <c r="L3" s="529"/>
    </row>
    <row r="4" spans="1:12" x14ac:dyDescent="0.2">
      <c r="A4" s="516" t="s">
        <v>1569</v>
      </c>
      <c r="B4" s="517">
        <v>17.93</v>
      </c>
      <c r="C4" s="517">
        <v>0</v>
      </c>
      <c r="D4" s="517">
        <v>17.93</v>
      </c>
      <c r="E4" s="525">
        <v>0</v>
      </c>
      <c r="F4" s="539">
        <v>1</v>
      </c>
      <c r="G4" s="527"/>
      <c r="I4" s="528" t="s">
        <v>1570</v>
      </c>
      <c r="J4" s="529" t="s">
        <v>1571</v>
      </c>
      <c r="K4" s="529">
        <v>46013475</v>
      </c>
      <c r="L4" s="529">
        <v>0</v>
      </c>
    </row>
    <row r="5" spans="1:12" x14ac:dyDescent="0.2">
      <c r="A5" s="516" t="s">
        <v>1572</v>
      </c>
      <c r="B5" s="517">
        <v>66.900000000000006</v>
      </c>
      <c r="C5" s="517">
        <v>0</v>
      </c>
      <c r="D5" s="517">
        <v>66.900000000000006</v>
      </c>
      <c r="E5" s="525">
        <v>0</v>
      </c>
      <c r="F5" s="539">
        <v>1</v>
      </c>
      <c r="G5" s="527"/>
      <c r="I5" s="528" t="s">
        <v>1570</v>
      </c>
      <c r="J5" s="529" t="s">
        <v>1573</v>
      </c>
      <c r="K5" s="529">
        <v>46013475</v>
      </c>
      <c r="L5" s="529">
        <v>0</v>
      </c>
    </row>
    <row r="6" spans="1:12" x14ac:dyDescent="0.2">
      <c r="A6" s="516" t="s">
        <v>1574</v>
      </c>
      <c r="B6" s="517">
        <v>4917.4800000000005</v>
      </c>
      <c r="C6" s="517">
        <v>1164.1099999999999</v>
      </c>
      <c r="D6" s="517">
        <v>3753.3700000000003</v>
      </c>
      <c r="E6" s="525">
        <v>52790</v>
      </c>
      <c r="F6" s="539">
        <v>0.76327102499654298</v>
      </c>
      <c r="G6" s="527"/>
      <c r="I6" s="528" t="s">
        <v>1575</v>
      </c>
      <c r="J6" s="529" t="s">
        <v>1576</v>
      </c>
      <c r="K6" s="529" t="s">
        <v>1577</v>
      </c>
      <c r="L6" s="529">
        <v>0</v>
      </c>
    </row>
    <row r="7" spans="1:12" x14ac:dyDescent="0.2">
      <c r="A7" s="516" t="s">
        <v>1578</v>
      </c>
      <c r="B7" s="517">
        <v>21796.61</v>
      </c>
      <c r="C7" s="517">
        <v>10673.47</v>
      </c>
      <c r="D7" s="517">
        <v>11123.14</v>
      </c>
      <c r="E7" s="525">
        <v>0</v>
      </c>
      <c r="F7" s="539">
        <v>0.51031513616108193</v>
      </c>
      <c r="G7" s="527"/>
      <c r="I7" s="528" t="s">
        <v>1579</v>
      </c>
      <c r="J7" s="529" t="s">
        <v>1580</v>
      </c>
      <c r="K7" s="534" t="s">
        <v>647</v>
      </c>
      <c r="L7" s="529">
        <v>0</v>
      </c>
    </row>
    <row r="8" spans="1:12" x14ac:dyDescent="0.2">
      <c r="A8" s="516" t="s">
        <v>1581</v>
      </c>
      <c r="B8" s="517">
        <v>3687.63</v>
      </c>
      <c r="C8" s="517">
        <v>1917.4699999999998</v>
      </c>
      <c r="D8" s="517">
        <v>1770.1599999999999</v>
      </c>
      <c r="E8" s="525">
        <v>29490</v>
      </c>
      <c r="F8" s="539">
        <v>0.480026466863541</v>
      </c>
      <c r="G8" s="527"/>
      <c r="I8" s="535" t="s">
        <v>1579</v>
      </c>
      <c r="J8" s="536" t="s">
        <v>1582</v>
      </c>
      <c r="K8" s="534" t="s">
        <v>647</v>
      </c>
      <c r="L8" s="529"/>
    </row>
    <row r="9" spans="1:12" x14ac:dyDescent="0.2">
      <c r="A9" s="516" t="s">
        <v>1583</v>
      </c>
      <c r="B9" s="517">
        <v>3862.5</v>
      </c>
      <c r="C9" s="517">
        <v>2027.8799999999999</v>
      </c>
      <c r="D9" s="517">
        <v>1834.62</v>
      </c>
      <c r="E9" s="525">
        <v>29476</v>
      </c>
      <c r="F9" s="539">
        <v>0.47498252427184462</v>
      </c>
      <c r="G9" s="527"/>
      <c r="I9" s="528" t="s">
        <v>1584</v>
      </c>
      <c r="J9" s="529" t="s">
        <v>1585</v>
      </c>
      <c r="K9" s="529" t="s">
        <v>445</v>
      </c>
      <c r="L9" s="529">
        <v>29359</v>
      </c>
    </row>
    <row r="10" spans="1:12" x14ac:dyDescent="0.2">
      <c r="A10" s="516" t="s">
        <v>1586</v>
      </c>
      <c r="B10" s="517">
        <v>4161.369999999999</v>
      </c>
      <c r="C10" s="517">
        <v>2429.0699999999997</v>
      </c>
      <c r="D10" s="517">
        <v>1732.2999999999997</v>
      </c>
      <c r="E10" s="525">
        <v>29436</v>
      </c>
      <c r="F10" s="539">
        <v>0.41628117663173431</v>
      </c>
      <c r="G10" s="527"/>
      <c r="I10" s="528" t="s">
        <v>1584</v>
      </c>
      <c r="J10" s="529" t="s">
        <v>1587</v>
      </c>
      <c r="K10" s="529" t="s">
        <v>445</v>
      </c>
      <c r="L10" s="529">
        <v>0</v>
      </c>
    </row>
    <row r="11" spans="1:12" x14ac:dyDescent="0.2">
      <c r="A11" s="516" t="s">
        <v>1588</v>
      </c>
      <c r="B11" s="517">
        <v>1758.61</v>
      </c>
      <c r="C11" s="517">
        <v>1031.26</v>
      </c>
      <c r="D11" s="517">
        <v>727.35000000000014</v>
      </c>
      <c r="E11" s="525">
        <v>29648</v>
      </c>
      <c r="F11" s="539">
        <v>0.413593690471452</v>
      </c>
      <c r="G11" s="527"/>
      <c r="I11" s="528" t="s">
        <v>1589</v>
      </c>
      <c r="J11" s="529" t="s">
        <v>1590</v>
      </c>
      <c r="K11" s="529" t="s">
        <v>480</v>
      </c>
      <c r="L11" s="529"/>
    </row>
    <row r="12" spans="1:12" x14ac:dyDescent="0.2">
      <c r="A12" s="516" t="s">
        <v>1591</v>
      </c>
      <c r="B12" s="517">
        <v>46401.109999999993</v>
      </c>
      <c r="C12" s="517">
        <v>29636.17</v>
      </c>
      <c r="D12" s="517">
        <v>16764.940000000002</v>
      </c>
      <c r="E12" s="525">
        <v>52983</v>
      </c>
      <c r="F12" s="539">
        <v>0.36130471878797737</v>
      </c>
      <c r="G12" s="527"/>
      <c r="I12" s="528" t="s">
        <v>1589</v>
      </c>
      <c r="J12" s="529" t="s">
        <v>1592</v>
      </c>
      <c r="K12" s="529" t="s">
        <v>480</v>
      </c>
      <c r="L12" s="529">
        <v>0</v>
      </c>
    </row>
    <row r="13" spans="1:12" x14ac:dyDescent="0.2">
      <c r="A13" s="516" t="s">
        <v>1593</v>
      </c>
      <c r="B13" s="517">
        <v>324861.61000000004</v>
      </c>
      <c r="C13" s="517">
        <v>212634.49</v>
      </c>
      <c r="D13" s="517">
        <v>112227.11999999995</v>
      </c>
      <c r="E13" s="525"/>
      <c r="G13" s="384">
        <v>0.34546131812866387</v>
      </c>
      <c r="I13" s="532" t="s">
        <v>1594</v>
      </c>
      <c r="J13" s="533" t="s">
        <v>1595</v>
      </c>
      <c r="K13" s="534" t="s">
        <v>1596</v>
      </c>
      <c r="L13" s="529">
        <v>0</v>
      </c>
    </row>
    <row r="14" spans="1:12" x14ac:dyDescent="0.2">
      <c r="A14" s="516" t="s">
        <v>1597</v>
      </c>
      <c r="B14" s="517">
        <v>10547.379999999997</v>
      </c>
      <c r="C14" s="517">
        <v>7249.01</v>
      </c>
      <c r="D14" s="517">
        <v>3298.37</v>
      </c>
      <c r="E14" s="525">
        <v>29398</v>
      </c>
      <c r="F14" s="539">
        <v>0.31271936727414779</v>
      </c>
      <c r="G14" s="527"/>
      <c r="I14" s="532" t="s">
        <v>1594</v>
      </c>
      <c r="J14" s="533" t="s">
        <v>1598</v>
      </c>
      <c r="K14" s="534" t="s">
        <v>1596</v>
      </c>
      <c r="L14" s="529">
        <v>53748</v>
      </c>
    </row>
    <row r="15" spans="1:12" x14ac:dyDescent="0.2">
      <c r="A15" s="516" t="s">
        <v>1599</v>
      </c>
      <c r="B15" s="517">
        <v>31982.51</v>
      </c>
      <c r="C15" s="517">
        <v>22006.27</v>
      </c>
      <c r="D15" s="517">
        <v>9976.2400000000016</v>
      </c>
      <c r="E15" s="525">
        <v>54234</v>
      </c>
      <c r="F15" s="539">
        <v>0.31192798814101841</v>
      </c>
      <c r="G15" s="527"/>
      <c r="I15" s="532" t="s">
        <v>1594</v>
      </c>
      <c r="J15" s="533" t="s">
        <v>1595</v>
      </c>
      <c r="K15" s="534" t="s">
        <v>1596</v>
      </c>
      <c r="L15" s="529">
        <v>53748</v>
      </c>
    </row>
    <row r="16" spans="1:12" x14ac:dyDescent="0.2">
      <c r="A16" s="516" t="s">
        <v>1600</v>
      </c>
      <c r="B16" s="517">
        <v>44734.969999999979</v>
      </c>
      <c r="C16" s="517">
        <v>31921.749999999993</v>
      </c>
      <c r="D16" s="517">
        <v>12813.219999999998</v>
      </c>
      <c r="E16" s="525">
        <v>29408</v>
      </c>
      <c r="F16" s="539">
        <v>0.28642513899081645</v>
      </c>
      <c r="G16" s="527"/>
      <c r="I16" s="528" t="s">
        <v>1601</v>
      </c>
      <c r="J16" s="529" t="s">
        <v>1602</v>
      </c>
      <c r="K16" s="529" t="s">
        <v>661</v>
      </c>
      <c r="L16" s="529">
        <v>53716</v>
      </c>
    </row>
    <row r="17" spans="1:12" x14ac:dyDescent="0.2">
      <c r="A17" s="516" t="s">
        <v>1603</v>
      </c>
      <c r="B17" s="517">
        <v>57414.09</v>
      </c>
      <c r="C17" s="517">
        <v>41382.589999999989</v>
      </c>
      <c r="D17" s="517">
        <v>16031.500000000002</v>
      </c>
      <c r="E17" s="525">
        <v>29471</v>
      </c>
      <c r="F17" s="539">
        <v>0.27922588340248888</v>
      </c>
      <c r="G17" s="527"/>
      <c r="I17" s="528" t="s">
        <v>1601</v>
      </c>
      <c r="J17" s="529" t="s">
        <v>1604</v>
      </c>
      <c r="K17" s="529" t="s">
        <v>661</v>
      </c>
      <c r="L17" s="529">
        <v>53716</v>
      </c>
    </row>
    <row r="18" spans="1:12" x14ac:dyDescent="0.2">
      <c r="A18" s="516" t="s">
        <v>1605</v>
      </c>
      <c r="B18" s="517">
        <v>40761.46</v>
      </c>
      <c r="C18" s="517">
        <v>29465.079999999987</v>
      </c>
      <c r="D18" s="517">
        <v>11296.379999999996</v>
      </c>
      <c r="E18" s="525">
        <v>29516</v>
      </c>
      <c r="F18" s="539">
        <v>0.27713384162392601</v>
      </c>
      <c r="G18" s="527"/>
      <c r="I18" s="528" t="s">
        <v>1606</v>
      </c>
      <c r="J18" s="529" t="s">
        <v>1607</v>
      </c>
      <c r="K18" s="529">
        <v>46015174</v>
      </c>
      <c r="L18" s="529">
        <v>29476</v>
      </c>
    </row>
    <row r="19" spans="1:12" x14ac:dyDescent="0.2">
      <c r="A19" s="516" t="s">
        <v>1608</v>
      </c>
      <c r="B19" s="517">
        <v>18585.920000000002</v>
      </c>
      <c r="C19" s="517">
        <v>13505.29</v>
      </c>
      <c r="D19" s="517">
        <v>5080.63</v>
      </c>
      <c r="E19" s="525">
        <v>29487</v>
      </c>
      <c r="F19" s="539">
        <v>0.273359080422169</v>
      </c>
      <c r="G19" s="527"/>
      <c r="I19" s="528" t="s">
        <v>1609</v>
      </c>
      <c r="J19" s="529" t="s">
        <v>1610</v>
      </c>
      <c r="K19" s="529" t="s">
        <v>1611</v>
      </c>
      <c r="L19" s="529">
        <v>53715</v>
      </c>
    </row>
    <row r="20" spans="1:12" x14ac:dyDescent="0.2">
      <c r="A20" s="516" t="s">
        <v>1575</v>
      </c>
      <c r="B20" s="517">
        <v>15313.61</v>
      </c>
      <c r="C20" s="517">
        <v>11360.210000000001</v>
      </c>
      <c r="D20" s="517">
        <v>3953.4</v>
      </c>
      <c r="E20" s="525">
        <v>29359</v>
      </c>
      <c r="F20" s="539">
        <v>0.25816251034210747</v>
      </c>
      <c r="G20" s="527"/>
      <c r="I20" s="528" t="s">
        <v>1612</v>
      </c>
      <c r="J20" s="529" t="s">
        <v>1613</v>
      </c>
      <c r="K20" s="529" t="s">
        <v>1614</v>
      </c>
      <c r="L20" s="529">
        <v>53715</v>
      </c>
    </row>
    <row r="21" spans="1:12" x14ac:dyDescent="0.2">
      <c r="A21" s="516" t="s">
        <v>1615</v>
      </c>
      <c r="B21" s="517">
        <v>113086.27000000005</v>
      </c>
      <c r="C21" s="517">
        <v>84218.690000000017</v>
      </c>
      <c r="D21" s="517">
        <v>28867.579999999998</v>
      </c>
      <c r="E21" s="525">
        <v>53981</v>
      </c>
      <c r="F21" s="539">
        <v>0.2552704231910734</v>
      </c>
      <c r="G21" s="527"/>
      <c r="I21" s="528" t="s">
        <v>1616</v>
      </c>
      <c r="J21" s="529" t="s">
        <v>1617</v>
      </c>
      <c r="K21" s="529" t="s">
        <v>1618</v>
      </c>
      <c r="L21" s="529">
        <v>29334</v>
      </c>
    </row>
    <row r="22" spans="1:12" x14ac:dyDescent="0.2">
      <c r="A22" s="516" t="s">
        <v>1619</v>
      </c>
      <c r="B22" s="517">
        <v>18389.650000000001</v>
      </c>
      <c r="C22" s="517">
        <v>13856.73</v>
      </c>
      <c r="D22" s="517">
        <v>4532.92</v>
      </c>
      <c r="E22" s="525">
        <v>29303</v>
      </c>
      <c r="F22" s="539">
        <v>0.24649300013866493</v>
      </c>
      <c r="G22" s="527"/>
      <c r="I22" s="528" t="s">
        <v>1620</v>
      </c>
      <c r="J22" s="529" t="s">
        <v>1621</v>
      </c>
      <c r="K22" s="529" t="s">
        <v>468</v>
      </c>
      <c r="L22" s="529">
        <v>29334</v>
      </c>
    </row>
    <row r="23" spans="1:12" x14ac:dyDescent="0.2">
      <c r="A23" s="516" t="s">
        <v>1622</v>
      </c>
      <c r="B23" s="517">
        <v>104760.01999999992</v>
      </c>
      <c r="C23" s="517">
        <v>78951.199999999953</v>
      </c>
      <c r="D23" s="517">
        <v>25808.819999999996</v>
      </c>
      <c r="E23" s="525">
        <v>29691</v>
      </c>
      <c r="F23" s="539">
        <v>0.24636135044647772</v>
      </c>
      <c r="G23" s="527"/>
      <c r="I23" s="528" t="s">
        <v>1620</v>
      </c>
      <c r="J23" s="529" t="s">
        <v>1623</v>
      </c>
      <c r="K23" s="529" t="s">
        <v>468</v>
      </c>
      <c r="L23" s="529">
        <v>29334</v>
      </c>
    </row>
    <row r="24" spans="1:12" x14ac:dyDescent="0.2">
      <c r="A24" s="516" t="s">
        <v>1624</v>
      </c>
      <c r="B24" s="517">
        <v>3951.6299999999997</v>
      </c>
      <c r="C24" s="517">
        <v>3005.13</v>
      </c>
      <c r="D24" s="517">
        <v>946.50000000000011</v>
      </c>
      <c r="E24" s="525">
        <v>29437</v>
      </c>
      <c r="F24" s="539">
        <v>0.23952141268286761</v>
      </c>
      <c r="G24" s="527"/>
      <c r="I24" s="528" t="s">
        <v>1625</v>
      </c>
      <c r="J24" s="529" t="s">
        <v>1626</v>
      </c>
      <c r="K24" s="529" t="s">
        <v>427</v>
      </c>
      <c r="L24" s="529">
        <v>29331</v>
      </c>
    </row>
    <row r="25" spans="1:12" x14ac:dyDescent="0.2">
      <c r="A25" s="516" t="s">
        <v>1627</v>
      </c>
      <c r="B25" s="517">
        <v>9079.7099999999991</v>
      </c>
      <c r="C25" s="517">
        <v>6969.3999999999987</v>
      </c>
      <c r="D25" s="517">
        <v>2110.31</v>
      </c>
      <c r="E25" s="525">
        <v>29399</v>
      </c>
      <c r="F25" s="539">
        <v>0.23242041871381355</v>
      </c>
      <c r="G25" s="527"/>
      <c r="I25" s="528" t="s">
        <v>1625</v>
      </c>
      <c r="J25" s="529" t="s">
        <v>1628</v>
      </c>
      <c r="K25" s="529" t="s">
        <v>427</v>
      </c>
      <c r="L25" s="529">
        <v>29331</v>
      </c>
    </row>
    <row r="26" spans="1:12" x14ac:dyDescent="0.2">
      <c r="A26" s="516" t="s">
        <v>1629</v>
      </c>
      <c r="B26" s="517">
        <v>12092.359999999999</v>
      </c>
      <c r="C26" s="517">
        <v>9318.43</v>
      </c>
      <c r="D26" s="517">
        <v>2773.9300000000012</v>
      </c>
      <c r="E26" s="525">
        <v>54157</v>
      </c>
      <c r="F26" s="539">
        <v>0.22939525452434442</v>
      </c>
      <c r="G26" s="527"/>
      <c r="I26" s="528" t="s">
        <v>1630</v>
      </c>
      <c r="J26" s="529" t="s">
        <v>1631</v>
      </c>
      <c r="K26" s="529" t="s">
        <v>705</v>
      </c>
      <c r="L26" s="529">
        <v>0</v>
      </c>
    </row>
    <row r="27" spans="1:12" x14ac:dyDescent="0.2">
      <c r="A27" s="516" t="s">
        <v>1632</v>
      </c>
      <c r="B27" s="517">
        <v>8711.16</v>
      </c>
      <c r="C27" s="517">
        <v>6721.38</v>
      </c>
      <c r="D27" s="517">
        <v>1989.78</v>
      </c>
      <c r="E27" s="525">
        <v>0</v>
      </c>
      <c r="G27" s="384">
        <v>0.22841734051492568</v>
      </c>
      <c r="I27" s="528" t="s">
        <v>1630</v>
      </c>
      <c r="J27" s="529" t="s">
        <v>1633</v>
      </c>
      <c r="K27" s="529" t="s">
        <v>705</v>
      </c>
      <c r="L27" s="529">
        <v>0</v>
      </c>
    </row>
    <row r="28" spans="1:12" x14ac:dyDescent="0.2">
      <c r="A28" s="516" t="s">
        <v>1634</v>
      </c>
      <c r="B28" s="517">
        <v>75969.119999999966</v>
      </c>
      <c r="C28" s="517">
        <v>58760.939999999966</v>
      </c>
      <c r="D28" s="517">
        <v>17208.18</v>
      </c>
      <c r="E28" s="525">
        <v>29671</v>
      </c>
      <c r="F28" s="539">
        <v>0.22651545785971994</v>
      </c>
      <c r="G28" s="527"/>
      <c r="I28" s="532" t="s">
        <v>1635</v>
      </c>
      <c r="J28" s="533" t="s">
        <v>1636</v>
      </c>
      <c r="K28" s="534" t="s">
        <v>1637</v>
      </c>
      <c r="L28" s="529">
        <v>29371</v>
      </c>
    </row>
    <row r="29" spans="1:12" x14ac:dyDescent="0.2">
      <c r="A29" s="516" t="s">
        <v>1638</v>
      </c>
      <c r="B29" s="517">
        <v>71025.070000000007</v>
      </c>
      <c r="C29" s="517">
        <v>55099.900000000016</v>
      </c>
      <c r="D29" s="517">
        <v>15925.169999999996</v>
      </c>
      <c r="E29" s="525">
        <v>29688</v>
      </c>
      <c r="F29" s="539">
        <v>0.22421899760183264</v>
      </c>
      <c r="G29" s="527"/>
      <c r="I29" s="528" t="s">
        <v>1635</v>
      </c>
      <c r="J29" s="529" t="s">
        <v>1639</v>
      </c>
      <c r="K29" s="529" t="s">
        <v>1637</v>
      </c>
      <c r="L29" s="529">
        <v>51869</v>
      </c>
    </row>
    <row r="30" spans="1:12" x14ac:dyDescent="0.2">
      <c r="A30" s="516" t="s">
        <v>1640</v>
      </c>
      <c r="B30" s="517">
        <v>96059.219999999987</v>
      </c>
      <c r="C30" s="517">
        <v>74684.11</v>
      </c>
      <c r="D30" s="517">
        <v>21375.11</v>
      </c>
      <c r="E30" s="525">
        <v>53755</v>
      </c>
      <c r="F30" s="539">
        <v>0.22252012872892371</v>
      </c>
      <c r="G30" s="527"/>
      <c r="I30" s="528" t="s">
        <v>1641</v>
      </c>
      <c r="J30" s="529" t="s">
        <v>1642</v>
      </c>
      <c r="K30" s="529" t="s">
        <v>632</v>
      </c>
      <c r="L30" s="529">
        <v>0</v>
      </c>
    </row>
    <row r="31" spans="1:12" x14ac:dyDescent="0.2">
      <c r="A31" s="516" t="s">
        <v>1643</v>
      </c>
      <c r="B31" s="517">
        <v>40177.660000000003</v>
      </c>
      <c r="C31" s="517">
        <v>31491.980000000003</v>
      </c>
      <c r="D31" s="517">
        <v>8685.68</v>
      </c>
      <c r="E31" s="525">
        <v>29335</v>
      </c>
      <c r="F31" s="539">
        <v>0.21618182840912087</v>
      </c>
      <c r="G31" s="527"/>
      <c r="I31" s="528" t="s">
        <v>1641</v>
      </c>
      <c r="J31" s="529" t="s">
        <v>1644</v>
      </c>
      <c r="K31" s="529" t="s">
        <v>632</v>
      </c>
      <c r="L31" s="529">
        <v>0</v>
      </c>
    </row>
    <row r="32" spans="1:12" x14ac:dyDescent="0.2">
      <c r="A32" s="516" t="s">
        <v>1601</v>
      </c>
      <c r="B32" s="517">
        <v>54142.470000000008</v>
      </c>
      <c r="C32" s="517">
        <v>42438.170000000006</v>
      </c>
      <c r="D32" s="517">
        <v>11704.3</v>
      </c>
      <c r="E32" s="525">
        <v>29640</v>
      </c>
      <c r="F32" s="539">
        <v>0.21617595207606888</v>
      </c>
      <c r="G32" s="527"/>
      <c r="I32" s="528" t="s">
        <v>1645</v>
      </c>
      <c r="J32" s="529" t="s">
        <v>1646</v>
      </c>
      <c r="K32" s="529" t="s">
        <v>645</v>
      </c>
      <c r="L32" s="529">
        <v>29442</v>
      </c>
    </row>
    <row r="33" spans="1:12" x14ac:dyDescent="0.2">
      <c r="A33" s="516" t="s">
        <v>1647</v>
      </c>
      <c r="B33" s="517">
        <v>82821.809999999939</v>
      </c>
      <c r="C33" s="517">
        <v>64980.509999999987</v>
      </c>
      <c r="D33" s="517">
        <v>17841.3</v>
      </c>
      <c r="E33" s="525">
        <v>29648</v>
      </c>
      <c r="F33" s="539">
        <v>0.21541789535872269</v>
      </c>
      <c r="G33" s="527"/>
      <c r="I33" s="528" t="s">
        <v>1645</v>
      </c>
      <c r="J33" s="529" t="s">
        <v>1648</v>
      </c>
      <c r="K33" s="529" t="s">
        <v>645</v>
      </c>
      <c r="L33" s="529">
        <v>29354</v>
      </c>
    </row>
    <row r="34" spans="1:12" x14ac:dyDescent="0.2">
      <c r="A34" s="516" t="s">
        <v>1649</v>
      </c>
      <c r="B34" s="517">
        <v>42933.879999999961</v>
      </c>
      <c r="C34" s="517">
        <v>34189.319999999978</v>
      </c>
      <c r="D34" s="517">
        <v>8744.5600000000013</v>
      </c>
      <c r="E34" s="525">
        <v>54231</v>
      </c>
      <c r="F34" s="539">
        <v>0.20367504637363334</v>
      </c>
      <c r="G34" s="527"/>
      <c r="I34" s="528" t="s">
        <v>1650</v>
      </c>
      <c r="J34" s="529" t="s">
        <v>1651</v>
      </c>
      <c r="K34" s="529" t="s">
        <v>634</v>
      </c>
      <c r="L34" s="529">
        <v>29354</v>
      </c>
    </row>
    <row r="35" spans="1:12" x14ac:dyDescent="0.2">
      <c r="A35" s="516" t="s">
        <v>1652</v>
      </c>
      <c r="B35" s="517">
        <v>60102.70999999997</v>
      </c>
      <c r="C35" s="517">
        <v>48348.039999999964</v>
      </c>
      <c r="D35" s="517">
        <v>11754.670000000004</v>
      </c>
      <c r="E35" s="525">
        <v>53748</v>
      </c>
      <c r="F35" s="539">
        <v>0.19557637251298668</v>
      </c>
      <c r="G35" s="527"/>
      <c r="I35" s="528" t="s">
        <v>1650</v>
      </c>
      <c r="J35" s="529" t="s">
        <v>1653</v>
      </c>
      <c r="K35" s="529" t="s">
        <v>634</v>
      </c>
      <c r="L35" s="529"/>
    </row>
    <row r="36" spans="1:12" x14ac:dyDescent="0.2">
      <c r="A36" s="516" t="s">
        <v>1606</v>
      </c>
      <c r="B36" s="517">
        <v>19254.980000000003</v>
      </c>
      <c r="C36" s="517">
        <v>15508.940000000002</v>
      </c>
      <c r="D36" s="517">
        <v>3746.0400000000013</v>
      </c>
      <c r="E36" s="525">
        <v>29371</v>
      </c>
      <c r="F36" s="539">
        <v>0.19454915040161042</v>
      </c>
      <c r="G36" s="527"/>
      <c r="I36" s="528" t="s">
        <v>1564</v>
      </c>
      <c r="J36" s="529" t="s">
        <v>1654</v>
      </c>
      <c r="K36" s="529" t="s">
        <v>1655</v>
      </c>
      <c r="L36" s="529"/>
    </row>
    <row r="37" spans="1:12" x14ac:dyDescent="0.2">
      <c r="A37" s="516" t="s">
        <v>1656</v>
      </c>
      <c r="B37" s="517">
        <v>20430.23</v>
      </c>
      <c r="C37" s="517">
        <v>16552.189999999999</v>
      </c>
      <c r="D37" s="517">
        <v>3878.04</v>
      </c>
      <c r="E37" s="525">
        <v>29483</v>
      </c>
      <c r="F37" s="539">
        <v>0.1898187147183365</v>
      </c>
      <c r="G37" s="527"/>
      <c r="I37" s="528" t="s">
        <v>1657</v>
      </c>
      <c r="J37" s="529" t="s">
        <v>1658</v>
      </c>
      <c r="K37" s="529" t="s">
        <v>1659</v>
      </c>
      <c r="L37" s="529">
        <v>29416</v>
      </c>
    </row>
    <row r="38" spans="1:12" x14ac:dyDescent="0.2">
      <c r="A38" s="516" t="s">
        <v>1660</v>
      </c>
      <c r="B38" s="517">
        <v>30249.890000000003</v>
      </c>
      <c r="C38" s="517">
        <v>24521.15</v>
      </c>
      <c r="D38" s="517">
        <v>5728.74</v>
      </c>
      <c r="E38" s="525">
        <v>29466</v>
      </c>
      <c r="F38" s="539">
        <v>0.18938052336719238</v>
      </c>
      <c r="G38" s="527"/>
      <c r="I38" s="528" t="s">
        <v>1661</v>
      </c>
      <c r="J38" s="529" t="s">
        <v>1662</v>
      </c>
      <c r="K38" s="529" t="s">
        <v>1663</v>
      </c>
      <c r="L38" s="529">
        <v>29416</v>
      </c>
    </row>
    <row r="39" spans="1:12" x14ac:dyDescent="0.2">
      <c r="A39" s="516" t="s">
        <v>1664</v>
      </c>
      <c r="B39" s="517">
        <v>70093.289999999979</v>
      </c>
      <c r="C39" s="517">
        <v>56927.59</v>
      </c>
      <c r="D39" s="517">
        <v>13165.700000000004</v>
      </c>
      <c r="E39" s="525">
        <v>29687</v>
      </c>
      <c r="F39" s="539">
        <v>0.18783110337665715</v>
      </c>
      <c r="G39" s="527"/>
      <c r="I39" s="528" t="s">
        <v>1665</v>
      </c>
      <c r="J39" s="529" t="s">
        <v>1666</v>
      </c>
      <c r="K39" s="529">
        <v>0</v>
      </c>
      <c r="L39" s="529">
        <v>29672</v>
      </c>
    </row>
    <row r="40" spans="1:12" x14ac:dyDescent="0.2">
      <c r="A40" s="516" t="s">
        <v>1667</v>
      </c>
      <c r="B40" s="517">
        <v>23058.660000000011</v>
      </c>
      <c r="C40" s="517">
        <v>18834.170000000002</v>
      </c>
      <c r="D40" s="517">
        <v>4224.4900000000007</v>
      </c>
      <c r="E40" s="525">
        <v>29511</v>
      </c>
      <c r="F40" s="539">
        <v>0.18320622273800813</v>
      </c>
      <c r="G40" s="527"/>
      <c r="I40" s="528" t="s">
        <v>1665</v>
      </c>
      <c r="J40" s="529" t="s">
        <v>1666</v>
      </c>
      <c r="K40" s="529">
        <v>0</v>
      </c>
      <c r="L40" s="529">
        <v>29672</v>
      </c>
    </row>
    <row r="41" spans="1:12" x14ac:dyDescent="0.2">
      <c r="A41" s="516" t="s">
        <v>1668</v>
      </c>
      <c r="B41" s="517">
        <v>114150.53999999986</v>
      </c>
      <c r="C41" s="517">
        <v>93770.16999999994</v>
      </c>
      <c r="D41" s="517">
        <v>20380.370000000003</v>
      </c>
      <c r="E41" s="525">
        <v>29344</v>
      </c>
      <c r="F41" s="539">
        <v>0.17853940945001248</v>
      </c>
      <c r="G41" s="527"/>
      <c r="I41" s="528" t="s">
        <v>1665</v>
      </c>
      <c r="J41" s="529" t="s">
        <v>1666</v>
      </c>
      <c r="K41" s="529">
        <v>0</v>
      </c>
      <c r="L41" s="529"/>
    </row>
    <row r="42" spans="1:12" x14ac:dyDescent="0.2">
      <c r="A42" s="516" t="s">
        <v>1669</v>
      </c>
      <c r="B42" s="517">
        <v>7528.25</v>
      </c>
      <c r="C42" s="517">
        <v>6190.0599999999995</v>
      </c>
      <c r="D42" s="517">
        <v>1338.19</v>
      </c>
      <c r="E42" s="525">
        <v>52027</v>
      </c>
      <c r="F42" s="539">
        <v>0.17775578653737589</v>
      </c>
      <c r="G42" s="527"/>
      <c r="I42" s="528" t="s">
        <v>1665</v>
      </c>
      <c r="J42" s="529" t="s">
        <v>1666</v>
      </c>
      <c r="K42" s="529">
        <v>0</v>
      </c>
      <c r="L42" s="529"/>
    </row>
    <row r="43" spans="1:12" x14ac:dyDescent="0.2">
      <c r="A43" s="516" t="s">
        <v>1670</v>
      </c>
      <c r="B43" s="517">
        <v>135442.37</v>
      </c>
      <c r="C43" s="517">
        <v>111613.96000000002</v>
      </c>
      <c r="D43" s="517">
        <v>23828.41</v>
      </c>
      <c r="E43" s="525">
        <v>29367</v>
      </c>
      <c r="F43" s="539">
        <v>0.17593024989152214</v>
      </c>
      <c r="G43" s="527"/>
      <c r="I43" s="528" t="s">
        <v>1665</v>
      </c>
      <c r="J43" s="529" t="s">
        <v>1666</v>
      </c>
      <c r="K43" s="529">
        <v>0</v>
      </c>
      <c r="L43" s="529"/>
    </row>
    <row r="44" spans="1:12" x14ac:dyDescent="0.2">
      <c r="A44" s="516" t="s">
        <v>1671</v>
      </c>
      <c r="B44" s="517">
        <v>37131.65</v>
      </c>
      <c r="C44" s="517">
        <v>30693.26</v>
      </c>
      <c r="D44" s="517">
        <v>6438.39</v>
      </c>
      <c r="E44" s="525"/>
      <c r="F44" s="539">
        <v>0.17339358741127853</v>
      </c>
      <c r="G44" s="527"/>
      <c r="I44" s="528" t="s">
        <v>1665</v>
      </c>
      <c r="J44" s="529" t="s">
        <v>1672</v>
      </c>
      <c r="K44" s="529" t="s">
        <v>1673</v>
      </c>
      <c r="L44" s="529"/>
    </row>
    <row r="45" spans="1:12" x14ac:dyDescent="0.2">
      <c r="A45" s="516" t="s">
        <v>1674</v>
      </c>
      <c r="B45" s="517">
        <v>92513.750000000044</v>
      </c>
      <c r="C45" s="517">
        <v>76892.810000000012</v>
      </c>
      <c r="D45" s="517">
        <v>15620.939999999997</v>
      </c>
      <c r="E45" s="525">
        <v>53745</v>
      </c>
      <c r="F45" s="539">
        <v>0.16884992771344789</v>
      </c>
      <c r="G45" s="527"/>
      <c r="I45" s="528" t="s">
        <v>1665</v>
      </c>
      <c r="J45" s="529" t="s">
        <v>1675</v>
      </c>
      <c r="K45" s="529" t="s">
        <v>1673</v>
      </c>
      <c r="L45" s="529">
        <v>51767</v>
      </c>
    </row>
    <row r="46" spans="1:12" x14ac:dyDescent="0.2">
      <c r="A46" s="516" t="s">
        <v>1676</v>
      </c>
      <c r="B46" s="517">
        <v>28894.310000000009</v>
      </c>
      <c r="C46" s="517">
        <v>24138.730000000003</v>
      </c>
      <c r="D46" s="517">
        <v>4755.58</v>
      </c>
      <c r="E46" s="525">
        <v>29346</v>
      </c>
      <c r="F46" s="539">
        <v>0.16458534569609029</v>
      </c>
      <c r="G46" s="527"/>
      <c r="I46" s="528" t="s">
        <v>1665</v>
      </c>
      <c r="J46" s="529" t="s">
        <v>1677</v>
      </c>
      <c r="K46" s="529" t="s">
        <v>1673</v>
      </c>
      <c r="L46" s="529"/>
    </row>
    <row r="47" spans="1:12" x14ac:dyDescent="0.2">
      <c r="A47" s="516" t="s">
        <v>1678</v>
      </c>
      <c r="B47" s="517">
        <v>71671.000000000015</v>
      </c>
      <c r="C47" s="517">
        <v>60123.830000000067</v>
      </c>
      <c r="D47" s="517">
        <v>11547.17</v>
      </c>
      <c r="E47" s="525">
        <v>29305</v>
      </c>
      <c r="F47" s="539">
        <v>0.16111356057540704</v>
      </c>
      <c r="G47" s="527"/>
      <c r="I47" s="528" t="s">
        <v>1665</v>
      </c>
      <c r="J47" s="529" t="s">
        <v>1679</v>
      </c>
      <c r="K47" s="529" t="s">
        <v>1673</v>
      </c>
      <c r="L47" s="529"/>
    </row>
    <row r="48" spans="1:12" x14ac:dyDescent="0.2">
      <c r="A48" s="516" t="s">
        <v>1680</v>
      </c>
      <c r="B48" s="517">
        <v>37337.89</v>
      </c>
      <c r="C48" s="517">
        <v>31359.390000000003</v>
      </c>
      <c r="D48" s="517">
        <v>5978.5000000000009</v>
      </c>
      <c r="E48" s="525">
        <v>53754</v>
      </c>
      <c r="F48" s="539">
        <v>0.16011884977967425</v>
      </c>
      <c r="G48" s="527"/>
      <c r="I48" s="528" t="s">
        <v>1665</v>
      </c>
      <c r="J48" s="529" t="s">
        <v>1681</v>
      </c>
      <c r="K48" s="529" t="s">
        <v>1673</v>
      </c>
      <c r="L48" s="529">
        <v>51209</v>
      </c>
    </row>
    <row r="49" spans="1:12" x14ac:dyDescent="0.2">
      <c r="A49" s="516" t="s">
        <v>1682</v>
      </c>
      <c r="B49" s="517">
        <v>54418.600000000035</v>
      </c>
      <c r="C49" s="517">
        <v>45730.140000000029</v>
      </c>
      <c r="D49" s="517">
        <v>8688.4600000000009</v>
      </c>
      <c r="E49" s="525">
        <v>29326</v>
      </c>
      <c r="F49" s="539">
        <v>0.15965974868886731</v>
      </c>
      <c r="G49" s="527"/>
      <c r="I49" s="528" t="s">
        <v>1665</v>
      </c>
      <c r="J49" s="529" t="s">
        <v>1683</v>
      </c>
      <c r="K49" s="529" t="s">
        <v>1673</v>
      </c>
      <c r="L49" s="529">
        <v>51209</v>
      </c>
    </row>
    <row r="50" spans="1:12" x14ac:dyDescent="0.2">
      <c r="A50" s="516" t="s">
        <v>1684</v>
      </c>
      <c r="B50" s="517">
        <v>86873.01999999996</v>
      </c>
      <c r="C50" s="517">
        <v>73472.439999999959</v>
      </c>
      <c r="D50" s="517">
        <v>13400.580000000004</v>
      </c>
      <c r="E50" s="525">
        <v>29662</v>
      </c>
      <c r="F50" s="539">
        <v>0.15425479625319816</v>
      </c>
      <c r="G50" s="527"/>
      <c r="I50" s="528" t="s">
        <v>1665</v>
      </c>
      <c r="J50" s="529" t="s">
        <v>1685</v>
      </c>
      <c r="K50" s="529" t="s">
        <v>1673</v>
      </c>
      <c r="L50" s="529">
        <v>53753</v>
      </c>
    </row>
    <row r="51" spans="1:12" x14ac:dyDescent="0.2">
      <c r="A51" s="516" t="s">
        <v>1686</v>
      </c>
      <c r="B51" s="517">
        <v>60985.550000000032</v>
      </c>
      <c r="C51" s="517">
        <v>51590.910000000018</v>
      </c>
      <c r="D51" s="517">
        <v>9394.6400000000031</v>
      </c>
      <c r="E51" s="525">
        <v>29402</v>
      </c>
      <c r="F51" s="539">
        <v>0.15404698326078881</v>
      </c>
      <c r="G51" s="527"/>
      <c r="I51" s="528" t="s">
        <v>1687</v>
      </c>
      <c r="J51" s="529" t="s">
        <v>1688</v>
      </c>
      <c r="K51" s="529" t="s">
        <v>1689</v>
      </c>
      <c r="L51" s="529">
        <v>53753</v>
      </c>
    </row>
    <row r="52" spans="1:12" x14ac:dyDescent="0.2">
      <c r="A52" s="516" t="s">
        <v>1690</v>
      </c>
      <c r="B52" s="517">
        <v>10794.33</v>
      </c>
      <c r="C52" s="517">
        <v>9212.07</v>
      </c>
      <c r="D52" s="517">
        <v>1582.2600000000002</v>
      </c>
      <c r="E52" s="525">
        <v>29475</v>
      </c>
      <c r="F52" s="539">
        <v>0.14658251137402695</v>
      </c>
      <c r="G52" s="527"/>
      <c r="I52" s="528" t="s">
        <v>1691</v>
      </c>
      <c r="J52" s="529" t="s">
        <v>1692</v>
      </c>
      <c r="K52" s="529" t="s">
        <v>1693</v>
      </c>
      <c r="L52" s="529">
        <v>29367</v>
      </c>
    </row>
    <row r="53" spans="1:12" x14ac:dyDescent="0.2">
      <c r="A53" s="516" t="s">
        <v>1694</v>
      </c>
      <c r="B53" s="517">
        <v>21664.260000000002</v>
      </c>
      <c r="C53" s="517">
        <v>18523.189999999999</v>
      </c>
      <c r="D53" s="517">
        <v>3141.07</v>
      </c>
      <c r="E53" s="525">
        <v>52983</v>
      </c>
      <c r="F53" s="539">
        <v>0.14498856642230107</v>
      </c>
      <c r="G53" s="527"/>
      <c r="I53" s="528" t="s">
        <v>1691</v>
      </c>
      <c r="J53" s="529" t="s">
        <v>1695</v>
      </c>
      <c r="K53" s="529" t="s">
        <v>1693</v>
      </c>
      <c r="L53" s="529">
        <v>29367</v>
      </c>
    </row>
    <row r="54" spans="1:12" x14ac:dyDescent="0.2">
      <c r="A54" s="516" t="s">
        <v>1696</v>
      </c>
      <c r="B54" s="517">
        <v>38063.869999999988</v>
      </c>
      <c r="C54" s="517">
        <v>32551.169999999995</v>
      </c>
      <c r="D54" s="517">
        <v>5512.7000000000007</v>
      </c>
      <c r="E54" s="525">
        <v>54232</v>
      </c>
      <c r="F54" s="539">
        <v>0.14482762787914111</v>
      </c>
      <c r="G54" s="527"/>
      <c r="I54" s="528" t="s">
        <v>1691</v>
      </c>
      <c r="J54" s="529" t="s">
        <v>1697</v>
      </c>
      <c r="K54" s="529" t="s">
        <v>1693</v>
      </c>
      <c r="L54" s="529">
        <v>29458</v>
      </c>
    </row>
    <row r="55" spans="1:12" x14ac:dyDescent="0.2">
      <c r="A55" s="516" t="s">
        <v>1641</v>
      </c>
      <c r="B55" s="517">
        <v>148754.04000000042</v>
      </c>
      <c r="C55" s="517">
        <v>127544.14000000014</v>
      </c>
      <c r="D55" s="517">
        <v>21209.899999999998</v>
      </c>
      <c r="E55" s="525">
        <v>29672</v>
      </c>
      <c r="F55" s="539">
        <v>0.14258369050010297</v>
      </c>
      <c r="G55" s="527"/>
      <c r="I55" s="528" t="s">
        <v>1691</v>
      </c>
      <c r="J55" s="529" t="s">
        <v>1698</v>
      </c>
      <c r="K55" s="529" t="s">
        <v>1693</v>
      </c>
      <c r="L55" s="529">
        <v>29458</v>
      </c>
    </row>
    <row r="56" spans="1:12" x14ac:dyDescent="0.2">
      <c r="A56" s="516" t="s">
        <v>1699</v>
      </c>
      <c r="B56" s="517">
        <v>19569.429999999997</v>
      </c>
      <c r="C56" s="517">
        <v>16834.98</v>
      </c>
      <c r="D56" s="517">
        <v>2734.45</v>
      </c>
      <c r="E56" s="525">
        <v>0</v>
      </c>
      <c r="G56" s="384">
        <v>0.13973069220718234</v>
      </c>
      <c r="I56" s="528" t="s">
        <v>1691</v>
      </c>
      <c r="J56" s="529" t="s">
        <v>1700</v>
      </c>
      <c r="K56" s="529" t="s">
        <v>1693</v>
      </c>
      <c r="L56" s="529"/>
    </row>
    <row r="57" spans="1:12" x14ac:dyDescent="0.2">
      <c r="A57" s="516" t="s">
        <v>1701</v>
      </c>
      <c r="B57" s="517">
        <v>93579.570000000051</v>
      </c>
      <c r="C57" s="517">
        <v>80532.86</v>
      </c>
      <c r="D57" s="517">
        <v>13046.709999999992</v>
      </c>
      <c r="E57" s="525">
        <v>29320</v>
      </c>
      <c r="F57" s="539">
        <v>0.13941835808820222</v>
      </c>
      <c r="G57" s="527"/>
      <c r="I57" s="528" t="s">
        <v>1691</v>
      </c>
      <c r="J57" s="529" t="s">
        <v>1702</v>
      </c>
      <c r="K57" s="529" t="s">
        <v>1663</v>
      </c>
      <c r="L57" s="529">
        <v>0</v>
      </c>
    </row>
    <row r="58" spans="1:12" x14ac:dyDescent="0.2">
      <c r="A58" s="516" t="s">
        <v>1703</v>
      </c>
      <c r="B58" s="517">
        <v>51078.179999999993</v>
      </c>
      <c r="C58" s="517">
        <v>43987.26999999999</v>
      </c>
      <c r="D58" s="517">
        <v>7090.9100000000017</v>
      </c>
      <c r="E58" s="525">
        <v>29697</v>
      </c>
      <c r="F58" s="539">
        <v>0.13882464097193759</v>
      </c>
      <c r="G58" s="527"/>
      <c r="I58" s="528" t="s">
        <v>1691</v>
      </c>
      <c r="J58" s="529" t="s">
        <v>1704</v>
      </c>
      <c r="K58" s="529" t="s">
        <v>1663</v>
      </c>
      <c r="L58" s="529">
        <v>0</v>
      </c>
    </row>
    <row r="59" spans="1:12" x14ac:dyDescent="0.2">
      <c r="A59" s="516" t="s">
        <v>1570</v>
      </c>
      <c r="B59" s="517">
        <v>116301.03000000003</v>
      </c>
      <c r="C59" s="517">
        <v>100505.37000000005</v>
      </c>
      <c r="D59" s="517">
        <v>15795.660000000007</v>
      </c>
      <c r="E59" s="525">
        <v>29318</v>
      </c>
      <c r="F59" s="539">
        <v>0.13581702586812863</v>
      </c>
      <c r="G59" s="527"/>
      <c r="I59" s="528" t="s">
        <v>1705</v>
      </c>
      <c r="J59" s="529" t="s">
        <v>1706</v>
      </c>
      <c r="K59" s="529" t="s">
        <v>1707</v>
      </c>
      <c r="L59" s="529"/>
    </row>
    <row r="60" spans="1:12" x14ac:dyDescent="0.2">
      <c r="A60" s="516" t="s">
        <v>1708</v>
      </c>
      <c r="B60" s="517">
        <v>23493.07</v>
      </c>
      <c r="C60" s="517">
        <v>20302.84</v>
      </c>
      <c r="D60" s="517">
        <v>3190.2299999999996</v>
      </c>
      <c r="E60" s="525">
        <v>54058</v>
      </c>
      <c r="F60" s="539">
        <v>0.13579451302022255</v>
      </c>
      <c r="G60" s="527"/>
      <c r="I60" s="528" t="s">
        <v>1591</v>
      </c>
      <c r="J60" s="529" t="s">
        <v>1709</v>
      </c>
      <c r="K60" s="529" t="s">
        <v>1710</v>
      </c>
      <c r="L60" s="529">
        <v>51137</v>
      </c>
    </row>
    <row r="61" spans="1:12" x14ac:dyDescent="0.2">
      <c r="A61" s="516" t="s">
        <v>1711</v>
      </c>
      <c r="B61" s="517">
        <v>23664.16</v>
      </c>
      <c r="C61" s="517">
        <v>20566.149999999998</v>
      </c>
      <c r="D61" s="517">
        <v>3098.01</v>
      </c>
      <c r="E61" s="525">
        <v>29650</v>
      </c>
      <c r="F61" s="539">
        <v>0.13091569698649774</v>
      </c>
      <c r="G61" s="527"/>
      <c r="I61" s="528" t="s">
        <v>1712</v>
      </c>
      <c r="J61" s="529" t="s">
        <v>1713</v>
      </c>
      <c r="K61" s="529" t="s">
        <v>1659</v>
      </c>
      <c r="L61" s="529">
        <v>51137</v>
      </c>
    </row>
    <row r="62" spans="1:12" x14ac:dyDescent="0.2">
      <c r="A62" s="516" t="s">
        <v>1714</v>
      </c>
      <c r="B62" s="517">
        <v>25945.069999999992</v>
      </c>
      <c r="C62" s="517">
        <v>22672.859999999997</v>
      </c>
      <c r="D62" s="517">
        <v>3272.21</v>
      </c>
      <c r="E62" s="525">
        <v>29340</v>
      </c>
      <c r="F62" s="539">
        <v>0.12612068497020826</v>
      </c>
      <c r="G62" s="527"/>
      <c r="I62" s="528" t="s">
        <v>1715</v>
      </c>
      <c r="J62" s="529" t="s">
        <v>1716</v>
      </c>
      <c r="K62" s="529" t="s">
        <v>451</v>
      </c>
      <c r="L62" s="529">
        <v>53754</v>
      </c>
    </row>
    <row r="63" spans="1:12" x14ac:dyDescent="0.2">
      <c r="A63" s="516" t="s">
        <v>1565</v>
      </c>
      <c r="B63" s="517">
        <v>63072.659999999996</v>
      </c>
      <c r="C63" s="517">
        <v>55185.249999999993</v>
      </c>
      <c r="D63" s="517">
        <v>7887.41</v>
      </c>
      <c r="E63" s="525">
        <v>51142</v>
      </c>
      <c r="F63" s="539">
        <v>0.12505275661435558</v>
      </c>
      <c r="G63" s="527"/>
      <c r="I63" s="528" t="s">
        <v>1597</v>
      </c>
      <c r="J63" s="529" t="s">
        <v>1717</v>
      </c>
      <c r="K63" s="529" t="s">
        <v>553</v>
      </c>
      <c r="L63" s="529">
        <v>53754</v>
      </c>
    </row>
    <row r="64" spans="1:12" x14ac:dyDescent="0.2">
      <c r="A64" s="516" t="s">
        <v>1718</v>
      </c>
      <c r="B64" s="517">
        <v>21176.57</v>
      </c>
      <c r="C64" s="517">
        <v>18593.039999999997</v>
      </c>
      <c r="D64" s="517">
        <v>2583.5300000000002</v>
      </c>
      <c r="E64" s="525">
        <v>52023</v>
      </c>
      <c r="F64" s="539">
        <v>0.12199945505811377</v>
      </c>
      <c r="G64" s="527"/>
      <c r="I64" s="528" t="s">
        <v>1719</v>
      </c>
      <c r="J64" s="529" t="s">
        <v>1720</v>
      </c>
      <c r="K64" s="529">
        <v>46406930</v>
      </c>
      <c r="L64" s="529">
        <v>29368</v>
      </c>
    </row>
    <row r="65" spans="1:12" x14ac:dyDescent="0.2">
      <c r="A65" s="516" t="s">
        <v>1721</v>
      </c>
      <c r="B65" s="517">
        <v>38416.580000000016</v>
      </c>
      <c r="C65" s="517">
        <v>33819.18</v>
      </c>
      <c r="D65" s="517">
        <v>4597.4000000000005</v>
      </c>
      <c r="E65" s="525">
        <v>29419</v>
      </c>
      <c r="F65" s="539">
        <v>0.11967228733010588</v>
      </c>
      <c r="G65" s="527"/>
      <c r="I65" s="528" t="s">
        <v>1670</v>
      </c>
      <c r="J65" s="529" t="s">
        <v>1722</v>
      </c>
      <c r="K65" s="529" t="s">
        <v>401</v>
      </c>
      <c r="L65" s="529">
        <v>29368</v>
      </c>
    </row>
    <row r="66" spans="1:12" x14ac:dyDescent="0.2">
      <c r="A66" s="516" t="s">
        <v>1723</v>
      </c>
      <c r="B66" s="517">
        <v>41455.909999999974</v>
      </c>
      <c r="C66" s="517">
        <v>36654.019999999982</v>
      </c>
      <c r="D66" s="517">
        <v>4801.8900000000003</v>
      </c>
      <c r="E66" s="525">
        <v>29693</v>
      </c>
      <c r="F66" s="539">
        <v>0.11583125301072883</v>
      </c>
      <c r="G66" s="527"/>
      <c r="I66" s="528" t="s">
        <v>1670</v>
      </c>
      <c r="J66" s="529" t="s">
        <v>1724</v>
      </c>
      <c r="K66" s="529" t="s">
        <v>401</v>
      </c>
      <c r="L66" s="529">
        <v>29338</v>
      </c>
    </row>
    <row r="67" spans="1:12" x14ac:dyDescent="0.2">
      <c r="A67" s="516" t="s">
        <v>1725</v>
      </c>
      <c r="B67" s="517">
        <v>22337.940000000002</v>
      </c>
      <c r="C67" s="517">
        <v>19858.03</v>
      </c>
      <c r="D67" s="517">
        <v>2479.9100000000003</v>
      </c>
      <c r="E67" s="525">
        <v>29664</v>
      </c>
      <c r="F67" s="539">
        <v>0.11101784676653263</v>
      </c>
      <c r="G67" s="527"/>
      <c r="I67" s="528" t="s">
        <v>1726</v>
      </c>
      <c r="J67" s="529" t="s">
        <v>1727</v>
      </c>
      <c r="K67" s="529" t="s">
        <v>770</v>
      </c>
      <c r="L67" s="529">
        <v>29338</v>
      </c>
    </row>
    <row r="68" spans="1:12" x14ac:dyDescent="0.2">
      <c r="A68" s="516" t="s">
        <v>1728</v>
      </c>
      <c r="B68" s="517">
        <v>28608.060000000005</v>
      </c>
      <c r="C68" s="517">
        <v>25447.060000000005</v>
      </c>
      <c r="D68" s="517">
        <v>3161</v>
      </c>
      <c r="E68" s="525">
        <v>29296</v>
      </c>
      <c r="F68" s="539">
        <v>0.11049333649328194</v>
      </c>
      <c r="G68" s="527"/>
      <c r="I68" s="528" t="s">
        <v>1726</v>
      </c>
      <c r="J68" s="529" t="s">
        <v>1729</v>
      </c>
      <c r="K68" s="529" t="s">
        <v>770</v>
      </c>
      <c r="L68" s="529">
        <v>29691</v>
      </c>
    </row>
    <row r="69" spans="1:12" x14ac:dyDescent="0.2">
      <c r="A69" s="516" t="s">
        <v>1730</v>
      </c>
      <c r="B69" s="517">
        <v>49081.670000000006</v>
      </c>
      <c r="C69" s="517">
        <v>43971.19999999999</v>
      </c>
      <c r="D69" s="517">
        <v>5110.47</v>
      </c>
      <c r="E69" s="525">
        <v>29329</v>
      </c>
      <c r="F69" s="539">
        <v>0.10412176276805576</v>
      </c>
      <c r="G69" s="527"/>
      <c r="I69" s="528" t="s">
        <v>1731</v>
      </c>
      <c r="J69" s="529" t="s">
        <v>1732</v>
      </c>
      <c r="K69" s="529" t="s">
        <v>459</v>
      </c>
      <c r="L69" s="529"/>
    </row>
    <row r="70" spans="1:12" x14ac:dyDescent="0.2">
      <c r="A70" s="516" t="s">
        <v>1733</v>
      </c>
      <c r="B70" s="517">
        <v>75545.820000000022</v>
      </c>
      <c r="C70" s="517">
        <v>67751.48000000001</v>
      </c>
      <c r="D70" s="517">
        <v>7794.3399999999983</v>
      </c>
      <c r="E70" s="525">
        <v>54263</v>
      </c>
      <c r="F70" s="539">
        <v>0.10317367658462104</v>
      </c>
      <c r="G70" s="527"/>
      <c r="I70" s="528" t="s">
        <v>1731</v>
      </c>
      <c r="J70" s="529" t="s">
        <v>1734</v>
      </c>
      <c r="K70" s="529" t="s">
        <v>459</v>
      </c>
      <c r="L70" s="529">
        <v>29691</v>
      </c>
    </row>
    <row r="71" spans="1:12" x14ac:dyDescent="0.2">
      <c r="A71" s="516" t="s">
        <v>1735</v>
      </c>
      <c r="B71" s="517">
        <v>177251.3000000001</v>
      </c>
      <c r="C71" s="517">
        <v>159168.02000000014</v>
      </c>
      <c r="D71" s="517">
        <v>18083.279999999995</v>
      </c>
      <c r="E71" s="525">
        <v>29296</v>
      </c>
      <c r="F71" s="539">
        <v>0.1020205775641701</v>
      </c>
      <c r="G71" s="527"/>
      <c r="I71" s="528" t="s">
        <v>1736</v>
      </c>
      <c r="J71" s="529" t="s">
        <v>1737</v>
      </c>
      <c r="K71" s="529" t="s">
        <v>431</v>
      </c>
      <c r="L71" s="529">
        <v>29695</v>
      </c>
    </row>
    <row r="72" spans="1:12" x14ac:dyDescent="0.2">
      <c r="A72" s="516" t="s">
        <v>1738</v>
      </c>
      <c r="B72" s="517">
        <v>35653.079999999987</v>
      </c>
      <c r="C72" s="517">
        <v>32025.749999999996</v>
      </c>
      <c r="D72" s="517">
        <v>3627.3300000000004</v>
      </c>
      <c r="E72" s="525">
        <v>29299</v>
      </c>
      <c r="F72" s="539">
        <v>0.10173959725218695</v>
      </c>
      <c r="G72" s="527"/>
      <c r="I72" s="528" t="s">
        <v>1736</v>
      </c>
      <c r="J72" s="529" t="s">
        <v>1739</v>
      </c>
      <c r="K72" s="529" t="s">
        <v>431</v>
      </c>
      <c r="L72" s="529">
        <v>29695</v>
      </c>
    </row>
    <row r="73" spans="1:12" x14ac:dyDescent="0.2">
      <c r="A73" s="516" t="s">
        <v>1740</v>
      </c>
      <c r="B73" s="517">
        <v>3537.1200000000008</v>
      </c>
      <c r="C73" s="517">
        <v>3184.7000000000007</v>
      </c>
      <c r="D73" s="517">
        <v>352.42</v>
      </c>
      <c r="E73" s="525">
        <v>29689</v>
      </c>
      <c r="F73" s="539">
        <v>9.9634731080653169E-2</v>
      </c>
      <c r="G73" s="527"/>
      <c r="I73" s="532" t="s">
        <v>1741</v>
      </c>
      <c r="J73" s="533" t="s">
        <v>1742</v>
      </c>
      <c r="K73" s="534" t="s">
        <v>692</v>
      </c>
      <c r="L73" s="529"/>
    </row>
    <row r="74" spans="1:12" x14ac:dyDescent="0.2">
      <c r="A74" s="516" t="s">
        <v>1743</v>
      </c>
      <c r="B74" s="517">
        <v>29138.439999999995</v>
      </c>
      <c r="C74" s="517">
        <v>26259.83</v>
      </c>
      <c r="D74" s="517">
        <v>2878.61</v>
      </c>
      <c r="E74" s="525">
        <v>53750</v>
      </c>
      <c r="F74" s="539">
        <v>9.8790806920343047E-2</v>
      </c>
      <c r="G74" s="527"/>
      <c r="I74" s="528" t="s">
        <v>1741</v>
      </c>
      <c r="J74" s="529" t="s">
        <v>1744</v>
      </c>
      <c r="K74" s="534" t="s">
        <v>692</v>
      </c>
      <c r="L74" s="529">
        <v>29689</v>
      </c>
    </row>
    <row r="75" spans="1:12" x14ac:dyDescent="0.2">
      <c r="A75" s="516" t="s">
        <v>1745</v>
      </c>
      <c r="B75" s="517">
        <v>51141.999999999985</v>
      </c>
      <c r="C75" s="517">
        <v>46189.65</v>
      </c>
      <c r="D75" s="517">
        <v>4952.3500000000013</v>
      </c>
      <c r="E75" s="525">
        <v>53716</v>
      </c>
      <c r="F75" s="539">
        <v>9.6835282155566901E-2</v>
      </c>
      <c r="G75" s="527"/>
      <c r="I75" s="528" t="s">
        <v>1746</v>
      </c>
      <c r="J75" s="529" t="s">
        <v>1747</v>
      </c>
      <c r="K75" s="534" t="s">
        <v>647</v>
      </c>
      <c r="L75" s="529">
        <v>29689</v>
      </c>
    </row>
    <row r="76" spans="1:12" x14ac:dyDescent="0.2">
      <c r="A76" s="516" t="s">
        <v>1741</v>
      </c>
      <c r="B76" s="517">
        <v>58718.349999999977</v>
      </c>
      <c r="C76" s="517">
        <v>53059.019999999968</v>
      </c>
      <c r="D76" s="517">
        <v>5659.33</v>
      </c>
      <c r="E76" s="525">
        <v>54260</v>
      </c>
      <c r="F76" s="539">
        <v>9.6380943946824157E-2</v>
      </c>
      <c r="G76" s="527"/>
      <c r="I76" s="528" t="s">
        <v>1748</v>
      </c>
      <c r="J76" s="529" t="s">
        <v>1749</v>
      </c>
      <c r="K76" s="529" t="s">
        <v>665</v>
      </c>
      <c r="L76" s="529">
        <v>29689</v>
      </c>
    </row>
    <row r="77" spans="1:12" x14ac:dyDescent="0.2">
      <c r="A77" s="516" t="s">
        <v>1750</v>
      </c>
      <c r="B77" s="517">
        <v>73276.509999999966</v>
      </c>
      <c r="C77" s="517">
        <v>66215.069999999978</v>
      </c>
      <c r="D77" s="517">
        <v>7061.4400000000014</v>
      </c>
      <c r="E77" s="525">
        <v>29689</v>
      </c>
      <c r="F77" s="539">
        <v>9.6367034947488689E-2</v>
      </c>
      <c r="G77" s="527"/>
      <c r="I77" s="528" t="s">
        <v>1748</v>
      </c>
      <c r="J77" s="529" t="s">
        <v>1751</v>
      </c>
      <c r="K77" s="529" t="s">
        <v>665</v>
      </c>
      <c r="L77" s="529">
        <v>29671</v>
      </c>
    </row>
    <row r="78" spans="1:12" x14ac:dyDescent="0.2">
      <c r="A78" s="516" t="s">
        <v>1752</v>
      </c>
      <c r="B78" s="517">
        <v>52819.37</v>
      </c>
      <c r="C78" s="517">
        <v>47894.010000000009</v>
      </c>
      <c r="D78" s="517">
        <v>4925.3599999999988</v>
      </c>
      <c r="E78" s="525">
        <v>53715</v>
      </c>
      <c r="F78" s="539">
        <v>9.3249124326927765E-2</v>
      </c>
      <c r="G78" s="527"/>
      <c r="I78" s="528" t="s">
        <v>1745</v>
      </c>
      <c r="J78" s="529" t="s">
        <v>1753</v>
      </c>
      <c r="K78" s="529" t="s">
        <v>746</v>
      </c>
      <c r="L78" s="529">
        <v>29671</v>
      </c>
    </row>
    <row r="79" spans="1:12" x14ac:dyDescent="0.2">
      <c r="A79" s="516" t="s">
        <v>1754</v>
      </c>
      <c r="B79" s="517">
        <v>80748.949999999939</v>
      </c>
      <c r="C79" s="517">
        <v>73294.429999999964</v>
      </c>
      <c r="D79" s="517">
        <v>7454.52</v>
      </c>
      <c r="E79" s="525">
        <v>53747</v>
      </c>
      <c r="F79" s="539">
        <v>9.2317237561603038E-2</v>
      </c>
      <c r="G79" s="527"/>
      <c r="I79" s="528" t="s">
        <v>1745</v>
      </c>
      <c r="J79" s="529" t="s">
        <v>1755</v>
      </c>
      <c r="K79" s="529" t="s">
        <v>746</v>
      </c>
      <c r="L79" s="529"/>
    </row>
    <row r="80" spans="1:12" x14ac:dyDescent="0.2">
      <c r="A80" s="516" t="s">
        <v>1726</v>
      </c>
      <c r="B80" s="517">
        <v>89449.290000000139</v>
      </c>
      <c r="C80" s="517">
        <v>81360.440000000133</v>
      </c>
      <c r="D80" s="517">
        <v>8088.849999999994</v>
      </c>
      <c r="E80" s="525">
        <v>29458</v>
      </c>
      <c r="F80" s="539">
        <v>9.042944890898498E-2</v>
      </c>
      <c r="G80" s="527"/>
      <c r="I80" s="528" t="s">
        <v>1756</v>
      </c>
      <c r="J80" s="529" t="s">
        <v>1757</v>
      </c>
      <c r="K80" s="529" t="s">
        <v>543</v>
      </c>
      <c r="L80" s="529"/>
    </row>
    <row r="81" spans="1:12" x14ac:dyDescent="0.2">
      <c r="A81" s="516" t="s">
        <v>1758</v>
      </c>
      <c r="B81" s="517">
        <v>53581.349999999984</v>
      </c>
      <c r="C81" s="517">
        <v>48757.079999999994</v>
      </c>
      <c r="D81" s="517">
        <v>4824.2699999999995</v>
      </c>
      <c r="E81" s="525">
        <v>29307</v>
      </c>
      <c r="F81" s="539">
        <v>9.0036365265152907E-2</v>
      </c>
      <c r="G81" s="527"/>
      <c r="I81" s="528" t="s">
        <v>1674</v>
      </c>
      <c r="J81" s="529" t="s">
        <v>1759</v>
      </c>
      <c r="K81" s="529" t="s">
        <v>644</v>
      </c>
      <c r="L81" s="529">
        <v>29694</v>
      </c>
    </row>
    <row r="82" spans="1:12" x14ac:dyDescent="0.2">
      <c r="A82" s="516" t="s">
        <v>1760</v>
      </c>
      <c r="B82" s="517">
        <v>25203.259999999987</v>
      </c>
      <c r="C82" s="517">
        <v>22946.03999999999</v>
      </c>
      <c r="D82" s="517">
        <v>2257.2200000000003</v>
      </c>
      <c r="E82" s="525">
        <v>29482</v>
      </c>
      <c r="F82" s="539">
        <v>8.9560636203411842E-2</v>
      </c>
      <c r="G82" s="527"/>
      <c r="I82" s="528" t="s">
        <v>1674</v>
      </c>
      <c r="J82" s="529" t="s">
        <v>1761</v>
      </c>
      <c r="K82" s="529" t="s">
        <v>644</v>
      </c>
      <c r="L82" s="529">
        <v>29694</v>
      </c>
    </row>
    <row r="83" spans="1:12" x14ac:dyDescent="0.2">
      <c r="A83" s="516" t="s">
        <v>1762</v>
      </c>
      <c r="B83" s="517">
        <v>13038.029999999997</v>
      </c>
      <c r="C83" s="517">
        <v>11895.279999999999</v>
      </c>
      <c r="D83" s="517">
        <v>1142.7500000000002</v>
      </c>
      <c r="E83" s="525">
        <v>29485</v>
      </c>
      <c r="F83" s="539">
        <v>8.7647443670554562E-2</v>
      </c>
      <c r="G83" s="527"/>
      <c r="I83" s="528" t="s">
        <v>1763</v>
      </c>
      <c r="J83" s="529" t="s">
        <v>1764</v>
      </c>
      <c r="K83" s="529" t="s">
        <v>786</v>
      </c>
      <c r="L83" s="529">
        <v>52023</v>
      </c>
    </row>
    <row r="84" spans="1:12" x14ac:dyDescent="0.2">
      <c r="A84" s="516" t="s">
        <v>1765</v>
      </c>
      <c r="B84" s="517">
        <v>85601.869999999966</v>
      </c>
      <c r="C84" s="517">
        <v>78272.319999999949</v>
      </c>
      <c r="D84" s="517">
        <v>7329.5500000000011</v>
      </c>
      <c r="E84" s="525">
        <v>50591</v>
      </c>
      <c r="F84" s="539">
        <v>8.5623713594107281E-2</v>
      </c>
      <c r="G84" s="527"/>
      <c r="I84" s="528" t="s">
        <v>1763</v>
      </c>
      <c r="J84" s="529" t="s">
        <v>1766</v>
      </c>
      <c r="K84" s="529" t="s">
        <v>786</v>
      </c>
      <c r="L84" s="529">
        <v>52023</v>
      </c>
    </row>
    <row r="85" spans="1:12" x14ac:dyDescent="0.2">
      <c r="A85" s="516" t="s">
        <v>1715</v>
      </c>
      <c r="B85" s="517">
        <v>34528.649999999994</v>
      </c>
      <c r="C85" s="517">
        <v>31683.25</v>
      </c>
      <c r="D85" s="517">
        <v>2845.3999999999996</v>
      </c>
      <c r="E85" s="525">
        <v>29353</v>
      </c>
      <c r="F85" s="539">
        <v>8.2406928738887858E-2</v>
      </c>
      <c r="G85" s="527"/>
      <c r="I85" s="528" t="s">
        <v>1767</v>
      </c>
      <c r="J85" s="529" t="s">
        <v>1768</v>
      </c>
      <c r="K85" s="529" t="s">
        <v>687</v>
      </c>
      <c r="L85" s="529"/>
    </row>
    <row r="86" spans="1:12" x14ac:dyDescent="0.2">
      <c r="A86" s="516" t="s">
        <v>1769</v>
      </c>
      <c r="B86" s="517">
        <v>33872.289999999972</v>
      </c>
      <c r="C86" s="517">
        <v>31117.469999999979</v>
      </c>
      <c r="D86" s="517">
        <v>2754.8199999999997</v>
      </c>
      <c r="E86" s="525">
        <v>53535</v>
      </c>
      <c r="F86" s="539">
        <v>8.132960599947632E-2</v>
      </c>
      <c r="G86" s="527"/>
      <c r="I86" s="528" t="s">
        <v>1767</v>
      </c>
      <c r="J86" s="529" t="s">
        <v>1770</v>
      </c>
      <c r="K86" s="529" t="s">
        <v>687</v>
      </c>
      <c r="L86" s="529"/>
    </row>
    <row r="87" spans="1:12" x14ac:dyDescent="0.2">
      <c r="A87" s="516" t="s">
        <v>1771</v>
      </c>
      <c r="B87" s="517">
        <v>9321.41</v>
      </c>
      <c r="C87" s="517">
        <v>8577.2899999999991</v>
      </c>
      <c r="D87" s="517">
        <v>744.12</v>
      </c>
      <c r="E87" s="525">
        <v>29461</v>
      </c>
      <c r="F87" s="539">
        <v>7.9829124563773085E-2</v>
      </c>
      <c r="G87" s="527"/>
      <c r="I87" s="528" t="s">
        <v>1640</v>
      </c>
      <c r="J87" s="529" t="s">
        <v>1772</v>
      </c>
      <c r="K87" s="529" t="s">
        <v>417</v>
      </c>
      <c r="L87" s="529"/>
    </row>
    <row r="88" spans="1:12" x14ac:dyDescent="0.2">
      <c r="A88" s="516" t="s">
        <v>1773</v>
      </c>
      <c r="B88" s="517">
        <v>12371.669999999998</v>
      </c>
      <c r="C88" s="517">
        <v>11400.97</v>
      </c>
      <c r="D88" s="517">
        <v>970.7</v>
      </c>
      <c r="E88" s="525">
        <v>29437</v>
      </c>
      <c r="F88" s="539">
        <v>7.8461517321428725E-2</v>
      </c>
      <c r="G88" s="527"/>
      <c r="I88" s="528" t="s">
        <v>1774</v>
      </c>
      <c r="J88" s="529" t="s">
        <v>1775</v>
      </c>
      <c r="K88" s="529" t="s">
        <v>417</v>
      </c>
      <c r="L88" s="529"/>
    </row>
    <row r="89" spans="1:12" x14ac:dyDescent="0.2">
      <c r="A89" s="516" t="s">
        <v>1776</v>
      </c>
      <c r="B89" s="517">
        <v>31219.279999999992</v>
      </c>
      <c r="C89" s="517">
        <v>28770.010000000002</v>
      </c>
      <c r="D89" s="517">
        <v>2449.27</v>
      </c>
      <c r="E89" s="525">
        <v>29684</v>
      </c>
      <c r="F89" s="539">
        <v>7.8453763187363731E-2</v>
      </c>
      <c r="G89" s="527"/>
      <c r="I89" s="528" t="s">
        <v>1777</v>
      </c>
      <c r="J89" s="529" t="s">
        <v>1778</v>
      </c>
      <c r="K89" s="529" t="s">
        <v>413</v>
      </c>
      <c r="L89" s="529"/>
    </row>
    <row r="90" spans="1:12" x14ac:dyDescent="0.2">
      <c r="A90" s="516" t="s">
        <v>1620</v>
      </c>
      <c r="B90" s="517">
        <v>44361.079999999994</v>
      </c>
      <c r="C90" s="517">
        <v>40906.450000000004</v>
      </c>
      <c r="D90" s="517">
        <v>3454.6299999999992</v>
      </c>
      <c r="E90" s="525">
        <v>29416</v>
      </c>
      <c r="F90" s="539">
        <v>7.7875245598168483E-2</v>
      </c>
      <c r="G90" s="527"/>
      <c r="I90" s="528" t="s">
        <v>1777</v>
      </c>
      <c r="J90" s="529" t="s">
        <v>1779</v>
      </c>
      <c r="K90" s="529" t="s">
        <v>413</v>
      </c>
      <c r="L90" s="529">
        <v>0</v>
      </c>
    </row>
    <row r="91" spans="1:12" x14ac:dyDescent="0.2">
      <c r="A91" s="516" t="s">
        <v>1645</v>
      </c>
      <c r="B91" s="517">
        <v>78145.099999999948</v>
      </c>
      <c r="C91" s="517">
        <v>72089.329999999973</v>
      </c>
      <c r="D91" s="517">
        <v>6055.7699999999995</v>
      </c>
      <c r="E91" s="525">
        <v>52007</v>
      </c>
      <c r="F91" s="539">
        <v>7.7493918364683181E-2</v>
      </c>
      <c r="G91" s="527"/>
      <c r="I91" s="528" t="s">
        <v>1743</v>
      </c>
      <c r="J91" s="529" t="s">
        <v>1780</v>
      </c>
      <c r="K91" s="529" t="s">
        <v>678</v>
      </c>
      <c r="L91" s="529"/>
    </row>
    <row r="92" spans="1:12" x14ac:dyDescent="0.2">
      <c r="A92" s="516" t="s">
        <v>1781</v>
      </c>
      <c r="B92" s="517">
        <v>131359.29999999999</v>
      </c>
      <c r="C92" s="517">
        <v>121483.86999999995</v>
      </c>
      <c r="D92" s="517">
        <v>9875.4299999999985</v>
      </c>
      <c r="E92" s="525">
        <v>29298</v>
      </c>
      <c r="F92" s="539">
        <v>7.5178765416685375E-2</v>
      </c>
      <c r="G92" s="527"/>
      <c r="I92" s="528" t="s">
        <v>1743</v>
      </c>
      <c r="J92" s="529" t="s">
        <v>1782</v>
      </c>
      <c r="K92" s="529" t="s">
        <v>678</v>
      </c>
      <c r="L92" s="529"/>
    </row>
    <row r="93" spans="1:12" x14ac:dyDescent="0.2">
      <c r="A93" s="516" t="s">
        <v>1783</v>
      </c>
      <c r="B93" s="517">
        <v>124172.19999999987</v>
      </c>
      <c r="C93" s="517">
        <v>115136.04999999986</v>
      </c>
      <c r="D93" s="517">
        <v>9036.1500000000051</v>
      </c>
      <c r="E93" s="525">
        <v>29317</v>
      </c>
      <c r="F93" s="539">
        <v>7.2771119461522107E-2</v>
      </c>
      <c r="G93" s="527"/>
      <c r="I93" s="528" t="s">
        <v>1784</v>
      </c>
      <c r="J93" s="529" t="s">
        <v>1785</v>
      </c>
      <c r="K93" s="529" t="s">
        <v>537</v>
      </c>
      <c r="L93" s="529">
        <v>0</v>
      </c>
    </row>
    <row r="94" spans="1:12" x14ac:dyDescent="0.2">
      <c r="A94" s="516" t="s">
        <v>1786</v>
      </c>
      <c r="B94" s="517">
        <v>117408.88999999998</v>
      </c>
      <c r="C94" s="517">
        <v>108910.03</v>
      </c>
      <c r="D94" s="517">
        <v>8498.86</v>
      </c>
      <c r="E94" s="525">
        <v>29311</v>
      </c>
      <c r="F94" s="539">
        <v>7.2386852477695704E-2</v>
      </c>
      <c r="G94" s="527"/>
      <c r="I94" s="532" t="s">
        <v>1784</v>
      </c>
      <c r="J94" s="533" t="s">
        <v>1787</v>
      </c>
      <c r="K94" s="534" t="s">
        <v>537</v>
      </c>
      <c r="L94" s="529">
        <v>0</v>
      </c>
    </row>
    <row r="95" spans="1:12" x14ac:dyDescent="0.2">
      <c r="A95" s="516" t="s">
        <v>1788</v>
      </c>
      <c r="B95" s="517">
        <v>27554.980000000007</v>
      </c>
      <c r="C95" s="517">
        <v>25601.129999999997</v>
      </c>
      <c r="D95" s="517">
        <v>1953.85</v>
      </c>
      <c r="E95" s="525">
        <v>29667</v>
      </c>
      <c r="F95" s="539">
        <v>7.0907327822411756E-2</v>
      </c>
      <c r="G95" s="527"/>
      <c r="I95" s="532" t="s">
        <v>1784</v>
      </c>
      <c r="J95" s="533" t="s">
        <v>1785</v>
      </c>
      <c r="K95" s="534" t="s">
        <v>537</v>
      </c>
      <c r="L95" s="529">
        <v>29529</v>
      </c>
    </row>
    <row r="96" spans="1:12" x14ac:dyDescent="0.2">
      <c r="A96" s="516" t="s">
        <v>1736</v>
      </c>
      <c r="B96" s="517">
        <v>95234.430000000022</v>
      </c>
      <c r="C96" s="517">
        <v>88498.23000000004</v>
      </c>
      <c r="D96" s="517">
        <v>6736.1999999999971</v>
      </c>
      <c r="E96" s="525">
        <v>29338</v>
      </c>
      <c r="F96" s="539">
        <v>7.0732822152660496E-2</v>
      </c>
      <c r="G96" s="527"/>
      <c r="I96" s="532" t="s">
        <v>1789</v>
      </c>
      <c r="J96" s="533" t="s">
        <v>1790</v>
      </c>
      <c r="K96" s="534" t="s">
        <v>467</v>
      </c>
      <c r="L96" s="529">
        <v>29529</v>
      </c>
    </row>
    <row r="97" spans="1:12" x14ac:dyDescent="0.2">
      <c r="A97" s="516" t="s">
        <v>1791</v>
      </c>
      <c r="B97" s="517">
        <v>30388.109999999982</v>
      </c>
      <c r="C97" s="517">
        <v>28356.279999999988</v>
      </c>
      <c r="D97" s="517">
        <v>2031.83</v>
      </c>
      <c r="E97" s="525">
        <v>29669</v>
      </c>
      <c r="F97" s="539">
        <v>6.6862664377613512E-2</v>
      </c>
      <c r="G97" s="527"/>
      <c r="I97" s="532" t="s">
        <v>1789</v>
      </c>
      <c r="J97" s="533" t="s">
        <v>1792</v>
      </c>
      <c r="K97" s="534" t="s">
        <v>467</v>
      </c>
      <c r="L97" s="529">
        <v>29685</v>
      </c>
    </row>
    <row r="98" spans="1:12" x14ac:dyDescent="0.2">
      <c r="A98" s="516" t="s">
        <v>1793</v>
      </c>
      <c r="B98" s="517">
        <v>105001.19999999994</v>
      </c>
      <c r="C98" s="517">
        <v>97990.01999999996</v>
      </c>
      <c r="D98" s="517">
        <v>7011.1799999999994</v>
      </c>
      <c r="E98" s="525">
        <v>29372</v>
      </c>
      <c r="F98" s="539">
        <v>6.677237974423153E-2</v>
      </c>
      <c r="G98" s="527"/>
      <c r="I98" s="528" t="s">
        <v>1652</v>
      </c>
      <c r="J98" s="529" t="s">
        <v>1794</v>
      </c>
      <c r="K98" s="529" t="s">
        <v>659</v>
      </c>
      <c r="L98" s="529">
        <v>29685</v>
      </c>
    </row>
    <row r="99" spans="1:12" x14ac:dyDescent="0.2">
      <c r="A99" s="516" t="s">
        <v>1795</v>
      </c>
      <c r="B99" s="517">
        <v>85319.180000000037</v>
      </c>
      <c r="C99" s="517">
        <v>79684.150000000038</v>
      </c>
      <c r="D99" s="517">
        <v>5635.0299999999988</v>
      </c>
      <c r="E99" s="525">
        <v>29349</v>
      </c>
      <c r="F99" s="539">
        <v>6.6046462237447617E-2</v>
      </c>
      <c r="G99" s="527"/>
      <c r="I99" s="528" t="s">
        <v>1652</v>
      </c>
      <c r="J99" s="529" t="s">
        <v>1796</v>
      </c>
      <c r="K99" s="529" t="s">
        <v>659</v>
      </c>
      <c r="L99" s="529"/>
    </row>
    <row r="100" spans="1:12" x14ac:dyDescent="0.2">
      <c r="A100" s="516" t="s">
        <v>1797</v>
      </c>
      <c r="B100" s="517">
        <v>34243.520000000004</v>
      </c>
      <c r="C100" s="517">
        <v>32009.159999999985</v>
      </c>
      <c r="D100" s="517">
        <v>2234.36</v>
      </c>
      <c r="E100" s="525">
        <v>29644</v>
      </c>
      <c r="F100" s="539">
        <v>6.5249133266673517E-2</v>
      </c>
      <c r="G100" s="527"/>
      <c r="I100" s="532" t="s">
        <v>1754</v>
      </c>
      <c r="J100" s="533" t="s">
        <v>1798</v>
      </c>
      <c r="K100" s="534" t="s">
        <v>649</v>
      </c>
      <c r="L100" s="529"/>
    </row>
    <row r="101" spans="1:12" x14ac:dyDescent="0.2">
      <c r="A101" s="516" t="s">
        <v>1584</v>
      </c>
      <c r="B101" s="517">
        <v>73256.77</v>
      </c>
      <c r="C101" s="517">
        <v>68520.400000000023</v>
      </c>
      <c r="D101" s="517">
        <v>4736.37</v>
      </c>
      <c r="E101" s="525">
        <v>29334</v>
      </c>
      <c r="F101" s="539">
        <v>6.4654365733023716E-2</v>
      </c>
      <c r="G101" s="527"/>
      <c r="I101" s="528" t="s">
        <v>1754</v>
      </c>
      <c r="J101" s="529" t="s">
        <v>1799</v>
      </c>
      <c r="K101" s="529" t="s">
        <v>649</v>
      </c>
      <c r="L101" s="529"/>
    </row>
    <row r="102" spans="1:12" x14ac:dyDescent="0.2">
      <c r="A102" s="516" t="s">
        <v>1800</v>
      </c>
      <c r="B102" s="517">
        <v>13182.8</v>
      </c>
      <c r="C102" s="517">
        <v>12344.689999999999</v>
      </c>
      <c r="D102" s="517">
        <v>838.11</v>
      </c>
      <c r="E102" s="525">
        <v>29532</v>
      </c>
      <c r="F102" s="539">
        <v>6.3576023303091908E-2</v>
      </c>
      <c r="G102" s="527"/>
      <c r="I102" s="528" t="s">
        <v>1680</v>
      </c>
      <c r="J102" s="529" t="s">
        <v>1801</v>
      </c>
      <c r="K102" s="529" t="s">
        <v>478</v>
      </c>
      <c r="L102" s="529"/>
    </row>
    <row r="103" spans="1:12" x14ac:dyDescent="0.2">
      <c r="A103" s="516" t="s">
        <v>1802</v>
      </c>
      <c r="B103" s="517">
        <v>66204.729999999981</v>
      </c>
      <c r="C103" s="517">
        <v>62075.379999999983</v>
      </c>
      <c r="D103" s="517">
        <v>4129.3499999999995</v>
      </c>
      <c r="E103" s="525">
        <v>29694</v>
      </c>
      <c r="F103" s="539">
        <v>6.2372431697856036E-2</v>
      </c>
      <c r="G103" s="527"/>
      <c r="I103" s="528" t="s">
        <v>1680</v>
      </c>
      <c r="J103" s="529" t="s">
        <v>1803</v>
      </c>
      <c r="K103" s="529" t="s">
        <v>478</v>
      </c>
      <c r="L103" s="529">
        <v>0</v>
      </c>
    </row>
    <row r="104" spans="1:12" x14ac:dyDescent="0.2">
      <c r="A104" s="516" t="s">
        <v>1746</v>
      </c>
      <c r="B104" s="517">
        <v>64894.519999999982</v>
      </c>
      <c r="C104" s="517">
        <v>60976.37999999999</v>
      </c>
      <c r="D104" s="517">
        <v>3918.1400000000003</v>
      </c>
      <c r="E104" s="525">
        <v>49504</v>
      </c>
      <c r="F104" s="539">
        <v>6.0377054950094419E-2</v>
      </c>
      <c r="G104" s="527"/>
      <c r="I104" s="528" t="s">
        <v>1752</v>
      </c>
      <c r="J104" s="529" t="s">
        <v>1804</v>
      </c>
      <c r="K104" s="529" t="s">
        <v>457</v>
      </c>
      <c r="L104" s="529"/>
    </row>
    <row r="105" spans="1:12" x14ac:dyDescent="0.2">
      <c r="A105" s="516" t="s">
        <v>1777</v>
      </c>
      <c r="B105" s="517">
        <v>126015.84000000001</v>
      </c>
      <c r="C105" s="517">
        <v>118480.92000000003</v>
      </c>
      <c r="D105" s="517">
        <v>7534.920000000001</v>
      </c>
      <c r="E105" s="525">
        <v>29350</v>
      </c>
      <c r="F105" s="539">
        <v>5.9793435491919115E-2</v>
      </c>
      <c r="G105" s="527"/>
      <c r="I105" s="528" t="s">
        <v>1752</v>
      </c>
      <c r="J105" s="529" t="s">
        <v>1805</v>
      </c>
      <c r="K105" s="529" t="s">
        <v>457</v>
      </c>
      <c r="L105" s="529">
        <v>0</v>
      </c>
    </row>
    <row r="106" spans="1:12" x14ac:dyDescent="0.2">
      <c r="A106" s="516" t="s">
        <v>1806</v>
      </c>
      <c r="B106" s="517">
        <v>88342.369999999952</v>
      </c>
      <c r="C106" s="517">
        <v>83245.699999999983</v>
      </c>
      <c r="D106" s="517">
        <v>5096.670000000001</v>
      </c>
      <c r="E106" s="525">
        <v>54247</v>
      </c>
      <c r="F106" s="539">
        <v>5.7692248917478713E-2</v>
      </c>
      <c r="G106" s="527"/>
      <c r="I106" s="528" t="s">
        <v>1807</v>
      </c>
      <c r="J106" s="529" t="s">
        <v>1808</v>
      </c>
      <c r="K106" s="529" t="s">
        <v>1809</v>
      </c>
      <c r="L106" s="529"/>
    </row>
    <row r="107" spans="1:12" x14ac:dyDescent="0.2">
      <c r="A107" s="516" t="s">
        <v>1691</v>
      </c>
      <c r="B107" s="517">
        <v>402790.19000000006</v>
      </c>
      <c r="C107" s="517">
        <v>381312.47000000003</v>
      </c>
      <c r="D107" s="517">
        <v>21477.72</v>
      </c>
      <c r="E107" s="525">
        <v>0</v>
      </c>
      <c r="G107" s="384">
        <v>5.3322351271762596E-2</v>
      </c>
      <c r="I107" s="528" t="s">
        <v>1810</v>
      </c>
      <c r="J107" s="529" t="s">
        <v>1811</v>
      </c>
      <c r="K107" s="529">
        <v>3018001</v>
      </c>
      <c r="L107" s="529"/>
    </row>
    <row r="108" spans="1:12" x14ac:dyDescent="0.2">
      <c r="A108" s="516" t="s">
        <v>1812</v>
      </c>
      <c r="B108" s="517">
        <v>114961.1299999999</v>
      </c>
      <c r="C108" s="517">
        <v>108930.84999999993</v>
      </c>
      <c r="D108" s="517">
        <v>6030.2800000000007</v>
      </c>
      <c r="E108" s="525">
        <v>29328</v>
      </c>
      <c r="F108" s="539">
        <v>5.2454947163445641E-2</v>
      </c>
      <c r="G108" s="527"/>
      <c r="I108" s="528" t="s">
        <v>1806</v>
      </c>
      <c r="J108" s="529" t="s">
        <v>1813</v>
      </c>
      <c r="K108" s="534" t="s">
        <v>1814</v>
      </c>
      <c r="L108" s="529"/>
    </row>
    <row r="109" spans="1:12" x14ac:dyDescent="0.2">
      <c r="A109" s="516" t="s">
        <v>1815</v>
      </c>
      <c r="B109" s="517">
        <v>14689.17</v>
      </c>
      <c r="C109" s="517">
        <v>13919.56</v>
      </c>
      <c r="D109" s="517">
        <v>769.61</v>
      </c>
      <c r="E109" s="525">
        <v>50328</v>
      </c>
      <c r="F109" s="539">
        <v>5.2393021525382305E-2</v>
      </c>
      <c r="G109" s="527"/>
      <c r="I109" s="528" t="s">
        <v>1769</v>
      </c>
      <c r="J109" s="529" t="s">
        <v>1816</v>
      </c>
      <c r="K109" s="529" t="s">
        <v>1817</v>
      </c>
      <c r="L109" s="529">
        <v>29419</v>
      </c>
    </row>
    <row r="110" spans="1:12" x14ac:dyDescent="0.2">
      <c r="A110" s="516" t="s">
        <v>1818</v>
      </c>
      <c r="B110" s="517">
        <v>159105.55999999985</v>
      </c>
      <c r="C110" s="517">
        <v>151633.34999999995</v>
      </c>
      <c r="D110" s="517">
        <v>7472.2100000000028</v>
      </c>
      <c r="E110" s="525">
        <v>29351</v>
      </c>
      <c r="F110" s="539">
        <v>4.6963852174619229E-2</v>
      </c>
      <c r="G110" s="527"/>
      <c r="I110" s="528" t="s">
        <v>1769</v>
      </c>
      <c r="J110" s="529" t="s">
        <v>1819</v>
      </c>
      <c r="K110" s="529" t="s">
        <v>1817</v>
      </c>
      <c r="L110" s="529">
        <v>29419</v>
      </c>
    </row>
    <row r="111" spans="1:12" x14ac:dyDescent="0.2">
      <c r="A111" s="516" t="s">
        <v>1650</v>
      </c>
      <c r="B111" s="517">
        <v>123431.87000000016</v>
      </c>
      <c r="C111" s="517">
        <v>117635.95000000013</v>
      </c>
      <c r="D111" s="517">
        <v>5795.920000000001</v>
      </c>
      <c r="E111" s="525">
        <v>29685</v>
      </c>
      <c r="F111" s="539">
        <v>4.6956430296324556E-2</v>
      </c>
      <c r="G111" s="527"/>
      <c r="I111" s="528" t="s">
        <v>1776</v>
      </c>
      <c r="J111" s="529" t="s">
        <v>1820</v>
      </c>
      <c r="K111" s="529" t="s">
        <v>1821</v>
      </c>
      <c r="L111" s="529"/>
    </row>
    <row r="112" spans="1:12" x14ac:dyDescent="0.2">
      <c r="A112" s="516" t="s">
        <v>1822</v>
      </c>
      <c r="B112" s="517">
        <v>67566.140000000029</v>
      </c>
      <c r="C112" s="517">
        <v>64410.11000000003</v>
      </c>
      <c r="D112" s="517">
        <v>3156.03</v>
      </c>
      <c r="E112" s="525">
        <v>29333</v>
      </c>
      <c r="F112" s="539">
        <v>4.6710230893758309E-2</v>
      </c>
      <c r="G112" s="527"/>
      <c r="I112" s="528" t="s">
        <v>1823</v>
      </c>
      <c r="J112" s="529" t="s">
        <v>1824</v>
      </c>
      <c r="K112" s="529" t="s">
        <v>1821</v>
      </c>
      <c r="L112" s="529"/>
    </row>
    <row r="113" spans="1:12" x14ac:dyDescent="0.2">
      <c r="A113" s="516" t="s">
        <v>1748</v>
      </c>
      <c r="B113" s="517">
        <v>49106.639999999985</v>
      </c>
      <c r="C113" s="517">
        <v>46819.489999999983</v>
      </c>
      <c r="D113" s="517">
        <v>2287.15</v>
      </c>
      <c r="E113" s="525">
        <v>53753</v>
      </c>
      <c r="F113" s="539">
        <v>4.6575167838809592E-2</v>
      </c>
      <c r="G113" s="527"/>
      <c r="I113" s="528" t="s">
        <v>1825</v>
      </c>
      <c r="J113" s="529" t="s">
        <v>1826</v>
      </c>
      <c r="K113" s="529" t="s">
        <v>757</v>
      </c>
      <c r="L113" s="529"/>
    </row>
    <row r="114" spans="1:12" x14ac:dyDescent="0.2">
      <c r="A114" s="516" t="s">
        <v>1827</v>
      </c>
      <c r="B114" s="517">
        <v>40658.960000000006</v>
      </c>
      <c r="C114" s="517">
        <v>38804.12999999999</v>
      </c>
      <c r="D114" s="517">
        <v>1854.83</v>
      </c>
      <c r="E114" s="525">
        <v>29384</v>
      </c>
      <c r="F114" s="539">
        <v>4.5619218986417742E-2</v>
      </c>
      <c r="G114" s="527"/>
      <c r="I114" s="528" t="s">
        <v>1825</v>
      </c>
      <c r="J114" s="529" t="s">
        <v>1828</v>
      </c>
      <c r="K114" s="529" t="s">
        <v>757</v>
      </c>
      <c r="L114" s="529">
        <v>29466</v>
      </c>
    </row>
    <row r="115" spans="1:12" x14ac:dyDescent="0.2">
      <c r="A115" s="516" t="s">
        <v>1594</v>
      </c>
      <c r="B115" s="517">
        <v>76132.169999999925</v>
      </c>
      <c r="C115" s="517">
        <v>72702.639999999956</v>
      </c>
      <c r="D115" s="517">
        <v>3429.53</v>
      </c>
      <c r="E115" s="525">
        <v>54235</v>
      </c>
      <c r="F115" s="539">
        <v>4.5047054352975929E-2</v>
      </c>
      <c r="G115" s="527"/>
      <c r="I115" s="528" t="s">
        <v>1829</v>
      </c>
      <c r="J115" s="529" t="s">
        <v>1830</v>
      </c>
      <c r="K115" s="529" t="s">
        <v>1831</v>
      </c>
      <c r="L115" s="529">
        <v>29466</v>
      </c>
    </row>
    <row r="116" spans="1:12" x14ac:dyDescent="0.2">
      <c r="A116" s="516" t="s">
        <v>1832</v>
      </c>
      <c r="B116" s="517">
        <v>74777.84</v>
      </c>
      <c r="C116" s="517">
        <v>71468.739999999991</v>
      </c>
      <c r="D116" s="517">
        <v>3309.099999999999</v>
      </c>
      <c r="E116" s="525">
        <v>29321</v>
      </c>
      <c r="F116" s="539">
        <v>4.4252414886549268E-2</v>
      </c>
      <c r="G116" s="527"/>
      <c r="I116" s="528" t="s">
        <v>1578</v>
      </c>
      <c r="J116" s="529" t="s">
        <v>1833</v>
      </c>
      <c r="K116" s="529">
        <v>0</v>
      </c>
      <c r="L116" s="529"/>
    </row>
    <row r="117" spans="1:12" x14ac:dyDescent="0.2">
      <c r="A117" s="516" t="s">
        <v>1834</v>
      </c>
      <c r="B117" s="517">
        <v>101436.72000000004</v>
      </c>
      <c r="C117" s="517">
        <v>97114.25</v>
      </c>
      <c r="D117" s="517">
        <v>4322.4699999999993</v>
      </c>
      <c r="E117" s="525">
        <v>29339</v>
      </c>
      <c r="F117" s="539">
        <v>4.2612478005992285E-2</v>
      </c>
      <c r="G117" s="527"/>
      <c r="I117" s="528" t="s">
        <v>1578</v>
      </c>
      <c r="J117" s="529" t="s">
        <v>1835</v>
      </c>
      <c r="K117" s="529" t="s">
        <v>1836</v>
      </c>
      <c r="L117" s="529">
        <v>53824</v>
      </c>
    </row>
    <row r="118" spans="1:12" x14ac:dyDescent="0.2">
      <c r="A118" s="516" t="s">
        <v>1837</v>
      </c>
      <c r="B118" s="517">
        <v>21962.21</v>
      </c>
      <c r="C118" s="517">
        <v>21053.159999999996</v>
      </c>
      <c r="D118" s="517">
        <v>909.05000000000007</v>
      </c>
      <c r="E118" s="525">
        <v>29647</v>
      </c>
      <c r="F118" s="539">
        <v>4.1391553946529068E-2</v>
      </c>
      <c r="G118" s="527"/>
      <c r="I118" s="528" t="s">
        <v>1578</v>
      </c>
      <c r="J118" s="529" t="s">
        <v>1833</v>
      </c>
      <c r="K118" s="529">
        <v>0</v>
      </c>
      <c r="L118" s="529">
        <v>53824</v>
      </c>
    </row>
    <row r="119" spans="1:12" x14ac:dyDescent="0.2">
      <c r="A119" s="516" t="s">
        <v>1731</v>
      </c>
      <c r="B119" s="517">
        <v>43302.469999999987</v>
      </c>
      <c r="C119" s="517">
        <v>41524.339999999982</v>
      </c>
      <c r="D119" s="517">
        <v>1778.1299999999999</v>
      </c>
      <c r="E119" s="525">
        <v>51137</v>
      </c>
      <c r="F119" s="539">
        <v>4.1063015573938405E-2</v>
      </c>
      <c r="G119" s="527"/>
      <c r="I119" s="528" t="s">
        <v>1593</v>
      </c>
      <c r="J119" s="529" t="s">
        <v>1838</v>
      </c>
      <c r="K119" s="529" t="s">
        <v>1836</v>
      </c>
      <c r="L119" s="529">
        <v>0</v>
      </c>
    </row>
    <row r="120" spans="1:12" x14ac:dyDescent="0.2">
      <c r="A120" s="516" t="s">
        <v>1839</v>
      </c>
      <c r="B120" s="517">
        <v>22108.009999999995</v>
      </c>
      <c r="C120" s="517">
        <v>21228.67</v>
      </c>
      <c r="D120" s="517">
        <v>879.34</v>
      </c>
      <c r="E120" s="525">
        <v>29463</v>
      </c>
      <c r="F120" s="539">
        <v>3.9774724183678237E-2</v>
      </c>
      <c r="G120" s="527"/>
      <c r="I120" s="528" t="s">
        <v>1593</v>
      </c>
      <c r="J120" s="529" t="s">
        <v>1838</v>
      </c>
      <c r="K120" s="529">
        <v>0</v>
      </c>
      <c r="L120" s="529">
        <v>0</v>
      </c>
    </row>
    <row r="121" spans="1:12" x14ac:dyDescent="0.2">
      <c r="A121" s="516" t="s">
        <v>1840</v>
      </c>
      <c r="B121" s="517">
        <v>38872.170000000006</v>
      </c>
      <c r="C121" s="517">
        <v>37400.140000000007</v>
      </c>
      <c r="D121" s="517">
        <v>1472.0300000000002</v>
      </c>
      <c r="E121" s="525">
        <v>29368</v>
      </c>
      <c r="F121" s="539">
        <v>3.7868480200616533E-2</v>
      </c>
      <c r="G121" s="527"/>
      <c r="I121" s="528" t="s">
        <v>1622</v>
      </c>
      <c r="J121" s="529" t="s">
        <v>1841</v>
      </c>
      <c r="K121" s="529" t="s">
        <v>636</v>
      </c>
      <c r="L121" s="529">
        <v>0</v>
      </c>
    </row>
    <row r="122" spans="1:12" x14ac:dyDescent="0.2">
      <c r="A122" s="516" t="s">
        <v>1842</v>
      </c>
      <c r="B122" s="517">
        <v>52647.089999999982</v>
      </c>
      <c r="C122" s="517">
        <v>50674.38</v>
      </c>
      <c r="D122" s="517">
        <v>1972.7099999999998</v>
      </c>
      <c r="E122" s="525">
        <v>29341</v>
      </c>
      <c r="F122" s="539">
        <v>3.7470447084539726E-2</v>
      </c>
      <c r="G122" s="527"/>
      <c r="I122" s="528" t="s">
        <v>1843</v>
      </c>
      <c r="J122" s="529" t="s">
        <v>1844</v>
      </c>
      <c r="K122" s="529" t="s">
        <v>636</v>
      </c>
      <c r="L122" s="529"/>
    </row>
    <row r="123" spans="1:12" x14ac:dyDescent="0.2">
      <c r="A123" s="516" t="s">
        <v>1845</v>
      </c>
      <c r="B123" s="517">
        <v>64151.839999999982</v>
      </c>
      <c r="C123" s="517">
        <v>61863.529999999984</v>
      </c>
      <c r="D123" s="517">
        <v>2288.3099999999995</v>
      </c>
      <c r="E123" s="525">
        <v>29356</v>
      </c>
      <c r="F123" s="539">
        <v>3.5670216162155287E-2</v>
      </c>
      <c r="G123" s="527"/>
      <c r="I123" s="528" t="s">
        <v>1846</v>
      </c>
      <c r="J123" s="529" t="s">
        <v>1847</v>
      </c>
      <c r="K123" s="529" t="s">
        <v>1848</v>
      </c>
      <c r="L123" s="529">
        <v>29487</v>
      </c>
    </row>
    <row r="124" spans="1:12" x14ac:dyDescent="0.2">
      <c r="A124" s="516" t="s">
        <v>1635</v>
      </c>
      <c r="B124" s="517">
        <v>3539.7999999999997</v>
      </c>
      <c r="C124" s="517">
        <v>3421.19</v>
      </c>
      <c r="D124" s="517">
        <v>118.61000000000001</v>
      </c>
      <c r="E124" s="525">
        <v>29486</v>
      </c>
      <c r="F124" s="539">
        <v>3.3507542799028199E-2</v>
      </c>
      <c r="G124" s="527"/>
      <c r="I124" s="528" t="s">
        <v>1849</v>
      </c>
      <c r="J124" s="529" t="s">
        <v>1850</v>
      </c>
      <c r="K124" s="529" t="s">
        <v>1851</v>
      </c>
      <c r="L124" s="529">
        <v>29487</v>
      </c>
    </row>
    <row r="125" spans="1:12" x14ac:dyDescent="0.2">
      <c r="A125" s="516" t="s">
        <v>1852</v>
      </c>
      <c r="B125" s="517">
        <v>137661.46999999986</v>
      </c>
      <c r="C125" s="517">
        <v>133079.17999999988</v>
      </c>
      <c r="D125" s="517">
        <v>4582.2899999999963</v>
      </c>
      <c r="E125" s="525">
        <v>29355</v>
      </c>
      <c r="F125" s="539">
        <v>3.3286656026555589E-2</v>
      </c>
      <c r="G125" s="527"/>
      <c r="I125" s="528" t="s">
        <v>1853</v>
      </c>
      <c r="J125" s="529" t="s">
        <v>1854</v>
      </c>
      <c r="K125" s="529" t="s">
        <v>1855</v>
      </c>
      <c r="L125" s="529"/>
    </row>
    <row r="126" spans="1:12" x14ac:dyDescent="0.2">
      <c r="A126" s="516" t="s">
        <v>1719</v>
      </c>
      <c r="B126" s="517">
        <v>76185.990000000005</v>
      </c>
      <c r="C126" s="517">
        <v>73682.11000000003</v>
      </c>
      <c r="D126" s="517">
        <v>2503.88</v>
      </c>
      <c r="E126" s="525">
        <v>0</v>
      </c>
      <c r="G126" s="384">
        <v>3.2865360153487538E-2</v>
      </c>
      <c r="I126" s="528" t="s">
        <v>1856</v>
      </c>
      <c r="J126" s="529" t="s">
        <v>1857</v>
      </c>
      <c r="K126" s="529" t="s">
        <v>1855</v>
      </c>
      <c r="L126" s="529">
        <v>29433</v>
      </c>
    </row>
    <row r="127" spans="1:12" x14ac:dyDescent="0.2">
      <c r="A127" s="516" t="s">
        <v>1665</v>
      </c>
      <c r="B127" s="517">
        <v>342084.33</v>
      </c>
      <c r="C127" s="517">
        <v>331838.83999999997</v>
      </c>
      <c r="D127" s="517">
        <v>10245.490000000002</v>
      </c>
      <c r="E127" s="525">
        <v>0</v>
      </c>
      <c r="G127" s="384">
        <v>2.9950188013581333E-2</v>
      </c>
      <c r="I127" s="528" t="s">
        <v>1669</v>
      </c>
      <c r="J127" s="529" t="s">
        <v>1858</v>
      </c>
      <c r="K127" s="529" t="s">
        <v>1855</v>
      </c>
      <c r="L127" s="529">
        <v>29433</v>
      </c>
    </row>
    <row r="128" spans="1:12" x14ac:dyDescent="0.2">
      <c r="A128" s="516" t="s">
        <v>1859</v>
      </c>
      <c r="B128" s="517">
        <v>28358.319999999992</v>
      </c>
      <c r="C128" s="517">
        <v>27514.499999999989</v>
      </c>
      <c r="D128" s="517">
        <v>843.81999999999994</v>
      </c>
      <c r="E128" s="525">
        <v>29409</v>
      </c>
      <c r="F128" s="539">
        <v>2.9755641377909557E-2</v>
      </c>
      <c r="G128" s="527"/>
      <c r="I128" s="528" t="s">
        <v>1574</v>
      </c>
      <c r="J128" s="529" t="s">
        <v>1860</v>
      </c>
      <c r="K128" s="529" t="s">
        <v>1861</v>
      </c>
      <c r="L128" s="529">
        <v>29644</v>
      </c>
    </row>
    <row r="129" spans="1:12" x14ac:dyDescent="0.2">
      <c r="A129" s="516" t="s">
        <v>1589</v>
      </c>
      <c r="B129" s="517">
        <v>27366.899999999998</v>
      </c>
      <c r="C129" s="517">
        <v>26562.350000000002</v>
      </c>
      <c r="D129" s="517">
        <v>804.54999999999984</v>
      </c>
      <c r="E129" s="525">
        <v>29331</v>
      </c>
      <c r="F129" s="539">
        <v>2.93986531174521E-2</v>
      </c>
      <c r="G129" s="527"/>
      <c r="I129" s="528" t="s">
        <v>1581</v>
      </c>
      <c r="J129" s="529" t="s">
        <v>1862</v>
      </c>
      <c r="K129" s="529" t="s">
        <v>1863</v>
      </c>
      <c r="L129" s="529">
        <v>29644</v>
      </c>
    </row>
    <row r="130" spans="1:12" x14ac:dyDescent="0.2">
      <c r="A130" s="516" t="s">
        <v>1864</v>
      </c>
      <c r="B130" s="517">
        <v>13355.350000000002</v>
      </c>
      <c r="C130" s="517">
        <v>12968.200000000003</v>
      </c>
      <c r="D130" s="517">
        <v>387.15</v>
      </c>
      <c r="E130" s="525">
        <v>29356</v>
      </c>
      <c r="F130" s="539">
        <v>2.89883829326824E-2</v>
      </c>
      <c r="G130" s="527"/>
      <c r="I130" s="528" t="s">
        <v>1615</v>
      </c>
      <c r="J130" s="529" t="s">
        <v>1865</v>
      </c>
      <c r="K130" s="529">
        <v>28180021</v>
      </c>
      <c r="L130" s="529">
        <v>52854</v>
      </c>
    </row>
    <row r="131" spans="1:12" x14ac:dyDescent="0.2">
      <c r="A131" s="516" t="s">
        <v>1767</v>
      </c>
      <c r="B131" s="517">
        <v>95763.530000000042</v>
      </c>
      <c r="C131" s="517">
        <v>93014.290000000052</v>
      </c>
      <c r="D131" s="517">
        <v>2749.24</v>
      </c>
      <c r="E131" s="525">
        <v>53709</v>
      </c>
      <c r="F131" s="539">
        <v>2.8708632607841404E-2</v>
      </c>
      <c r="G131" s="527"/>
      <c r="I131" s="528" t="s">
        <v>1866</v>
      </c>
      <c r="J131" s="529" t="s">
        <v>1867</v>
      </c>
      <c r="K131" s="529">
        <v>2818002</v>
      </c>
      <c r="L131" s="529">
        <v>52854</v>
      </c>
    </row>
    <row r="132" spans="1:12" x14ac:dyDescent="0.2">
      <c r="A132" s="516" t="s">
        <v>1829</v>
      </c>
      <c r="B132" s="517">
        <v>13485.920000000002</v>
      </c>
      <c r="C132" s="517">
        <v>13107.260000000002</v>
      </c>
      <c r="D132" s="517">
        <v>378.65999999999997</v>
      </c>
      <c r="E132" s="525">
        <v>29663</v>
      </c>
      <c r="F132" s="539">
        <v>2.8078173383795833E-2</v>
      </c>
      <c r="G132" s="527"/>
      <c r="I132" s="528" t="s">
        <v>1868</v>
      </c>
      <c r="J132" s="529" t="s">
        <v>1869</v>
      </c>
      <c r="K132" s="529" t="s">
        <v>1870</v>
      </c>
      <c r="L132" s="529">
        <v>29306</v>
      </c>
    </row>
    <row r="133" spans="1:12" x14ac:dyDescent="0.2">
      <c r="A133" s="516" t="s">
        <v>1871</v>
      </c>
      <c r="B133" s="517">
        <v>34680.559999999998</v>
      </c>
      <c r="C133" s="517">
        <v>33728.579999999994</v>
      </c>
      <c r="D133" s="517">
        <v>951.98000000000013</v>
      </c>
      <c r="E133" s="525">
        <v>29336</v>
      </c>
      <c r="F133" s="539">
        <v>2.7449960438931789E-2</v>
      </c>
      <c r="G133" s="527"/>
      <c r="I133" s="528" t="s">
        <v>1721</v>
      </c>
      <c r="J133" s="529" t="s">
        <v>1872</v>
      </c>
      <c r="K133" s="529" t="s">
        <v>509</v>
      </c>
      <c r="L133" s="529"/>
    </row>
    <row r="134" spans="1:12" x14ac:dyDescent="0.2">
      <c r="A134" s="516" t="s">
        <v>1873</v>
      </c>
      <c r="B134" s="517">
        <v>2120.15</v>
      </c>
      <c r="C134" s="517">
        <v>2064.36</v>
      </c>
      <c r="D134" s="517">
        <v>55.79</v>
      </c>
      <c r="E134" s="525">
        <v>0</v>
      </c>
      <c r="G134" s="384">
        <v>2.6314175883781807E-2</v>
      </c>
      <c r="I134" s="528" t="s">
        <v>1721</v>
      </c>
      <c r="J134" s="529" t="s">
        <v>1874</v>
      </c>
      <c r="K134" s="529" t="s">
        <v>509</v>
      </c>
      <c r="L134" s="529"/>
    </row>
    <row r="135" spans="1:12" x14ac:dyDescent="0.2">
      <c r="A135" s="516" t="s">
        <v>1875</v>
      </c>
      <c r="B135" s="517">
        <v>98528.279999999941</v>
      </c>
      <c r="C135" s="517">
        <v>95943.049999999974</v>
      </c>
      <c r="D135" s="517">
        <v>2585.2299999999996</v>
      </c>
      <c r="E135" s="525">
        <v>29663</v>
      </c>
      <c r="F135" s="539">
        <v>2.6238456613674785E-2</v>
      </c>
      <c r="G135" s="527"/>
      <c r="I135" s="528" t="s">
        <v>1660</v>
      </c>
      <c r="J135" s="529" t="s">
        <v>1876</v>
      </c>
      <c r="K135" s="529" t="s">
        <v>531</v>
      </c>
      <c r="L135" s="529">
        <v>53745</v>
      </c>
    </row>
    <row r="136" spans="1:12" x14ac:dyDescent="0.2">
      <c r="A136" s="516" t="s">
        <v>1609</v>
      </c>
      <c r="B136" s="517">
        <v>27824.149999999998</v>
      </c>
      <c r="C136" s="517">
        <v>27094.089999999997</v>
      </c>
      <c r="D136" s="517">
        <v>730.06000000000006</v>
      </c>
      <c r="E136" s="525">
        <v>29692</v>
      </c>
      <c r="F136" s="539">
        <v>2.6238357685679531E-2</v>
      </c>
      <c r="G136" s="527"/>
      <c r="I136" s="528" t="s">
        <v>1660</v>
      </c>
      <c r="J136" s="529" t="s">
        <v>1877</v>
      </c>
      <c r="K136" s="529" t="s">
        <v>531</v>
      </c>
      <c r="L136" s="529">
        <v>53745</v>
      </c>
    </row>
    <row r="137" spans="1:12" x14ac:dyDescent="0.2">
      <c r="A137" s="516" t="s">
        <v>1878</v>
      </c>
      <c r="B137" s="517">
        <v>20974.21</v>
      </c>
      <c r="C137" s="517">
        <v>20427.05</v>
      </c>
      <c r="D137" s="517">
        <v>547.16000000000008</v>
      </c>
      <c r="E137" s="525">
        <v>29379</v>
      </c>
      <c r="F137" s="539">
        <v>2.6087275754366916E-2</v>
      </c>
      <c r="G137" s="527"/>
      <c r="I137" s="528" t="s">
        <v>1879</v>
      </c>
      <c r="J137" s="529" t="s">
        <v>1880</v>
      </c>
      <c r="K137" s="529" t="s">
        <v>485</v>
      </c>
      <c r="L137" s="529">
        <v>53750</v>
      </c>
    </row>
    <row r="138" spans="1:12" x14ac:dyDescent="0.2">
      <c r="A138" s="516" t="s">
        <v>1881</v>
      </c>
      <c r="B138" s="517">
        <v>11082.230000000001</v>
      </c>
      <c r="C138" s="517">
        <v>10814.000000000002</v>
      </c>
      <c r="D138" s="517">
        <v>268.22999999999996</v>
      </c>
      <c r="E138" s="525">
        <v>53824</v>
      </c>
      <c r="F138" s="539">
        <v>2.4203612449840865E-2</v>
      </c>
      <c r="G138" s="527"/>
      <c r="I138" s="528" t="s">
        <v>1567</v>
      </c>
      <c r="J138" s="529" t="s">
        <v>1882</v>
      </c>
      <c r="K138" s="529" t="s">
        <v>834</v>
      </c>
      <c r="L138" s="529">
        <v>53750</v>
      </c>
    </row>
    <row r="139" spans="1:12" x14ac:dyDescent="0.2">
      <c r="A139" s="516" t="s">
        <v>1763</v>
      </c>
      <c r="B139" s="517">
        <v>16437.21</v>
      </c>
      <c r="C139" s="517">
        <v>16040.409999999996</v>
      </c>
      <c r="D139" s="517">
        <v>396.8</v>
      </c>
      <c r="E139" s="525">
        <v>51209</v>
      </c>
      <c r="F139" s="539">
        <v>2.4140349852560139E-2</v>
      </c>
      <c r="G139" s="527"/>
      <c r="I139" s="528" t="s">
        <v>1881</v>
      </c>
      <c r="J139" s="529" t="s">
        <v>1883</v>
      </c>
      <c r="K139" s="529" t="s">
        <v>1884</v>
      </c>
      <c r="L139" s="529"/>
    </row>
    <row r="140" spans="1:12" x14ac:dyDescent="0.2">
      <c r="A140" s="516" t="s">
        <v>1712</v>
      </c>
      <c r="B140" s="517">
        <v>6477.93</v>
      </c>
      <c r="C140" s="517">
        <v>6322.27</v>
      </c>
      <c r="D140" s="517">
        <v>155.66</v>
      </c>
      <c r="E140" s="525">
        <v>29539</v>
      </c>
      <c r="F140" s="539">
        <v>2.4029280958577814E-2</v>
      </c>
      <c r="G140" s="527"/>
      <c r="I140" s="528" t="s">
        <v>1881</v>
      </c>
      <c r="J140" s="529" t="s">
        <v>1885</v>
      </c>
      <c r="K140" s="529" t="s">
        <v>1884</v>
      </c>
      <c r="L140" s="529">
        <v>0</v>
      </c>
    </row>
    <row r="141" spans="1:12" x14ac:dyDescent="0.2">
      <c r="A141" s="516" t="s">
        <v>1886</v>
      </c>
      <c r="B141" s="517">
        <v>4304.1400000000003</v>
      </c>
      <c r="C141" s="517">
        <v>4202.04</v>
      </c>
      <c r="D141" s="517">
        <v>102.1</v>
      </c>
      <c r="E141" s="525">
        <v>29666</v>
      </c>
      <c r="F141" s="539">
        <v>2.3721347353942945E-2</v>
      </c>
      <c r="G141" s="527"/>
      <c r="I141" s="528" t="s">
        <v>1667</v>
      </c>
      <c r="J141" s="529" t="s">
        <v>1887</v>
      </c>
      <c r="K141" s="529" t="s">
        <v>525</v>
      </c>
      <c r="L141" s="529">
        <v>29335</v>
      </c>
    </row>
    <row r="142" spans="1:12" x14ac:dyDescent="0.2">
      <c r="A142" s="516" t="s">
        <v>1630</v>
      </c>
      <c r="B142" s="517">
        <v>34089.349999999984</v>
      </c>
      <c r="C142" s="517">
        <v>33288.14999999998</v>
      </c>
      <c r="D142" s="517">
        <v>801.2</v>
      </c>
      <c r="E142" s="525">
        <v>51980</v>
      </c>
      <c r="F142" s="539">
        <v>2.350294153452619E-2</v>
      </c>
      <c r="G142" s="527"/>
      <c r="I142" s="528" t="s">
        <v>1888</v>
      </c>
      <c r="J142" s="529" t="s">
        <v>1889</v>
      </c>
      <c r="K142" s="529" t="s">
        <v>761</v>
      </c>
      <c r="L142" s="529">
        <v>29335</v>
      </c>
    </row>
    <row r="143" spans="1:12" x14ac:dyDescent="0.2">
      <c r="A143" s="516" t="s">
        <v>1890</v>
      </c>
      <c r="B143" s="517">
        <v>44478.55999999999</v>
      </c>
      <c r="C143" s="517">
        <v>43470.559999999998</v>
      </c>
      <c r="D143" s="517">
        <v>1008</v>
      </c>
      <c r="E143" s="525">
        <v>29365</v>
      </c>
      <c r="F143" s="539">
        <v>2.2662604185027579E-2</v>
      </c>
      <c r="G143" s="527"/>
      <c r="I143" s="528" t="s">
        <v>1873</v>
      </c>
      <c r="J143" s="529" t="s">
        <v>1891</v>
      </c>
      <c r="K143" s="529">
        <v>99293243</v>
      </c>
      <c r="L143" s="529">
        <v>29358</v>
      </c>
    </row>
    <row r="144" spans="1:12" x14ac:dyDescent="0.2">
      <c r="A144" s="516" t="s">
        <v>1892</v>
      </c>
      <c r="B144" s="517">
        <v>19397.200000000004</v>
      </c>
      <c r="C144" s="517">
        <v>18958.2</v>
      </c>
      <c r="D144" s="517">
        <v>439</v>
      </c>
      <c r="E144" s="525">
        <v>29302</v>
      </c>
      <c r="F144" s="539">
        <v>2.2632132472728019E-2</v>
      </c>
      <c r="G144" s="527"/>
      <c r="I144" s="528" t="s">
        <v>1893</v>
      </c>
      <c r="J144" s="529" t="s">
        <v>1894</v>
      </c>
      <c r="K144" s="529" t="s">
        <v>1895</v>
      </c>
      <c r="L144" s="529">
        <v>29358</v>
      </c>
    </row>
    <row r="145" spans="1:12" x14ac:dyDescent="0.2">
      <c r="A145" s="516" t="s">
        <v>1896</v>
      </c>
      <c r="B145" s="517">
        <v>5239.2199999999993</v>
      </c>
      <c r="C145" s="517">
        <v>5121.4499999999989</v>
      </c>
      <c r="D145" s="517">
        <v>117.77000000000001</v>
      </c>
      <c r="E145" s="525">
        <v>29658</v>
      </c>
      <c r="F145" s="539">
        <v>2.2478536881444189E-2</v>
      </c>
      <c r="G145" s="527"/>
      <c r="I145" s="528" t="s">
        <v>1608</v>
      </c>
      <c r="J145" s="529" t="s">
        <v>1897</v>
      </c>
      <c r="K145" s="529" t="s">
        <v>543</v>
      </c>
      <c r="L145" s="529"/>
    </row>
    <row r="146" spans="1:12" x14ac:dyDescent="0.2">
      <c r="A146" s="516" t="s">
        <v>1898</v>
      </c>
      <c r="B146" s="517">
        <v>60241.200000000033</v>
      </c>
      <c r="C146" s="517">
        <v>58911.210000000021</v>
      </c>
      <c r="D146" s="517">
        <v>1329.99</v>
      </c>
      <c r="E146" s="525">
        <v>29676</v>
      </c>
      <c r="F146" s="539">
        <v>2.2077747455229963E-2</v>
      </c>
      <c r="G146" s="527"/>
      <c r="I146" s="528" t="s">
        <v>1899</v>
      </c>
      <c r="J146" s="529" t="s">
        <v>1900</v>
      </c>
      <c r="K146" s="529" t="s">
        <v>541</v>
      </c>
      <c r="L146" s="529"/>
    </row>
    <row r="147" spans="1:12" x14ac:dyDescent="0.2">
      <c r="A147" s="516" t="s">
        <v>1901</v>
      </c>
      <c r="B147" s="517">
        <v>20129.679999999997</v>
      </c>
      <c r="C147" s="517">
        <v>19686.41</v>
      </c>
      <c r="D147" s="517">
        <v>443.27000000000004</v>
      </c>
      <c r="E147" s="525">
        <v>29380</v>
      </c>
      <c r="F147" s="539">
        <v>2.202071766664945E-2</v>
      </c>
      <c r="G147" s="527"/>
      <c r="I147" s="528" t="s">
        <v>1899</v>
      </c>
      <c r="J147" s="529" t="s">
        <v>1902</v>
      </c>
      <c r="K147" s="529" t="s">
        <v>541</v>
      </c>
      <c r="L147" s="529">
        <v>52792</v>
      </c>
    </row>
    <row r="148" spans="1:12" x14ac:dyDescent="0.2">
      <c r="A148" s="516" t="s">
        <v>1903</v>
      </c>
      <c r="B148" s="517">
        <v>2656.7200000000003</v>
      </c>
      <c r="C148" s="517">
        <v>2601.92</v>
      </c>
      <c r="D148" s="517">
        <v>54.8</v>
      </c>
      <c r="E148" s="525">
        <v>29442</v>
      </c>
      <c r="F148" s="539">
        <v>2.0626938480532382E-2</v>
      </c>
      <c r="G148" s="527"/>
      <c r="I148" s="528" t="s">
        <v>1797</v>
      </c>
      <c r="J148" s="529" t="s">
        <v>1904</v>
      </c>
      <c r="K148" s="529" t="s">
        <v>675</v>
      </c>
      <c r="L148" s="529">
        <v>52792</v>
      </c>
    </row>
    <row r="149" spans="1:12" x14ac:dyDescent="0.2">
      <c r="A149" s="516" t="s">
        <v>1905</v>
      </c>
      <c r="B149" s="517">
        <v>24848.1</v>
      </c>
      <c r="C149" s="517">
        <v>24350.85</v>
      </c>
      <c r="D149" s="517">
        <v>497.25</v>
      </c>
      <c r="E149" s="525">
        <v>49515</v>
      </c>
      <c r="F149" s="539">
        <v>2.0011590423412655E-2</v>
      </c>
      <c r="G149" s="527"/>
      <c r="I149" s="528" t="s">
        <v>1797</v>
      </c>
      <c r="J149" s="529" t="s">
        <v>1906</v>
      </c>
      <c r="K149" s="529" t="s">
        <v>675</v>
      </c>
      <c r="L149" s="529">
        <v>29298</v>
      </c>
    </row>
    <row r="150" spans="1:12" x14ac:dyDescent="0.2">
      <c r="A150" s="516" t="s">
        <v>1907</v>
      </c>
      <c r="B150" s="517">
        <v>2869.37</v>
      </c>
      <c r="C150" s="517">
        <v>2813.4700000000003</v>
      </c>
      <c r="D150" s="517">
        <v>55.900000000000006</v>
      </c>
      <c r="E150" s="525">
        <v>52792</v>
      </c>
      <c r="F150" s="539">
        <v>1.9481628371384663E-2</v>
      </c>
      <c r="G150" s="527"/>
      <c r="I150" s="528" t="s">
        <v>1908</v>
      </c>
      <c r="J150" s="529" t="s">
        <v>1909</v>
      </c>
      <c r="K150" s="529" t="s">
        <v>713</v>
      </c>
      <c r="L150" s="529">
        <v>29298</v>
      </c>
    </row>
    <row r="151" spans="1:12" x14ac:dyDescent="0.2">
      <c r="A151" s="516" t="s">
        <v>1910</v>
      </c>
      <c r="B151" s="517">
        <v>9023.33</v>
      </c>
      <c r="C151" s="517">
        <v>8848.06</v>
      </c>
      <c r="D151" s="517">
        <v>175.26999999999998</v>
      </c>
      <c r="E151" s="525">
        <v>29306</v>
      </c>
      <c r="F151" s="539">
        <v>1.9424092879236379E-2</v>
      </c>
      <c r="G151" s="527"/>
      <c r="I151" s="528" t="s">
        <v>1908</v>
      </c>
      <c r="J151" s="529" t="s">
        <v>1911</v>
      </c>
      <c r="K151" s="529" t="s">
        <v>713</v>
      </c>
      <c r="L151" s="529">
        <v>29436</v>
      </c>
    </row>
    <row r="152" spans="1:12" x14ac:dyDescent="0.2">
      <c r="A152" s="516" t="s">
        <v>1912</v>
      </c>
      <c r="B152" s="517">
        <v>12742.109999999999</v>
      </c>
      <c r="C152" s="517">
        <v>12511.539999999999</v>
      </c>
      <c r="D152" s="517">
        <v>230.57</v>
      </c>
      <c r="E152" s="525">
        <v>54264</v>
      </c>
      <c r="F152" s="539">
        <v>1.8095119254189457E-2</v>
      </c>
      <c r="G152" s="527"/>
      <c r="I152" s="528" t="s">
        <v>1910</v>
      </c>
      <c r="J152" s="529" t="s">
        <v>1913</v>
      </c>
      <c r="K152" s="529" t="s">
        <v>1914</v>
      </c>
      <c r="L152" s="529">
        <v>29376</v>
      </c>
    </row>
    <row r="153" spans="1:12" x14ac:dyDescent="0.2">
      <c r="A153" s="516" t="s">
        <v>1915</v>
      </c>
      <c r="B153" s="517">
        <v>48543.409999999989</v>
      </c>
      <c r="C153" s="517">
        <v>47740.309999999983</v>
      </c>
      <c r="D153" s="517">
        <v>803.1</v>
      </c>
      <c r="E153" s="525">
        <v>29315</v>
      </c>
      <c r="F153" s="539">
        <v>1.654395519391819E-2</v>
      </c>
      <c r="G153" s="527"/>
      <c r="I153" s="528" t="s">
        <v>1916</v>
      </c>
      <c r="J153" s="529" t="s">
        <v>1917</v>
      </c>
      <c r="K153" s="529" t="s">
        <v>1918</v>
      </c>
      <c r="L153" s="529">
        <v>29376</v>
      </c>
    </row>
    <row r="154" spans="1:12" x14ac:dyDescent="0.2">
      <c r="A154" s="516" t="s">
        <v>1916</v>
      </c>
      <c r="B154" s="517">
        <v>46168.4</v>
      </c>
      <c r="C154" s="517">
        <v>45419.220000000008</v>
      </c>
      <c r="D154" s="517">
        <v>749.18000000000006</v>
      </c>
      <c r="E154" s="525">
        <v>29316</v>
      </c>
      <c r="F154" s="539">
        <v>1.6227116382634011E-2</v>
      </c>
      <c r="G154" s="527"/>
      <c r="I154" s="528" t="s">
        <v>1569</v>
      </c>
      <c r="J154" s="529" t="s">
        <v>1919</v>
      </c>
      <c r="K154" s="529" t="s">
        <v>1920</v>
      </c>
      <c r="L154" s="529">
        <v>29658</v>
      </c>
    </row>
    <row r="155" spans="1:12" x14ac:dyDescent="0.2">
      <c r="A155" s="516" t="s">
        <v>1921</v>
      </c>
      <c r="B155" s="517">
        <v>20675.22</v>
      </c>
      <c r="C155" s="517">
        <v>20358.47</v>
      </c>
      <c r="D155" s="517">
        <v>316.75</v>
      </c>
      <c r="E155" s="525">
        <v>29654</v>
      </c>
      <c r="F155" s="539">
        <v>1.5320272287308187E-2</v>
      </c>
      <c r="G155" s="527"/>
      <c r="I155" s="528" t="s">
        <v>1619</v>
      </c>
      <c r="J155" s="529" t="s">
        <v>1922</v>
      </c>
      <c r="K155" s="529" t="s">
        <v>1923</v>
      </c>
      <c r="L155" s="529">
        <v>29658</v>
      </c>
    </row>
    <row r="156" spans="1:12" x14ac:dyDescent="0.2">
      <c r="A156" s="516" t="s">
        <v>1908</v>
      </c>
      <c r="B156" s="517">
        <v>25791.949999999993</v>
      </c>
      <c r="C156" s="517">
        <v>25397.039999999994</v>
      </c>
      <c r="D156" s="517">
        <v>394.90999999999997</v>
      </c>
      <c r="E156" s="525">
        <v>52854</v>
      </c>
      <c r="F156" s="539">
        <v>1.5311366531030034E-2</v>
      </c>
      <c r="G156" s="527"/>
      <c r="I156" s="528" t="s">
        <v>1924</v>
      </c>
      <c r="J156" s="529" t="s">
        <v>1925</v>
      </c>
      <c r="K156" s="529" t="s">
        <v>1663</v>
      </c>
      <c r="L156" s="529"/>
    </row>
    <row r="157" spans="1:12" x14ac:dyDescent="0.2">
      <c r="A157" s="516" t="s">
        <v>1926</v>
      </c>
      <c r="B157" s="517">
        <v>2482.71</v>
      </c>
      <c r="C157" s="517">
        <v>2448.9699999999998</v>
      </c>
      <c r="D157" s="517">
        <v>33.74</v>
      </c>
      <c r="E157" s="525">
        <v>29671</v>
      </c>
      <c r="F157" s="539">
        <v>1.3589988359494263E-2</v>
      </c>
      <c r="G157" s="527"/>
      <c r="I157" s="528" t="s">
        <v>1927</v>
      </c>
      <c r="J157" s="529" t="s">
        <v>1928</v>
      </c>
      <c r="K157" s="529" t="s">
        <v>1663</v>
      </c>
      <c r="L157" s="529"/>
    </row>
    <row r="158" spans="1:12" x14ac:dyDescent="0.2">
      <c r="A158" s="516" t="s">
        <v>1929</v>
      </c>
      <c r="B158" s="517">
        <v>2710.2299999999996</v>
      </c>
      <c r="C158" s="517">
        <v>2676.49</v>
      </c>
      <c r="D158" s="517">
        <v>33.74</v>
      </c>
      <c r="E158" s="525">
        <v>29473</v>
      </c>
      <c r="F158" s="539">
        <v>1.24491279337916E-2</v>
      </c>
      <c r="G158" s="527"/>
      <c r="I158" s="528" t="s">
        <v>1927</v>
      </c>
      <c r="J158" s="529" t="s">
        <v>1930</v>
      </c>
      <c r="K158" s="529">
        <v>0</v>
      </c>
      <c r="L158" s="529">
        <v>0</v>
      </c>
    </row>
    <row r="159" spans="1:12" x14ac:dyDescent="0.2">
      <c r="A159" s="516" t="s">
        <v>1931</v>
      </c>
      <c r="B159" s="517">
        <v>29902.909999999989</v>
      </c>
      <c r="C159" s="517">
        <v>29536.429999999993</v>
      </c>
      <c r="D159" s="517">
        <v>366.48</v>
      </c>
      <c r="E159" s="525">
        <v>29326</v>
      </c>
      <c r="F159" s="539">
        <v>1.2255663412022447E-2</v>
      </c>
      <c r="G159" s="527"/>
      <c r="I159" s="528" t="s">
        <v>1927</v>
      </c>
      <c r="J159" s="529" t="s">
        <v>1932</v>
      </c>
      <c r="K159" s="529">
        <v>0</v>
      </c>
      <c r="L159" s="529"/>
    </row>
    <row r="160" spans="1:12" x14ac:dyDescent="0.2">
      <c r="A160" s="516" t="s">
        <v>1933</v>
      </c>
      <c r="B160" s="517">
        <v>33020.670000000006</v>
      </c>
      <c r="C160" s="517">
        <v>32660.030000000002</v>
      </c>
      <c r="D160" s="517">
        <v>360.64000000000004</v>
      </c>
      <c r="E160" s="525">
        <v>29451</v>
      </c>
      <c r="F160" s="539">
        <v>1.0921643927879112E-2</v>
      </c>
      <c r="G160" s="527"/>
      <c r="I160" s="528" t="s">
        <v>1927</v>
      </c>
      <c r="J160" s="529" t="s">
        <v>1930</v>
      </c>
      <c r="K160" s="529">
        <v>0</v>
      </c>
      <c r="L160" s="529"/>
    </row>
    <row r="161" spans="1:12" x14ac:dyDescent="0.2">
      <c r="A161" s="516" t="s">
        <v>1899</v>
      </c>
      <c r="B161" s="517">
        <v>19552</v>
      </c>
      <c r="C161" s="517">
        <v>19352.8</v>
      </c>
      <c r="D161" s="517">
        <v>199.2</v>
      </c>
      <c r="E161" s="525">
        <v>29433</v>
      </c>
      <c r="F161" s="539">
        <v>1.0188216039279869E-2</v>
      </c>
      <c r="G161" s="527"/>
      <c r="I161" s="528" t="s">
        <v>1927</v>
      </c>
      <c r="J161" s="529" t="s">
        <v>1930</v>
      </c>
      <c r="K161" s="529">
        <v>0</v>
      </c>
      <c r="L161" s="529">
        <v>29380</v>
      </c>
    </row>
    <row r="162" spans="1:12" x14ac:dyDescent="0.2">
      <c r="A162" s="516" t="s">
        <v>1934</v>
      </c>
      <c r="B162" s="517">
        <v>7593.82</v>
      </c>
      <c r="C162" s="517">
        <v>7518.3399999999992</v>
      </c>
      <c r="D162" s="517">
        <v>75.48</v>
      </c>
      <c r="E162" s="525">
        <v>54260</v>
      </c>
      <c r="F162" s="539">
        <v>9.9396614615568993E-3</v>
      </c>
      <c r="G162" s="527"/>
      <c r="I162" s="528" t="s">
        <v>1927</v>
      </c>
      <c r="J162" s="529" t="s">
        <v>1930</v>
      </c>
      <c r="K162" s="529">
        <v>0</v>
      </c>
      <c r="L162" s="529">
        <v>29380</v>
      </c>
    </row>
    <row r="163" spans="1:12" x14ac:dyDescent="0.2">
      <c r="A163" s="516" t="s">
        <v>1774</v>
      </c>
      <c r="B163" s="517">
        <v>13053.55</v>
      </c>
      <c r="C163" s="517">
        <v>12925.310000000001</v>
      </c>
      <c r="D163" s="517">
        <v>128.24</v>
      </c>
      <c r="E163" s="525">
        <v>53755</v>
      </c>
      <c r="F163" s="539">
        <v>9.8241474541408292E-3</v>
      </c>
      <c r="G163" s="527"/>
      <c r="I163" s="528" t="s">
        <v>1927</v>
      </c>
      <c r="J163" s="529" t="s">
        <v>1932</v>
      </c>
      <c r="K163" s="529">
        <v>0</v>
      </c>
      <c r="L163" s="529">
        <v>29647</v>
      </c>
    </row>
    <row r="164" spans="1:12" x14ac:dyDescent="0.2">
      <c r="A164" s="516" t="s">
        <v>1935</v>
      </c>
      <c r="B164" s="517">
        <v>25146.31</v>
      </c>
      <c r="C164" s="517">
        <v>24906.639999999999</v>
      </c>
      <c r="D164" s="517">
        <v>239.66999999999996</v>
      </c>
      <c r="E164" s="525">
        <v>29376</v>
      </c>
      <c r="F164" s="539">
        <v>9.5310206547203121E-3</v>
      </c>
      <c r="G164" s="527"/>
      <c r="I164" s="528" t="s">
        <v>1927</v>
      </c>
      <c r="J164" s="529" t="s">
        <v>1932</v>
      </c>
      <c r="K164" s="529">
        <v>0</v>
      </c>
      <c r="L164" s="529">
        <v>29647</v>
      </c>
    </row>
    <row r="165" spans="1:12" x14ac:dyDescent="0.2">
      <c r="A165" s="516" t="s">
        <v>1936</v>
      </c>
      <c r="B165" s="517">
        <v>31232.529999999988</v>
      </c>
      <c r="C165" s="517">
        <v>30946.129999999986</v>
      </c>
      <c r="D165" s="517">
        <v>286.39999999999998</v>
      </c>
      <c r="E165" s="525">
        <v>29696</v>
      </c>
      <c r="F165" s="539">
        <v>9.1699263556298538E-3</v>
      </c>
      <c r="G165" s="527"/>
      <c r="I165" s="528" t="s">
        <v>1927</v>
      </c>
      <c r="J165" s="529" t="s">
        <v>1932</v>
      </c>
      <c r="K165" s="529">
        <v>0</v>
      </c>
      <c r="L165" s="529">
        <v>29346</v>
      </c>
    </row>
    <row r="166" spans="1:12" x14ac:dyDescent="0.2">
      <c r="A166" s="516" t="s">
        <v>1937</v>
      </c>
      <c r="B166" s="517">
        <v>208709.67999999982</v>
      </c>
      <c r="C166" s="517">
        <v>206993.95999999988</v>
      </c>
      <c r="D166" s="517">
        <v>1715.7199999999996</v>
      </c>
      <c r="E166" s="525">
        <v>29303</v>
      </c>
      <c r="F166" s="539">
        <v>8.2206057716153903E-3</v>
      </c>
      <c r="G166" s="527"/>
      <c r="I166" s="528" t="s">
        <v>1927</v>
      </c>
      <c r="J166" s="529" t="s">
        <v>1932</v>
      </c>
      <c r="K166" s="529">
        <v>0</v>
      </c>
      <c r="L166" s="529">
        <v>29346</v>
      </c>
    </row>
    <row r="167" spans="1:12" x14ac:dyDescent="0.2">
      <c r="A167" s="516" t="s">
        <v>1938</v>
      </c>
      <c r="B167" s="517">
        <v>45227.489999999983</v>
      </c>
      <c r="C167" s="517">
        <v>44858.569999999985</v>
      </c>
      <c r="D167" s="517">
        <v>368.92</v>
      </c>
      <c r="E167" s="525">
        <v>29695</v>
      </c>
      <c r="F167" s="539">
        <v>8.1569859393037323E-3</v>
      </c>
      <c r="G167" s="527"/>
      <c r="I167" s="528" t="s">
        <v>1927</v>
      </c>
      <c r="J167" s="529" t="s">
        <v>1932</v>
      </c>
      <c r="K167" s="529">
        <v>0</v>
      </c>
      <c r="L167" s="529"/>
    </row>
    <row r="168" spans="1:12" x14ac:dyDescent="0.2">
      <c r="A168" s="516" t="s">
        <v>1939</v>
      </c>
      <c r="B168" s="517">
        <v>161081.25999999989</v>
      </c>
      <c r="C168" s="517">
        <v>159788.4899999999</v>
      </c>
      <c r="D168" s="517">
        <v>1292.77</v>
      </c>
      <c r="E168" s="525">
        <v>29295</v>
      </c>
      <c r="F168" s="539">
        <v>8.0255766561547932E-3</v>
      </c>
      <c r="G168" s="527"/>
      <c r="I168" s="528" t="s">
        <v>1927</v>
      </c>
      <c r="J168" s="529" t="s">
        <v>1932</v>
      </c>
      <c r="K168" s="529">
        <v>0</v>
      </c>
      <c r="L168" s="529">
        <v>54263</v>
      </c>
    </row>
    <row r="169" spans="1:12" x14ac:dyDescent="0.2">
      <c r="A169" s="516" t="s">
        <v>1940</v>
      </c>
      <c r="B169" s="517">
        <v>9108.130000000001</v>
      </c>
      <c r="C169" s="517">
        <v>9036.0700000000015</v>
      </c>
      <c r="D169" s="517">
        <v>72.06</v>
      </c>
      <c r="E169" s="525">
        <v>29445</v>
      </c>
      <c r="F169" s="539">
        <v>7.9116130314345525E-3</v>
      </c>
      <c r="G169" s="527"/>
      <c r="I169" s="528" t="s">
        <v>1927</v>
      </c>
      <c r="J169" s="529" t="s">
        <v>1932</v>
      </c>
      <c r="K169" s="529">
        <v>0</v>
      </c>
      <c r="L169" s="529"/>
    </row>
    <row r="170" spans="1:12" x14ac:dyDescent="0.2">
      <c r="A170" s="516" t="s">
        <v>1941</v>
      </c>
      <c r="B170" s="517">
        <v>14821.320000000002</v>
      </c>
      <c r="C170" s="517">
        <v>14713.220000000001</v>
      </c>
      <c r="D170" s="517">
        <v>108.1</v>
      </c>
      <c r="E170" s="525">
        <v>29658</v>
      </c>
      <c r="F170" s="539">
        <v>7.2935474033351943E-3</v>
      </c>
      <c r="G170" s="527"/>
      <c r="I170" s="528" t="s">
        <v>1927</v>
      </c>
      <c r="J170" s="529" t="s">
        <v>1932</v>
      </c>
      <c r="K170" s="529">
        <v>0</v>
      </c>
      <c r="L170" s="529"/>
    </row>
    <row r="171" spans="1:12" x14ac:dyDescent="0.2">
      <c r="A171" s="516" t="s">
        <v>1942</v>
      </c>
      <c r="B171" s="517">
        <v>41774.570000000007</v>
      </c>
      <c r="C171" s="517">
        <v>41475.149999999994</v>
      </c>
      <c r="D171" s="517">
        <v>299.42</v>
      </c>
      <c r="E171" s="525">
        <v>29358</v>
      </c>
      <c r="F171" s="539">
        <v>7.1675184208957734E-3</v>
      </c>
      <c r="G171" s="527"/>
      <c r="I171" s="528" t="s">
        <v>1927</v>
      </c>
      <c r="J171" s="529" t="s">
        <v>1932</v>
      </c>
      <c r="K171" s="529">
        <v>0</v>
      </c>
      <c r="L171" s="529"/>
    </row>
    <row r="172" spans="1:12" x14ac:dyDescent="0.2">
      <c r="A172" s="516" t="s">
        <v>1789</v>
      </c>
      <c r="B172" s="517">
        <v>37790.31</v>
      </c>
      <c r="C172" s="517">
        <v>37553.42</v>
      </c>
      <c r="D172" s="517">
        <v>236.89</v>
      </c>
      <c r="E172" s="525">
        <v>29301</v>
      </c>
      <c r="F172" s="539">
        <v>6.2685381517113775E-3</v>
      </c>
      <c r="G172" s="527"/>
      <c r="I172" s="528" t="s">
        <v>1927</v>
      </c>
      <c r="J172" s="529" t="s">
        <v>1930</v>
      </c>
      <c r="K172" s="529">
        <v>0</v>
      </c>
      <c r="L172" s="529"/>
    </row>
    <row r="173" spans="1:12" x14ac:dyDescent="0.2">
      <c r="A173" s="516" t="s">
        <v>1868</v>
      </c>
      <c r="B173" s="517">
        <v>2467.9699999999998</v>
      </c>
      <c r="C173" s="517">
        <v>2452.63</v>
      </c>
      <c r="D173" s="517">
        <v>15.34</v>
      </c>
      <c r="E173" s="525">
        <v>29554</v>
      </c>
      <c r="F173" s="539">
        <v>6.215634711929238E-3</v>
      </c>
      <c r="G173" s="527"/>
      <c r="I173" s="528" t="s">
        <v>1927</v>
      </c>
      <c r="J173" s="529" t="s">
        <v>1932</v>
      </c>
      <c r="K173" s="529">
        <v>0</v>
      </c>
      <c r="L173" s="529"/>
    </row>
    <row r="174" spans="1:12" x14ac:dyDescent="0.2">
      <c r="A174" s="516" t="s">
        <v>1943</v>
      </c>
      <c r="B174" s="517">
        <v>6023.3599999999988</v>
      </c>
      <c r="C174" s="517">
        <v>5987.5199999999986</v>
      </c>
      <c r="D174" s="517">
        <v>35.840000000000003</v>
      </c>
      <c r="E174" s="525">
        <v>29511</v>
      </c>
      <c r="F174" s="539">
        <v>5.9501673484566768E-3</v>
      </c>
      <c r="G174" s="527"/>
      <c r="I174" s="528" t="s">
        <v>1927</v>
      </c>
      <c r="J174" s="529" t="s">
        <v>1928</v>
      </c>
      <c r="K174" s="529">
        <v>0</v>
      </c>
      <c r="L174" s="529"/>
    </row>
    <row r="175" spans="1:12" x14ac:dyDescent="0.2">
      <c r="A175" s="516" t="s">
        <v>1944</v>
      </c>
      <c r="B175" s="517">
        <v>9122.0300000000007</v>
      </c>
      <c r="C175" s="517">
        <v>9070.8000000000029</v>
      </c>
      <c r="D175" s="517">
        <v>51.23</v>
      </c>
      <c r="E175" s="525">
        <v>29439</v>
      </c>
      <c r="F175" s="539">
        <v>5.6160744921908822E-3</v>
      </c>
      <c r="G175" s="527"/>
      <c r="I175" s="528" t="s">
        <v>1927</v>
      </c>
      <c r="J175" s="529" t="s">
        <v>1930</v>
      </c>
      <c r="K175" s="529" t="s">
        <v>1663</v>
      </c>
      <c r="L175" s="529">
        <v>29482</v>
      </c>
    </row>
    <row r="176" spans="1:12" x14ac:dyDescent="0.2">
      <c r="A176" s="516" t="s">
        <v>1784</v>
      </c>
      <c r="B176" s="517">
        <v>20375.23</v>
      </c>
      <c r="C176" s="517">
        <v>20263.59</v>
      </c>
      <c r="D176" s="517">
        <v>111.64</v>
      </c>
      <c r="E176" s="525">
        <v>54245</v>
      </c>
      <c r="F176" s="539">
        <v>5.4792019525669164E-3</v>
      </c>
      <c r="G176" s="527"/>
      <c r="I176" s="528" t="s">
        <v>1927</v>
      </c>
      <c r="J176" s="529" t="s">
        <v>1945</v>
      </c>
      <c r="K176" s="529" t="s">
        <v>1663</v>
      </c>
      <c r="L176" s="529">
        <v>29322</v>
      </c>
    </row>
    <row r="177" spans="1:12" x14ac:dyDescent="0.2">
      <c r="A177" s="516" t="s">
        <v>1625</v>
      </c>
      <c r="B177" s="517">
        <v>96138.240000000049</v>
      </c>
      <c r="C177" s="517">
        <v>95657.21000000005</v>
      </c>
      <c r="D177" s="517">
        <v>481.03000000000003</v>
      </c>
      <c r="E177" s="525">
        <v>29354</v>
      </c>
      <c r="F177" s="539">
        <v>5.0035240919742213E-3</v>
      </c>
      <c r="G177" s="527"/>
      <c r="I177" s="528" t="s">
        <v>1927</v>
      </c>
      <c r="J177" s="529" t="s">
        <v>1946</v>
      </c>
      <c r="K177" s="529" t="s">
        <v>1663</v>
      </c>
      <c r="L177" s="529">
        <v>29322</v>
      </c>
    </row>
    <row r="178" spans="1:12" x14ac:dyDescent="0.2">
      <c r="A178" s="516" t="s">
        <v>1947</v>
      </c>
      <c r="B178" s="517">
        <v>38080.089999999997</v>
      </c>
      <c r="C178" s="517">
        <v>37895.89</v>
      </c>
      <c r="D178" s="517">
        <v>184.2</v>
      </c>
      <c r="E178" s="525">
        <v>29330</v>
      </c>
      <c r="F178" s="539">
        <v>4.8371734415543662E-3</v>
      </c>
      <c r="G178" s="527"/>
      <c r="I178" s="528" t="s">
        <v>1927</v>
      </c>
      <c r="J178" s="529" t="s">
        <v>1948</v>
      </c>
      <c r="K178" s="529" t="s">
        <v>1663</v>
      </c>
      <c r="L178" s="529"/>
    </row>
    <row r="179" spans="1:12" x14ac:dyDescent="0.2">
      <c r="A179" s="516" t="s">
        <v>1825</v>
      </c>
      <c r="B179" s="517">
        <v>23887.660000000003</v>
      </c>
      <c r="C179" s="517">
        <v>23792.850000000002</v>
      </c>
      <c r="D179" s="517">
        <v>94.81</v>
      </c>
      <c r="E179" s="525">
        <v>29529</v>
      </c>
      <c r="F179" s="539">
        <v>3.9689948701547156E-3</v>
      </c>
      <c r="G179" s="527"/>
      <c r="I179" s="528" t="s">
        <v>1927</v>
      </c>
      <c r="J179" s="529" t="s">
        <v>1949</v>
      </c>
      <c r="K179" s="529" t="s">
        <v>1663</v>
      </c>
      <c r="L179" s="529"/>
    </row>
    <row r="180" spans="1:12" x14ac:dyDescent="0.2">
      <c r="A180" s="516" t="s">
        <v>1810</v>
      </c>
      <c r="B180" s="517">
        <v>62962.540000000023</v>
      </c>
      <c r="C180" s="517">
        <v>62713.550000000025</v>
      </c>
      <c r="D180" s="517">
        <v>248.99</v>
      </c>
      <c r="E180" s="525">
        <v>0</v>
      </c>
      <c r="F180" s="539">
        <v>3.9545736242534036E-3</v>
      </c>
      <c r="G180" s="527"/>
      <c r="I180" s="528" t="s">
        <v>1927</v>
      </c>
      <c r="J180" s="529" t="s">
        <v>1950</v>
      </c>
      <c r="K180" s="529" t="s">
        <v>1663</v>
      </c>
      <c r="L180" s="529"/>
    </row>
    <row r="181" spans="1:12" x14ac:dyDescent="0.2">
      <c r="A181" s="516" t="s">
        <v>1951</v>
      </c>
      <c r="B181" s="517">
        <v>81321.740000000034</v>
      </c>
      <c r="C181" s="517">
        <v>81139.870000000039</v>
      </c>
      <c r="D181" s="517">
        <v>181.87</v>
      </c>
      <c r="E181" s="525">
        <v>29322</v>
      </c>
      <c r="F181" s="539">
        <v>2.236425339644724E-3</v>
      </c>
      <c r="G181" s="527"/>
      <c r="I181" s="528" t="s">
        <v>1927</v>
      </c>
      <c r="J181" s="529" t="s">
        <v>1952</v>
      </c>
      <c r="K181" s="529" t="s">
        <v>1663</v>
      </c>
      <c r="L181" s="529"/>
    </row>
    <row r="182" spans="1:12" x14ac:dyDescent="0.2">
      <c r="A182" s="516" t="s">
        <v>1953</v>
      </c>
      <c r="B182" s="517">
        <v>22801.85</v>
      </c>
      <c r="C182" s="517">
        <v>22751.809999999998</v>
      </c>
      <c r="D182" s="517">
        <v>50.04</v>
      </c>
      <c r="E182" s="525">
        <v>52011</v>
      </c>
      <c r="F182" s="539">
        <v>2.1945587748362526E-3</v>
      </c>
      <c r="G182" s="527"/>
      <c r="I182" s="528" t="s">
        <v>1927</v>
      </c>
      <c r="J182" s="529" t="s">
        <v>1954</v>
      </c>
      <c r="K182" s="529" t="s">
        <v>1663</v>
      </c>
      <c r="L182" s="529"/>
    </row>
    <row r="183" spans="1:12" x14ac:dyDescent="0.2">
      <c r="A183" s="516" t="s">
        <v>1579</v>
      </c>
      <c r="B183" s="517">
        <v>23511.94</v>
      </c>
      <c r="C183" s="517">
        <v>23511.94</v>
      </c>
      <c r="D183" s="517">
        <v>0</v>
      </c>
      <c r="E183" s="525">
        <v>49504</v>
      </c>
      <c r="F183" s="539">
        <v>0</v>
      </c>
      <c r="G183" s="527"/>
      <c r="I183" s="528" t="s">
        <v>1927</v>
      </c>
      <c r="J183" s="529" t="s">
        <v>1928</v>
      </c>
      <c r="K183" s="529" t="s">
        <v>1663</v>
      </c>
      <c r="L183" s="529">
        <v>0</v>
      </c>
    </row>
    <row r="184" spans="1:12" x14ac:dyDescent="0.2">
      <c r="A184" s="516" t="s">
        <v>1612</v>
      </c>
      <c r="B184" s="517">
        <v>4878.8999999999996</v>
      </c>
      <c r="C184" s="517">
        <v>4878.8999999999996</v>
      </c>
      <c r="D184" s="517">
        <v>0</v>
      </c>
      <c r="E184" s="525">
        <v>51869</v>
      </c>
      <c r="F184" s="539">
        <v>0</v>
      </c>
      <c r="G184" s="527"/>
      <c r="I184" s="528" t="s">
        <v>1927</v>
      </c>
      <c r="J184" s="529" t="s">
        <v>1955</v>
      </c>
      <c r="K184" s="529" t="s">
        <v>1663</v>
      </c>
      <c r="L184" s="529"/>
    </row>
    <row r="185" spans="1:12" x14ac:dyDescent="0.2">
      <c r="A185" s="516" t="s">
        <v>1956</v>
      </c>
      <c r="B185" s="517">
        <v>1168.72</v>
      </c>
      <c r="C185" s="517">
        <v>1168.72</v>
      </c>
      <c r="D185" s="517">
        <v>0</v>
      </c>
      <c r="E185" s="525">
        <v>0</v>
      </c>
      <c r="F185" s="539">
        <v>0</v>
      </c>
      <c r="G185" s="527"/>
      <c r="I185" s="528" t="s">
        <v>1927</v>
      </c>
      <c r="J185" s="529" t="s">
        <v>1957</v>
      </c>
      <c r="K185" s="529" t="s">
        <v>1663</v>
      </c>
      <c r="L185" s="529"/>
    </row>
    <row r="186" spans="1:12" x14ac:dyDescent="0.2">
      <c r="A186" s="516" t="s">
        <v>1616</v>
      </c>
      <c r="B186" s="517">
        <v>3661.52</v>
      </c>
      <c r="C186" s="517">
        <v>3661.52</v>
      </c>
      <c r="D186" s="517">
        <v>0</v>
      </c>
      <c r="E186" s="525">
        <v>0</v>
      </c>
      <c r="F186" s="539">
        <v>0</v>
      </c>
      <c r="G186" s="527"/>
      <c r="I186" s="528" t="s">
        <v>1927</v>
      </c>
      <c r="J186" s="529" t="s">
        <v>1958</v>
      </c>
      <c r="K186" s="529" t="s">
        <v>1663</v>
      </c>
      <c r="L186" s="529">
        <v>29295</v>
      </c>
    </row>
    <row r="187" spans="1:12" x14ac:dyDescent="0.2">
      <c r="A187" s="516" t="s">
        <v>1657</v>
      </c>
      <c r="B187" s="517">
        <v>7025.44</v>
      </c>
      <c r="C187" s="517">
        <v>7025.44</v>
      </c>
      <c r="D187" s="517">
        <v>0</v>
      </c>
      <c r="E187" s="525">
        <v>29539</v>
      </c>
      <c r="F187" s="539">
        <v>0</v>
      </c>
      <c r="G187" s="527"/>
      <c r="I187" s="528" t="s">
        <v>1927</v>
      </c>
      <c r="J187" s="529" t="s">
        <v>1959</v>
      </c>
      <c r="K187" s="529" t="s">
        <v>1663</v>
      </c>
      <c r="L187" s="529"/>
    </row>
    <row r="188" spans="1:12" x14ac:dyDescent="0.2">
      <c r="A188" s="516" t="s">
        <v>1661</v>
      </c>
      <c r="B188" s="517">
        <v>31146.739999999998</v>
      </c>
      <c r="C188" s="517">
        <v>31146.739999999998</v>
      </c>
      <c r="D188" s="517">
        <v>0</v>
      </c>
      <c r="E188" s="525">
        <v>29459</v>
      </c>
      <c r="G188" s="384">
        <v>0</v>
      </c>
      <c r="I188" s="528" t="s">
        <v>1927</v>
      </c>
      <c r="J188" s="529" t="s">
        <v>1960</v>
      </c>
      <c r="K188" s="529" t="s">
        <v>1663</v>
      </c>
      <c r="L188" s="529"/>
    </row>
    <row r="189" spans="1:12" x14ac:dyDescent="0.2">
      <c r="A189" s="516" t="s">
        <v>1687</v>
      </c>
      <c r="B189" s="517">
        <v>4247.7</v>
      </c>
      <c r="C189" s="517">
        <v>4247.7</v>
      </c>
      <c r="D189" s="517">
        <v>0</v>
      </c>
      <c r="E189" s="525">
        <v>0</v>
      </c>
      <c r="G189" s="384">
        <v>0</v>
      </c>
      <c r="I189" s="528" t="s">
        <v>1927</v>
      </c>
      <c r="J189" s="529" t="s">
        <v>1961</v>
      </c>
      <c r="K189" s="529" t="s">
        <v>1663</v>
      </c>
      <c r="L189" s="529">
        <v>0</v>
      </c>
    </row>
    <row r="190" spans="1:12" x14ac:dyDescent="0.2">
      <c r="A190" s="516" t="s">
        <v>1705</v>
      </c>
      <c r="B190" s="517">
        <v>2279.04</v>
      </c>
      <c r="C190" s="517">
        <v>2279.04</v>
      </c>
      <c r="D190" s="517">
        <v>0</v>
      </c>
      <c r="E190" s="525">
        <v>0</v>
      </c>
      <c r="F190" s="539">
        <v>0</v>
      </c>
      <c r="G190" s="527"/>
      <c r="I190" s="528" t="s">
        <v>1927</v>
      </c>
      <c r="J190" s="529" t="s">
        <v>1962</v>
      </c>
      <c r="K190" s="529" t="s">
        <v>1663</v>
      </c>
      <c r="L190" s="529">
        <v>29663</v>
      </c>
    </row>
    <row r="191" spans="1:12" x14ac:dyDescent="0.2">
      <c r="A191" s="516" t="s">
        <v>1756</v>
      </c>
      <c r="B191" s="517">
        <v>4648.0399999999991</v>
      </c>
      <c r="C191" s="517">
        <v>4648.0399999999991</v>
      </c>
      <c r="D191" s="517">
        <v>0</v>
      </c>
      <c r="E191" s="525">
        <v>29487</v>
      </c>
      <c r="F191" s="539">
        <v>0</v>
      </c>
      <c r="G191" s="527"/>
      <c r="I191" s="528" t="s">
        <v>1927</v>
      </c>
      <c r="J191" s="529" t="s">
        <v>1963</v>
      </c>
      <c r="K191" s="529" t="s">
        <v>1663</v>
      </c>
      <c r="L191" s="529">
        <v>29663</v>
      </c>
    </row>
    <row r="192" spans="1:12" x14ac:dyDescent="0.2">
      <c r="A192" s="516" t="s">
        <v>1807</v>
      </c>
      <c r="B192" s="517">
        <v>5222.8899999999994</v>
      </c>
      <c r="C192" s="517">
        <v>5222.8899999999994</v>
      </c>
      <c r="D192" s="517">
        <v>0</v>
      </c>
      <c r="E192" s="525">
        <v>51767</v>
      </c>
      <c r="F192" s="539">
        <v>0</v>
      </c>
      <c r="G192" s="527"/>
      <c r="I192" s="528" t="s">
        <v>1927</v>
      </c>
      <c r="J192" s="529" t="s">
        <v>1964</v>
      </c>
      <c r="K192" s="529" t="s">
        <v>1663</v>
      </c>
      <c r="L192" s="529">
        <v>29663</v>
      </c>
    </row>
    <row r="193" spans="1:12" x14ac:dyDescent="0.2">
      <c r="A193" s="516" t="s">
        <v>1823</v>
      </c>
      <c r="B193" s="517">
        <v>1675.92</v>
      </c>
      <c r="C193" s="517">
        <v>1675.92</v>
      </c>
      <c r="D193" s="517">
        <v>0</v>
      </c>
      <c r="E193" s="525">
        <v>0</v>
      </c>
      <c r="F193" s="539">
        <v>0</v>
      </c>
      <c r="G193" s="527"/>
      <c r="I193" s="528" t="s">
        <v>1927</v>
      </c>
      <c r="J193" s="529" t="s">
        <v>1965</v>
      </c>
      <c r="K193" s="529" t="s">
        <v>1663</v>
      </c>
      <c r="L193" s="529"/>
    </row>
    <row r="194" spans="1:12" x14ac:dyDescent="0.2">
      <c r="A194" s="516" t="s">
        <v>1843</v>
      </c>
      <c r="B194" s="517">
        <v>11047.04</v>
      </c>
      <c r="C194" s="517">
        <v>11047.04</v>
      </c>
      <c r="D194" s="517">
        <v>0</v>
      </c>
      <c r="E194" s="525">
        <v>29691</v>
      </c>
      <c r="F194" s="539">
        <v>0</v>
      </c>
      <c r="G194" s="527"/>
      <c r="I194" s="528" t="s">
        <v>1927</v>
      </c>
      <c r="J194" s="529" t="s">
        <v>1966</v>
      </c>
      <c r="K194" s="529" t="s">
        <v>1663</v>
      </c>
      <c r="L194" s="529">
        <v>29355</v>
      </c>
    </row>
    <row r="195" spans="1:12" x14ac:dyDescent="0.2">
      <c r="A195" s="516" t="s">
        <v>1846</v>
      </c>
      <c r="B195" s="517">
        <v>3257.88</v>
      </c>
      <c r="C195" s="517">
        <v>3257.88</v>
      </c>
      <c r="D195" s="517">
        <v>0</v>
      </c>
      <c r="E195" s="525">
        <v>29490</v>
      </c>
      <c r="F195" s="539">
        <v>0</v>
      </c>
      <c r="G195" s="527"/>
      <c r="I195" s="528" t="s">
        <v>1927</v>
      </c>
      <c r="J195" s="529" t="s">
        <v>1967</v>
      </c>
      <c r="K195" s="529" t="s">
        <v>1663</v>
      </c>
      <c r="L195" s="529">
        <v>29688</v>
      </c>
    </row>
    <row r="196" spans="1:12" x14ac:dyDescent="0.2">
      <c r="A196" s="516" t="s">
        <v>1849</v>
      </c>
      <c r="B196" s="517">
        <v>2995.98</v>
      </c>
      <c r="C196" s="517">
        <v>2995.98</v>
      </c>
      <c r="D196" s="517">
        <v>0</v>
      </c>
      <c r="E196" s="525">
        <v>52643</v>
      </c>
      <c r="F196" s="539">
        <v>0</v>
      </c>
      <c r="G196" s="527"/>
      <c r="I196" s="528" t="s">
        <v>1927</v>
      </c>
      <c r="J196" s="529" t="s">
        <v>1968</v>
      </c>
      <c r="K196" s="529" t="s">
        <v>1663</v>
      </c>
      <c r="L196" s="529"/>
    </row>
    <row r="197" spans="1:12" x14ac:dyDescent="0.2">
      <c r="A197" s="516" t="s">
        <v>1853</v>
      </c>
      <c r="B197" s="517">
        <v>3697.45</v>
      </c>
      <c r="C197" s="517">
        <v>3697.45</v>
      </c>
      <c r="D197" s="517">
        <v>0</v>
      </c>
      <c r="E197" s="525">
        <v>52027</v>
      </c>
      <c r="F197" s="539">
        <v>0</v>
      </c>
      <c r="G197" s="527"/>
      <c r="I197" s="528" t="s">
        <v>1969</v>
      </c>
      <c r="J197" s="529" t="s">
        <v>1970</v>
      </c>
      <c r="K197" s="529" t="s">
        <v>445</v>
      </c>
      <c r="L197" s="529">
        <v>29296</v>
      </c>
    </row>
    <row r="198" spans="1:12" x14ac:dyDescent="0.2">
      <c r="A198" s="516" t="s">
        <v>1856</v>
      </c>
      <c r="B198" s="517">
        <v>2668.9799999999996</v>
      </c>
      <c r="C198" s="517">
        <v>2668.9799999999996</v>
      </c>
      <c r="D198" s="517">
        <v>0</v>
      </c>
      <c r="E198" s="525">
        <v>52027</v>
      </c>
      <c r="F198" s="539">
        <v>0</v>
      </c>
      <c r="G198" s="527"/>
      <c r="I198" s="528" t="s">
        <v>1643</v>
      </c>
      <c r="J198" s="529" t="s">
        <v>1971</v>
      </c>
      <c r="K198" s="529" t="s">
        <v>470</v>
      </c>
      <c r="L198" s="529">
        <v>0</v>
      </c>
    </row>
    <row r="199" spans="1:12" x14ac:dyDescent="0.2">
      <c r="A199" s="516" t="s">
        <v>1866</v>
      </c>
      <c r="B199" s="517">
        <v>70237.300000000017</v>
      </c>
      <c r="C199" s="517">
        <v>70237.300000000017</v>
      </c>
      <c r="D199" s="517">
        <v>0</v>
      </c>
      <c r="E199" s="525">
        <v>53983</v>
      </c>
      <c r="F199" s="539">
        <v>0</v>
      </c>
      <c r="G199" s="527"/>
      <c r="I199" s="528" t="s">
        <v>1643</v>
      </c>
      <c r="J199" s="529" t="s">
        <v>1972</v>
      </c>
      <c r="K199" s="529" t="s">
        <v>470</v>
      </c>
      <c r="L199" s="529">
        <v>0</v>
      </c>
    </row>
    <row r="200" spans="1:12" x14ac:dyDescent="0.2">
      <c r="A200" s="516" t="s">
        <v>1879</v>
      </c>
      <c r="B200" s="517">
        <v>11524.21</v>
      </c>
      <c r="C200" s="517">
        <v>11524.21</v>
      </c>
      <c r="D200" s="517">
        <v>0</v>
      </c>
      <c r="E200" s="525">
        <v>29371</v>
      </c>
      <c r="F200" s="539">
        <v>0</v>
      </c>
      <c r="G200" s="527"/>
      <c r="I200" s="528" t="s">
        <v>1942</v>
      </c>
      <c r="J200" s="529" t="s">
        <v>1973</v>
      </c>
      <c r="K200" s="529" t="s">
        <v>463</v>
      </c>
      <c r="L200" s="529">
        <v>29296</v>
      </c>
    </row>
    <row r="201" spans="1:12" x14ac:dyDescent="0.2">
      <c r="A201" s="516" t="s">
        <v>1888</v>
      </c>
      <c r="B201" s="517">
        <v>6697.6</v>
      </c>
      <c r="C201" s="517">
        <v>6697.6</v>
      </c>
      <c r="D201" s="517">
        <v>0</v>
      </c>
      <c r="E201" s="525">
        <v>29343</v>
      </c>
      <c r="F201" s="539">
        <v>0</v>
      </c>
      <c r="G201" s="527"/>
      <c r="I201" s="528" t="s">
        <v>1942</v>
      </c>
      <c r="J201" s="529" t="s">
        <v>1974</v>
      </c>
      <c r="K201" s="529" t="s">
        <v>463</v>
      </c>
      <c r="L201" s="529"/>
    </row>
    <row r="202" spans="1:12" x14ac:dyDescent="0.2">
      <c r="A202" s="516" t="s">
        <v>1893</v>
      </c>
      <c r="B202" s="517">
        <v>949.59999999999991</v>
      </c>
      <c r="C202" s="517">
        <v>949.59999999999991</v>
      </c>
      <c r="D202" s="517">
        <v>0</v>
      </c>
      <c r="E202" s="525">
        <v>53943</v>
      </c>
      <c r="F202" s="539">
        <v>0</v>
      </c>
      <c r="G202" s="527"/>
      <c r="I202" s="528" t="s">
        <v>1975</v>
      </c>
      <c r="J202" s="529" t="s">
        <v>1976</v>
      </c>
      <c r="K202" s="529" t="s">
        <v>1977</v>
      </c>
      <c r="L202" s="529"/>
    </row>
    <row r="203" spans="1:12" x14ac:dyDescent="0.2">
      <c r="A203" s="516" t="s">
        <v>1924</v>
      </c>
      <c r="B203" s="517">
        <v>16688.780000000002</v>
      </c>
      <c r="C203" s="517">
        <v>16688.780000000002</v>
      </c>
      <c r="D203" s="517">
        <v>0</v>
      </c>
      <c r="E203" s="525">
        <v>29459</v>
      </c>
      <c r="G203" s="384">
        <v>0</v>
      </c>
      <c r="I203" s="528" t="s">
        <v>1624</v>
      </c>
      <c r="J203" s="529" t="s">
        <v>1978</v>
      </c>
      <c r="K203" s="529" t="s">
        <v>788</v>
      </c>
      <c r="L203" s="529">
        <v>53358</v>
      </c>
    </row>
    <row r="204" spans="1:12" x14ac:dyDescent="0.2">
      <c r="A204" s="516" t="s">
        <v>1927</v>
      </c>
      <c r="B204" s="517">
        <v>909102.01000000024</v>
      </c>
      <c r="C204" s="517">
        <v>909102.01000000024</v>
      </c>
      <c r="D204" s="517">
        <v>0</v>
      </c>
      <c r="E204" s="525">
        <v>29459</v>
      </c>
      <c r="G204" s="384">
        <v>0</v>
      </c>
      <c r="I204" s="528" t="s">
        <v>1586</v>
      </c>
      <c r="J204" s="529" t="s">
        <v>1979</v>
      </c>
      <c r="K204" s="529" t="s">
        <v>930</v>
      </c>
      <c r="L204" s="529"/>
    </row>
    <row r="205" spans="1:12" x14ac:dyDescent="0.2">
      <c r="A205" s="516" t="s">
        <v>1969</v>
      </c>
      <c r="B205" s="517">
        <v>2551.9699999999998</v>
      </c>
      <c r="C205" s="517">
        <v>2551.9699999999998</v>
      </c>
      <c r="D205" s="517">
        <v>0</v>
      </c>
      <c r="E205" s="525">
        <v>29334</v>
      </c>
      <c r="G205" s="384">
        <v>0</v>
      </c>
      <c r="I205" s="528" t="s">
        <v>1896</v>
      </c>
      <c r="J205" s="529" t="s">
        <v>1980</v>
      </c>
      <c r="K205" s="529" t="s">
        <v>723</v>
      </c>
      <c r="L205" s="529"/>
    </row>
    <row r="206" spans="1:12" x14ac:dyDescent="0.2">
      <c r="A206" s="516" t="s">
        <v>1975</v>
      </c>
      <c r="B206" s="517">
        <v>4843.7899999999991</v>
      </c>
      <c r="C206" s="517">
        <v>4843.7899999999991</v>
      </c>
      <c r="D206" s="517">
        <v>0</v>
      </c>
      <c r="E206" s="525">
        <v>52743</v>
      </c>
      <c r="F206" s="539">
        <v>0</v>
      </c>
      <c r="G206" s="527"/>
      <c r="I206" s="528" t="s">
        <v>1935</v>
      </c>
      <c r="J206" s="529" t="s">
        <v>1981</v>
      </c>
      <c r="K206" s="529" t="s">
        <v>751</v>
      </c>
      <c r="L206" s="529"/>
    </row>
    <row r="207" spans="1:12" x14ac:dyDescent="0.2">
      <c r="A207" s="516" t="s">
        <v>1982</v>
      </c>
      <c r="B207" s="517">
        <v>3095.1099999999997</v>
      </c>
      <c r="C207" s="517">
        <v>3095.1099999999997</v>
      </c>
      <c r="D207" s="517">
        <v>0</v>
      </c>
      <c r="E207" s="525">
        <v>53358</v>
      </c>
      <c r="F207" s="539">
        <v>0</v>
      </c>
      <c r="G207" s="527"/>
      <c r="I207" s="528" t="s">
        <v>1935</v>
      </c>
      <c r="J207" s="529" t="s">
        <v>1983</v>
      </c>
      <c r="K207" s="529" t="s">
        <v>751</v>
      </c>
      <c r="L207" s="529"/>
    </row>
    <row r="208" spans="1:12" x14ac:dyDescent="0.2">
      <c r="A208" s="516" t="s">
        <v>1984</v>
      </c>
      <c r="B208" s="517">
        <v>175.69</v>
      </c>
      <c r="C208" s="517">
        <v>175.69</v>
      </c>
      <c r="D208" s="517">
        <v>0</v>
      </c>
      <c r="E208" s="525">
        <v>0</v>
      </c>
      <c r="F208" s="539">
        <v>0</v>
      </c>
      <c r="G208" s="527"/>
      <c r="I208" s="528" t="s">
        <v>1941</v>
      </c>
      <c r="J208" s="529" t="s">
        <v>1985</v>
      </c>
      <c r="K208" s="529" t="s">
        <v>723</v>
      </c>
      <c r="L208" s="529">
        <v>0</v>
      </c>
    </row>
    <row r="209" spans="1:12" x14ac:dyDescent="0.2">
      <c r="A209" s="516" t="s">
        <v>1986</v>
      </c>
      <c r="B209" s="517">
        <v>5620.6</v>
      </c>
      <c r="C209" s="517">
        <v>5620.6</v>
      </c>
      <c r="D209" s="517">
        <v>0</v>
      </c>
      <c r="E209" s="525">
        <v>54164</v>
      </c>
      <c r="F209" s="539">
        <v>0</v>
      </c>
      <c r="G209" s="527"/>
      <c r="I209" s="528" t="s">
        <v>1912</v>
      </c>
      <c r="J209" s="529" t="s">
        <v>1987</v>
      </c>
      <c r="K209" s="529" t="s">
        <v>820</v>
      </c>
      <c r="L209" s="529">
        <v>0</v>
      </c>
    </row>
    <row r="210" spans="1:12" x14ac:dyDescent="0.2">
      <c r="A210" s="516" t="s">
        <v>1988</v>
      </c>
      <c r="B210" s="517">
        <v>30.2</v>
      </c>
      <c r="C210" s="517">
        <v>30.2</v>
      </c>
      <c r="D210" s="517">
        <v>0</v>
      </c>
      <c r="E210" s="525">
        <v>29685</v>
      </c>
      <c r="F210" s="539">
        <v>0</v>
      </c>
      <c r="G210" s="527"/>
      <c r="I210" s="528" t="s">
        <v>1668</v>
      </c>
      <c r="J210" s="529" t="s">
        <v>1989</v>
      </c>
      <c r="K210" s="529">
        <v>12004242</v>
      </c>
      <c r="L210" s="529">
        <v>0</v>
      </c>
    </row>
    <row r="211" spans="1:12" x14ac:dyDescent="0.2">
      <c r="A211" s="516" t="s">
        <v>1990</v>
      </c>
      <c r="B211" s="517">
        <v>3744.99</v>
      </c>
      <c r="C211" s="517">
        <v>3744.99</v>
      </c>
      <c r="D211" s="517">
        <v>0</v>
      </c>
      <c r="E211" s="525">
        <v>54265</v>
      </c>
      <c r="F211" s="539">
        <v>0</v>
      </c>
      <c r="G211" s="527"/>
      <c r="I211" s="528" t="s">
        <v>1668</v>
      </c>
      <c r="J211" s="529" t="s">
        <v>1991</v>
      </c>
      <c r="K211" s="529" t="s">
        <v>738</v>
      </c>
      <c r="L211" s="529">
        <v>0</v>
      </c>
    </row>
    <row r="212" spans="1:12" x14ac:dyDescent="0.2">
      <c r="A212" s="516" t="s">
        <v>1992</v>
      </c>
      <c r="B212" s="517">
        <v>16393.039999999997</v>
      </c>
      <c r="C212" s="517">
        <v>16393.039999999997</v>
      </c>
      <c r="D212" s="517">
        <v>0</v>
      </c>
      <c r="E212" s="525">
        <v>51166</v>
      </c>
      <c r="F212" s="539">
        <v>0</v>
      </c>
      <c r="G212" s="527"/>
      <c r="I212" s="532" t="s">
        <v>1629</v>
      </c>
      <c r="J212" s="533" t="s">
        <v>1993</v>
      </c>
      <c r="K212" s="534" t="s">
        <v>1994</v>
      </c>
      <c r="L212" s="529"/>
    </row>
    <row r="213" spans="1:12" x14ac:dyDescent="0.2">
      <c r="A213" s="516" t="s">
        <v>1995</v>
      </c>
      <c r="B213" s="517">
        <v>5662.82</v>
      </c>
      <c r="C213" s="517">
        <v>5662.82</v>
      </c>
      <c r="D213" s="517">
        <v>0</v>
      </c>
      <c r="E213" s="525">
        <v>29307</v>
      </c>
      <c r="F213" s="539">
        <v>0</v>
      </c>
      <c r="G213" s="527"/>
      <c r="I213" s="532" t="s">
        <v>1629</v>
      </c>
      <c r="J213" s="533" t="s">
        <v>1996</v>
      </c>
      <c r="K213" s="534" t="s">
        <v>1994</v>
      </c>
      <c r="L213" s="529">
        <v>29408</v>
      </c>
    </row>
    <row r="214" spans="1:12" x14ac:dyDescent="0.2">
      <c r="A214" s="516" t="s">
        <v>1997</v>
      </c>
      <c r="B214" s="517">
        <v>6309.9000000000005</v>
      </c>
      <c r="C214" s="517">
        <v>6309.9000000000005</v>
      </c>
      <c r="D214" s="517">
        <v>0</v>
      </c>
      <c r="E214" s="525">
        <v>52792</v>
      </c>
      <c r="F214" s="539">
        <v>0</v>
      </c>
      <c r="G214" s="527"/>
      <c r="I214" s="528" t="s">
        <v>1781</v>
      </c>
      <c r="J214" s="529" t="s">
        <v>1998</v>
      </c>
      <c r="K214" s="529" t="s">
        <v>405</v>
      </c>
      <c r="L214" s="529">
        <v>29408</v>
      </c>
    </row>
    <row r="215" spans="1:12" x14ac:dyDescent="0.2">
      <c r="A215" s="516" t="s">
        <v>1999</v>
      </c>
      <c r="B215" s="517">
        <v>3697.45</v>
      </c>
      <c r="C215" s="517">
        <v>3697.45</v>
      </c>
      <c r="D215" s="517">
        <v>0</v>
      </c>
      <c r="E215" s="525">
        <v>29379</v>
      </c>
      <c r="F215" s="539">
        <v>0</v>
      </c>
      <c r="G215" s="527"/>
      <c r="I215" s="528" t="s">
        <v>1781</v>
      </c>
      <c r="J215" s="529" t="s">
        <v>2000</v>
      </c>
      <c r="K215" s="529" t="s">
        <v>405</v>
      </c>
      <c r="L215" s="529">
        <v>29384</v>
      </c>
    </row>
    <row r="216" spans="1:12" x14ac:dyDescent="0.2">
      <c r="A216" s="516" t="s">
        <v>2001</v>
      </c>
      <c r="B216" s="517">
        <v>3428.81</v>
      </c>
      <c r="C216" s="517">
        <v>3428.81</v>
      </c>
      <c r="D216" s="517">
        <v>0</v>
      </c>
      <c r="E216" s="525">
        <v>29539</v>
      </c>
      <c r="F216" s="539">
        <v>0</v>
      </c>
      <c r="G216" s="527"/>
      <c r="I216" s="528" t="s">
        <v>1982</v>
      </c>
      <c r="J216" s="529" t="s">
        <v>2002</v>
      </c>
      <c r="K216" s="529" t="s">
        <v>805</v>
      </c>
      <c r="L216" s="529">
        <v>29516</v>
      </c>
    </row>
    <row r="217" spans="1:12" x14ac:dyDescent="0.2">
      <c r="A217" s="516" t="s">
        <v>2003</v>
      </c>
      <c r="B217" s="517">
        <v>12034.300000000001</v>
      </c>
      <c r="C217" s="517">
        <v>12034.300000000001</v>
      </c>
      <c r="D217" s="517">
        <v>0</v>
      </c>
      <c r="E217" s="525">
        <v>50519</v>
      </c>
      <c r="F217" s="539">
        <v>0</v>
      </c>
      <c r="G217" s="527"/>
      <c r="I217" s="528" t="s">
        <v>1890</v>
      </c>
      <c r="J217" s="529" t="s">
        <v>2004</v>
      </c>
      <c r="K217" s="529" t="s">
        <v>749</v>
      </c>
      <c r="L217" s="529">
        <v>29516</v>
      </c>
    </row>
    <row r="218" spans="1:12" x14ac:dyDescent="0.2">
      <c r="A218" s="516" t="s">
        <v>2005</v>
      </c>
      <c r="B218" s="517">
        <v>55541.060000000005</v>
      </c>
      <c r="C218" s="517">
        <v>55541.060000000005</v>
      </c>
      <c r="D218" s="517">
        <v>0</v>
      </c>
      <c r="E218" s="525">
        <v>53957</v>
      </c>
      <c r="F218" s="539">
        <v>0</v>
      </c>
      <c r="G218" s="527"/>
      <c r="I218" s="528" t="s">
        <v>1890</v>
      </c>
      <c r="J218" s="529" t="s">
        <v>2006</v>
      </c>
      <c r="K218" s="529">
        <v>12001368</v>
      </c>
      <c r="L218" s="529">
        <v>29451</v>
      </c>
    </row>
    <row r="219" spans="1:12" x14ac:dyDescent="0.2">
      <c r="A219" s="516" t="s">
        <v>2007</v>
      </c>
      <c r="B219" s="517">
        <v>8368.48</v>
      </c>
      <c r="C219" s="517">
        <v>8368.48</v>
      </c>
      <c r="D219" s="517">
        <v>0</v>
      </c>
      <c r="E219" s="525">
        <v>29687</v>
      </c>
      <c r="F219" s="539">
        <v>0</v>
      </c>
      <c r="G219" s="527"/>
      <c r="I219" s="528" t="s">
        <v>1901</v>
      </c>
      <c r="J219" s="529" t="s">
        <v>2008</v>
      </c>
      <c r="K219" s="529" t="s">
        <v>759</v>
      </c>
      <c r="L219" s="529">
        <v>29451</v>
      </c>
    </row>
    <row r="220" spans="1:12" x14ac:dyDescent="0.2">
      <c r="A220" s="516" t="s">
        <v>2009</v>
      </c>
      <c r="B220" s="517">
        <v>11023.77</v>
      </c>
      <c r="C220" s="517">
        <v>11023.77</v>
      </c>
      <c r="D220" s="517">
        <v>0</v>
      </c>
      <c r="E220" s="525">
        <v>29459</v>
      </c>
      <c r="F220" s="539">
        <v>0</v>
      </c>
      <c r="G220" s="527"/>
      <c r="I220" s="528" t="s">
        <v>1901</v>
      </c>
      <c r="J220" s="529" t="s">
        <v>2010</v>
      </c>
      <c r="K220" s="529" t="s">
        <v>759</v>
      </c>
      <c r="L220" s="529">
        <v>0</v>
      </c>
    </row>
    <row r="221" spans="1:12" x14ac:dyDescent="0.2">
      <c r="A221" s="516" t="s">
        <v>2011</v>
      </c>
      <c r="B221" s="517">
        <v>13307.190000000002</v>
      </c>
      <c r="C221" s="517">
        <v>13307.190000000002</v>
      </c>
      <c r="D221" s="517">
        <v>0</v>
      </c>
      <c r="E221" s="525">
        <v>29328</v>
      </c>
      <c r="F221" s="539">
        <v>0</v>
      </c>
      <c r="G221" s="527"/>
      <c r="I221" s="528" t="s">
        <v>1878</v>
      </c>
      <c r="J221" s="529" t="s">
        <v>2012</v>
      </c>
      <c r="K221" s="529" t="s">
        <v>2013</v>
      </c>
      <c r="L221" s="529">
        <v>29356</v>
      </c>
    </row>
    <row r="222" spans="1:12" x14ac:dyDescent="0.2">
      <c r="A222" s="516" t="s">
        <v>2014</v>
      </c>
      <c r="B222" s="517">
        <v>19803.77</v>
      </c>
      <c r="C222" s="517">
        <v>19803.77</v>
      </c>
      <c r="D222" s="517">
        <v>0</v>
      </c>
      <c r="E222" s="525">
        <v>29353</v>
      </c>
      <c r="F222" s="539">
        <v>0</v>
      </c>
      <c r="G222" s="527"/>
      <c r="I222" s="528" t="s">
        <v>1878</v>
      </c>
      <c r="J222" s="529" t="s">
        <v>2015</v>
      </c>
      <c r="K222" s="529" t="s">
        <v>2013</v>
      </c>
      <c r="L222" s="529">
        <v>0</v>
      </c>
    </row>
    <row r="223" spans="1:12" x14ac:dyDescent="0.2">
      <c r="A223" s="516" t="s">
        <v>2016</v>
      </c>
      <c r="B223" s="517">
        <v>5737.52</v>
      </c>
      <c r="C223" s="517">
        <v>5737.52</v>
      </c>
      <c r="D223" s="517">
        <v>0</v>
      </c>
      <c r="E223" s="525">
        <v>29543</v>
      </c>
      <c r="F223" s="539">
        <v>0</v>
      </c>
      <c r="G223" s="527"/>
      <c r="I223" s="528" t="s">
        <v>1984</v>
      </c>
      <c r="J223" s="529" t="s">
        <v>2017</v>
      </c>
      <c r="K223" s="529" t="s">
        <v>2018</v>
      </c>
      <c r="L223" s="529">
        <v>29349</v>
      </c>
    </row>
    <row r="224" spans="1:12" x14ac:dyDescent="0.2">
      <c r="A224" s="516" t="s">
        <v>2019</v>
      </c>
      <c r="B224" s="517">
        <v>8364.68</v>
      </c>
      <c r="C224" s="517">
        <v>8364.68</v>
      </c>
      <c r="D224" s="517">
        <v>0</v>
      </c>
      <c r="E224" s="525">
        <v>29664</v>
      </c>
      <c r="F224" s="539">
        <v>0</v>
      </c>
      <c r="G224" s="527"/>
      <c r="I224" s="528" t="s">
        <v>1676</v>
      </c>
      <c r="J224" s="529" t="s">
        <v>2020</v>
      </c>
      <c r="K224" s="529" t="s">
        <v>755</v>
      </c>
      <c r="L224" s="529"/>
    </row>
    <row r="225" spans="1:12" x14ac:dyDescent="0.2">
      <c r="A225" s="516" t="s">
        <v>2021</v>
      </c>
      <c r="B225" s="517">
        <v>4565.0199999999995</v>
      </c>
      <c r="C225" s="517">
        <v>4565.0199999999995</v>
      </c>
      <c r="D225" s="517">
        <v>0</v>
      </c>
      <c r="E225" s="525">
        <v>29395</v>
      </c>
      <c r="F225" s="539">
        <v>0</v>
      </c>
      <c r="G225" s="527"/>
      <c r="I225" s="528" t="s">
        <v>1676</v>
      </c>
      <c r="J225" s="529" t="s">
        <v>2022</v>
      </c>
      <c r="K225" s="529" t="s">
        <v>755</v>
      </c>
      <c r="L225" s="529">
        <v>29349</v>
      </c>
    </row>
    <row r="226" spans="1:12" x14ac:dyDescent="0.2">
      <c r="A226" s="516" t="s">
        <v>2023</v>
      </c>
      <c r="B226" s="517">
        <v>2808.7000000000003</v>
      </c>
      <c r="C226" s="517">
        <v>2808.7000000000003</v>
      </c>
      <c r="D226" s="517">
        <v>0</v>
      </c>
      <c r="E226" s="525">
        <v>29473</v>
      </c>
      <c r="F226" s="539">
        <v>0</v>
      </c>
      <c r="G226" s="527"/>
      <c r="I226" s="528" t="s">
        <v>1733</v>
      </c>
      <c r="J226" s="529" t="s">
        <v>2024</v>
      </c>
      <c r="K226" s="529" t="s">
        <v>491</v>
      </c>
      <c r="L226" s="529">
        <v>29483</v>
      </c>
    </row>
    <row r="227" spans="1:12" x14ac:dyDescent="0.2">
      <c r="A227" s="516" t="s">
        <v>2025</v>
      </c>
      <c r="B227" s="517">
        <v>11301.61</v>
      </c>
      <c r="C227" s="517">
        <v>11301.61</v>
      </c>
      <c r="D227" s="517">
        <v>0</v>
      </c>
      <c r="E227" s="525">
        <v>29302</v>
      </c>
      <c r="F227" s="539">
        <v>0</v>
      </c>
      <c r="G227" s="527"/>
      <c r="I227" s="528" t="s">
        <v>1986</v>
      </c>
      <c r="J227" s="529" t="s">
        <v>2026</v>
      </c>
      <c r="K227" s="529">
        <v>12321386</v>
      </c>
      <c r="L227" s="529">
        <v>29483</v>
      </c>
    </row>
    <row r="228" spans="1:12" x14ac:dyDescent="0.2">
      <c r="A228" s="516" t="s">
        <v>2027</v>
      </c>
      <c r="B228" s="517">
        <v>5911.5999999999995</v>
      </c>
      <c r="C228" s="517">
        <v>5911.5999999999995</v>
      </c>
      <c r="D228" s="517">
        <v>0</v>
      </c>
      <c r="E228" s="525">
        <v>29647</v>
      </c>
      <c r="F228" s="539">
        <v>0</v>
      </c>
      <c r="G228" s="527"/>
      <c r="I228" s="528" t="s">
        <v>1988</v>
      </c>
      <c r="J228" s="529" t="s">
        <v>2028</v>
      </c>
      <c r="K228" s="529" t="s">
        <v>634</v>
      </c>
      <c r="L228" s="529">
        <v>49515</v>
      </c>
    </row>
    <row r="229" spans="1:12" x14ac:dyDescent="0.2">
      <c r="A229" s="516" t="s">
        <v>2029</v>
      </c>
      <c r="B229" s="517">
        <v>26.2</v>
      </c>
      <c r="C229" s="517">
        <v>26.2</v>
      </c>
      <c r="D229" s="517">
        <v>0</v>
      </c>
      <c r="E229" s="525">
        <v>0</v>
      </c>
      <c r="G229" s="384">
        <v>0</v>
      </c>
      <c r="I229" s="528" t="s">
        <v>1951</v>
      </c>
      <c r="J229" s="529" t="s">
        <v>2030</v>
      </c>
      <c r="K229" s="529" t="s">
        <v>443</v>
      </c>
      <c r="L229" s="529">
        <v>49515</v>
      </c>
    </row>
    <row r="230" spans="1:12" x14ac:dyDescent="0.2">
      <c r="A230" s="516" t="s">
        <v>2031</v>
      </c>
      <c r="B230" s="517">
        <v>12777.29</v>
      </c>
      <c r="C230" s="517">
        <v>12777.29</v>
      </c>
      <c r="D230" s="517">
        <v>0</v>
      </c>
      <c r="E230" s="525">
        <v>53476</v>
      </c>
      <c r="F230" s="539">
        <v>0</v>
      </c>
      <c r="G230" s="527"/>
      <c r="I230" s="528" t="s">
        <v>1951</v>
      </c>
      <c r="J230" s="529" t="s">
        <v>2032</v>
      </c>
      <c r="K230" s="529" t="s">
        <v>443</v>
      </c>
      <c r="L230" s="529">
        <v>29326</v>
      </c>
    </row>
    <row r="231" spans="1:12" x14ac:dyDescent="0.2">
      <c r="I231" s="528" t="s">
        <v>1760</v>
      </c>
      <c r="J231" s="529" t="s">
        <v>2033</v>
      </c>
      <c r="K231" s="529" t="s">
        <v>483</v>
      </c>
      <c r="L231" s="529">
        <v>29326</v>
      </c>
    </row>
    <row r="232" spans="1:12" x14ac:dyDescent="0.2">
      <c r="I232" s="528" t="s">
        <v>1760</v>
      </c>
      <c r="J232" s="529" t="s">
        <v>2034</v>
      </c>
      <c r="K232" s="529" t="s">
        <v>483</v>
      </c>
      <c r="L232" s="529"/>
    </row>
    <row r="233" spans="1:12" x14ac:dyDescent="0.2">
      <c r="I233" s="528" t="s">
        <v>1903</v>
      </c>
      <c r="J233" s="529" t="s">
        <v>2035</v>
      </c>
      <c r="K233" s="529" t="s">
        <v>571</v>
      </c>
      <c r="L233" s="529">
        <v>51166</v>
      </c>
    </row>
    <row r="234" spans="1:12" x14ac:dyDescent="0.2">
      <c r="I234" s="528" t="s">
        <v>1990</v>
      </c>
      <c r="J234" s="529" t="s">
        <v>2036</v>
      </c>
      <c r="K234" s="529" t="s">
        <v>2037</v>
      </c>
      <c r="L234" s="529">
        <v>0</v>
      </c>
    </row>
    <row r="235" spans="1:12" x14ac:dyDescent="0.2">
      <c r="I235" s="528" t="s">
        <v>1938</v>
      </c>
      <c r="J235" s="529" t="s">
        <v>2038</v>
      </c>
      <c r="K235" s="529" t="s">
        <v>671</v>
      </c>
      <c r="L235" s="529">
        <v>29372</v>
      </c>
    </row>
    <row r="236" spans="1:12" x14ac:dyDescent="0.2">
      <c r="I236" s="528" t="s">
        <v>1938</v>
      </c>
      <c r="J236" s="529" t="s">
        <v>2039</v>
      </c>
      <c r="K236" s="529" t="s">
        <v>671</v>
      </c>
      <c r="L236" s="529">
        <v>29372</v>
      </c>
    </row>
    <row r="237" spans="1:12" x14ac:dyDescent="0.2">
      <c r="I237" s="528" t="s">
        <v>1735</v>
      </c>
      <c r="J237" s="529" t="s">
        <v>2040</v>
      </c>
      <c r="K237" s="529" t="s">
        <v>395</v>
      </c>
      <c r="L237" s="529">
        <v>29372</v>
      </c>
    </row>
    <row r="238" spans="1:12" x14ac:dyDescent="0.2">
      <c r="I238" s="528" t="s">
        <v>1728</v>
      </c>
      <c r="J238" s="529" t="s">
        <v>2041</v>
      </c>
      <c r="K238" s="529" t="s">
        <v>395</v>
      </c>
      <c r="L238" s="529">
        <v>29307</v>
      </c>
    </row>
    <row r="239" spans="1:12" x14ac:dyDescent="0.2">
      <c r="I239" s="528" t="s">
        <v>1740</v>
      </c>
      <c r="J239" s="529" t="s">
        <v>2042</v>
      </c>
      <c r="K239" s="529" t="s">
        <v>642</v>
      </c>
      <c r="L239" s="529">
        <v>29305</v>
      </c>
    </row>
    <row r="240" spans="1:12" x14ac:dyDescent="0.2">
      <c r="I240" s="528" t="s">
        <v>1750</v>
      </c>
      <c r="J240" s="529" t="s">
        <v>2043</v>
      </c>
      <c r="K240" s="529" t="s">
        <v>642</v>
      </c>
      <c r="L240" s="529">
        <v>29307</v>
      </c>
    </row>
    <row r="241" spans="9:12" x14ac:dyDescent="0.2">
      <c r="I241" s="528" t="s">
        <v>1750</v>
      </c>
      <c r="J241" s="529" t="s">
        <v>2044</v>
      </c>
      <c r="K241" s="529" t="s">
        <v>642</v>
      </c>
      <c r="L241" s="529">
        <v>29437</v>
      </c>
    </row>
    <row r="242" spans="9:12" x14ac:dyDescent="0.2">
      <c r="I242" s="528" t="s">
        <v>1703</v>
      </c>
      <c r="J242" s="529" t="s">
        <v>2045</v>
      </c>
      <c r="K242" s="529" t="s">
        <v>669</v>
      </c>
      <c r="L242" s="529">
        <v>29437</v>
      </c>
    </row>
    <row r="243" spans="9:12" x14ac:dyDescent="0.2">
      <c r="I243" s="528" t="s">
        <v>1703</v>
      </c>
      <c r="J243" s="529" t="s">
        <v>2046</v>
      </c>
      <c r="K243" s="529" t="s">
        <v>669</v>
      </c>
      <c r="L243" s="529">
        <v>29351</v>
      </c>
    </row>
    <row r="244" spans="9:12" x14ac:dyDescent="0.2">
      <c r="I244" s="528" t="s">
        <v>1634</v>
      </c>
      <c r="J244" s="529" t="s">
        <v>2047</v>
      </c>
      <c r="K244" s="529" t="s">
        <v>653</v>
      </c>
      <c r="L244" s="529">
        <v>29351</v>
      </c>
    </row>
    <row r="245" spans="9:12" x14ac:dyDescent="0.2">
      <c r="I245" s="528" t="s">
        <v>1926</v>
      </c>
      <c r="J245" s="529" t="s">
        <v>2048</v>
      </c>
      <c r="K245" s="529" t="s">
        <v>653</v>
      </c>
      <c r="L245" s="529">
        <v>29321</v>
      </c>
    </row>
    <row r="246" spans="9:12" x14ac:dyDescent="0.2">
      <c r="I246" s="528" t="s">
        <v>1599</v>
      </c>
      <c r="J246" s="529" t="s">
        <v>2049</v>
      </c>
      <c r="K246" s="529" t="s">
        <v>704</v>
      </c>
      <c r="L246" s="529">
        <v>29321</v>
      </c>
    </row>
    <row r="247" spans="9:12" x14ac:dyDescent="0.2">
      <c r="I247" s="532" t="s">
        <v>1599</v>
      </c>
      <c r="J247" s="533" t="s">
        <v>2050</v>
      </c>
      <c r="K247" s="534" t="s">
        <v>704</v>
      </c>
      <c r="L247" s="529">
        <v>29333</v>
      </c>
    </row>
    <row r="248" spans="9:12" x14ac:dyDescent="0.2">
      <c r="I248" s="532" t="s">
        <v>1599</v>
      </c>
      <c r="J248" s="533" t="s">
        <v>2049</v>
      </c>
      <c r="K248" s="534" t="s">
        <v>704</v>
      </c>
      <c r="L248" s="529">
        <v>0</v>
      </c>
    </row>
    <row r="249" spans="9:12" x14ac:dyDescent="0.2">
      <c r="I249" s="528" t="s">
        <v>1953</v>
      </c>
      <c r="J249" s="529" t="s">
        <v>2051</v>
      </c>
      <c r="K249" s="529" t="s">
        <v>696</v>
      </c>
      <c r="L249" s="529"/>
    </row>
    <row r="250" spans="9:12" x14ac:dyDescent="0.2">
      <c r="I250" s="528" t="s">
        <v>1953</v>
      </c>
      <c r="J250" s="529" t="s">
        <v>2052</v>
      </c>
      <c r="K250" s="529" t="s">
        <v>696</v>
      </c>
      <c r="L250" s="529"/>
    </row>
    <row r="251" spans="9:12" x14ac:dyDescent="0.2">
      <c r="I251" s="528" t="s">
        <v>1600</v>
      </c>
      <c r="J251" s="529" t="s">
        <v>2053</v>
      </c>
      <c r="K251" s="529" t="s">
        <v>515</v>
      </c>
      <c r="L251" s="529">
        <v>29676</v>
      </c>
    </row>
    <row r="252" spans="9:12" x14ac:dyDescent="0.2">
      <c r="I252" s="528" t="s">
        <v>1600</v>
      </c>
      <c r="J252" s="529" t="s">
        <v>2054</v>
      </c>
      <c r="K252" s="529" t="s">
        <v>515</v>
      </c>
      <c r="L252" s="529">
        <v>29676</v>
      </c>
    </row>
    <row r="253" spans="9:12" x14ac:dyDescent="0.2">
      <c r="I253" s="528" t="s">
        <v>1933</v>
      </c>
      <c r="J253" s="529" t="s">
        <v>2055</v>
      </c>
      <c r="K253" s="529" t="s">
        <v>772</v>
      </c>
      <c r="L253" s="529">
        <v>54264</v>
      </c>
    </row>
    <row r="254" spans="9:12" x14ac:dyDescent="0.2">
      <c r="I254" s="528" t="s">
        <v>1933</v>
      </c>
      <c r="J254" s="529" t="s">
        <v>2056</v>
      </c>
      <c r="K254" s="529" t="s">
        <v>772</v>
      </c>
      <c r="L254" s="529"/>
    </row>
    <row r="255" spans="9:12" x14ac:dyDescent="0.2">
      <c r="I255" s="528" t="s">
        <v>1605</v>
      </c>
      <c r="J255" s="529" t="s">
        <v>2057</v>
      </c>
      <c r="K255" s="529" t="s">
        <v>753</v>
      </c>
      <c r="L255" s="529"/>
    </row>
    <row r="256" spans="9:12" x14ac:dyDescent="0.2">
      <c r="I256" s="528" t="s">
        <v>1605</v>
      </c>
      <c r="J256" s="529" t="s">
        <v>2058</v>
      </c>
      <c r="K256" s="529" t="s">
        <v>753</v>
      </c>
      <c r="L256" s="529"/>
    </row>
    <row r="257" spans="9:12" x14ac:dyDescent="0.2">
      <c r="I257" s="532" t="s">
        <v>1765</v>
      </c>
      <c r="J257" s="533" t="s">
        <v>2059</v>
      </c>
      <c r="K257" s="534" t="s">
        <v>638</v>
      </c>
      <c r="L257" s="529"/>
    </row>
    <row r="258" spans="9:12" x14ac:dyDescent="0.2">
      <c r="I258" s="532" t="s">
        <v>1765</v>
      </c>
      <c r="J258" s="533" t="s">
        <v>2060</v>
      </c>
      <c r="K258" s="534" t="s">
        <v>638</v>
      </c>
      <c r="L258" s="529"/>
    </row>
    <row r="259" spans="9:12" x14ac:dyDescent="0.2">
      <c r="I259" s="535" t="s">
        <v>1765</v>
      </c>
      <c r="J259" s="536" t="s">
        <v>2061</v>
      </c>
      <c r="K259" s="534" t="s">
        <v>638</v>
      </c>
      <c r="L259" s="529"/>
    </row>
    <row r="260" spans="9:12" x14ac:dyDescent="0.2">
      <c r="I260" s="532" t="s">
        <v>1765</v>
      </c>
      <c r="J260" s="533" t="s">
        <v>2059</v>
      </c>
      <c r="K260" s="534" t="s">
        <v>638</v>
      </c>
      <c r="L260" s="529">
        <v>29295</v>
      </c>
    </row>
    <row r="261" spans="9:12" x14ac:dyDescent="0.2">
      <c r="I261" s="530" t="s">
        <v>1765</v>
      </c>
      <c r="J261" s="531" t="s">
        <v>2062</v>
      </c>
      <c r="K261" s="534" t="s">
        <v>638</v>
      </c>
      <c r="L261" s="529"/>
    </row>
    <row r="262" spans="9:12" x14ac:dyDescent="0.2">
      <c r="I262" s="528" t="s">
        <v>1765</v>
      </c>
      <c r="J262" s="529" t="s">
        <v>2062</v>
      </c>
      <c r="K262" s="529" t="s">
        <v>638</v>
      </c>
      <c r="L262" s="529"/>
    </row>
    <row r="263" spans="9:12" x14ac:dyDescent="0.2">
      <c r="I263" s="528" t="s">
        <v>1827</v>
      </c>
      <c r="J263" s="529" t="s">
        <v>2063</v>
      </c>
      <c r="K263" s="529" t="s">
        <v>747</v>
      </c>
      <c r="L263" s="529">
        <v>0</v>
      </c>
    </row>
    <row r="264" spans="9:12" x14ac:dyDescent="0.2">
      <c r="I264" s="528" t="s">
        <v>1827</v>
      </c>
      <c r="J264" s="529" t="s">
        <v>2064</v>
      </c>
      <c r="K264" s="529">
        <v>12001666</v>
      </c>
      <c r="L264" s="529">
        <v>29341</v>
      </c>
    </row>
    <row r="265" spans="9:12" x14ac:dyDescent="0.2">
      <c r="I265" s="528" t="s">
        <v>1773</v>
      </c>
      <c r="J265" s="529" t="s">
        <v>2065</v>
      </c>
      <c r="K265" s="529" t="s">
        <v>788</v>
      </c>
      <c r="L265" s="529">
        <v>29341</v>
      </c>
    </row>
    <row r="266" spans="9:12" x14ac:dyDescent="0.2">
      <c r="I266" s="528" t="s">
        <v>1795</v>
      </c>
      <c r="J266" s="529" t="s">
        <v>2066</v>
      </c>
      <c r="K266" s="529" t="s">
        <v>439</v>
      </c>
      <c r="L266" s="529">
        <v>29482</v>
      </c>
    </row>
    <row r="267" spans="9:12" x14ac:dyDescent="0.2">
      <c r="I267" s="528" t="s">
        <v>1795</v>
      </c>
      <c r="J267" s="529" t="s">
        <v>2067</v>
      </c>
      <c r="K267" s="529" t="s">
        <v>439</v>
      </c>
      <c r="L267" s="529">
        <v>29340</v>
      </c>
    </row>
    <row r="268" spans="9:12" x14ac:dyDescent="0.2">
      <c r="I268" s="528" t="s">
        <v>1656</v>
      </c>
      <c r="J268" s="529" t="s">
        <v>2068</v>
      </c>
      <c r="K268" s="529" t="s">
        <v>547</v>
      </c>
      <c r="L268" s="529">
        <v>29339</v>
      </c>
    </row>
    <row r="269" spans="9:12" x14ac:dyDescent="0.2">
      <c r="I269" s="528" t="s">
        <v>1656</v>
      </c>
      <c r="J269" s="529" t="s">
        <v>2069</v>
      </c>
      <c r="K269" s="529" t="s">
        <v>547</v>
      </c>
      <c r="L269" s="529">
        <v>29339</v>
      </c>
    </row>
    <row r="270" spans="9:12" x14ac:dyDescent="0.2">
      <c r="I270" s="528" t="s">
        <v>1905</v>
      </c>
      <c r="J270" s="529" t="s">
        <v>2070</v>
      </c>
      <c r="K270" s="529" t="s">
        <v>711</v>
      </c>
      <c r="L270" s="529">
        <v>29320</v>
      </c>
    </row>
    <row r="271" spans="9:12" x14ac:dyDescent="0.2">
      <c r="I271" s="528" t="s">
        <v>1905</v>
      </c>
      <c r="J271" s="529" t="s">
        <v>2071</v>
      </c>
      <c r="K271" s="529" t="s">
        <v>711</v>
      </c>
      <c r="L271" s="529">
        <v>29320</v>
      </c>
    </row>
    <row r="272" spans="9:12" x14ac:dyDescent="0.2">
      <c r="I272" s="528" t="s">
        <v>1992</v>
      </c>
      <c r="J272" s="529" t="s">
        <v>2072</v>
      </c>
      <c r="K272" s="529" t="s">
        <v>2073</v>
      </c>
      <c r="L272" s="529">
        <v>29654</v>
      </c>
    </row>
    <row r="273" spans="9:12" x14ac:dyDescent="0.2">
      <c r="I273" s="528" t="s">
        <v>1852</v>
      </c>
      <c r="J273" s="529" t="s">
        <v>2074</v>
      </c>
      <c r="K273" s="529" t="s">
        <v>421</v>
      </c>
      <c r="L273" s="529">
        <v>29654</v>
      </c>
    </row>
    <row r="274" spans="9:12" x14ac:dyDescent="0.2">
      <c r="I274" s="528" t="s">
        <v>1852</v>
      </c>
      <c r="J274" s="529" t="s">
        <v>2075</v>
      </c>
      <c r="K274" s="529">
        <v>46000894</v>
      </c>
      <c r="L274" s="529"/>
    </row>
    <row r="275" spans="9:12" x14ac:dyDescent="0.2">
      <c r="I275" s="528" t="s">
        <v>1572</v>
      </c>
      <c r="J275" s="529" t="s">
        <v>2076</v>
      </c>
      <c r="K275" s="529" t="s">
        <v>2077</v>
      </c>
      <c r="L275" s="529">
        <v>0</v>
      </c>
    </row>
    <row r="276" spans="9:12" x14ac:dyDescent="0.2">
      <c r="I276" s="528" t="s">
        <v>1699</v>
      </c>
      <c r="J276" s="529" t="s">
        <v>2078</v>
      </c>
      <c r="K276" s="529">
        <v>16851917</v>
      </c>
      <c r="L276" s="529"/>
    </row>
    <row r="277" spans="9:12" x14ac:dyDescent="0.2">
      <c r="I277" s="528" t="s">
        <v>1793</v>
      </c>
      <c r="J277" s="529" t="s">
        <v>2079</v>
      </c>
      <c r="K277" s="529" t="s">
        <v>409</v>
      </c>
      <c r="L277" s="529"/>
    </row>
    <row r="278" spans="9:12" x14ac:dyDescent="0.2">
      <c r="I278" s="528" t="s">
        <v>1793</v>
      </c>
      <c r="J278" s="529" t="s">
        <v>2080</v>
      </c>
      <c r="K278" s="529" t="s">
        <v>409</v>
      </c>
      <c r="L278" s="529"/>
    </row>
    <row r="279" spans="9:12" x14ac:dyDescent="0.2">
      <c r="I279" s="528" t="s">
        <v>1793</v>
      </c>
      <c r="J279" s="529" t="s">
        <v>2081</v>
      </c>
      <c r="K279" s="529" t="s">
        <v>409</v>
      </c>
      <c r="L279" s="529">
        <v>29305</v>
      </c>
    </row>
    <row r="280" spans="9:12" x14ac:dyDescent="0.2">
      <c r="I280" s="528" t="s">
        <v>1758</v>
      </c>
      <c r="J280" s="529" t="s">
        <v>2082</v>
      </c>
      <c r="K280" s="529" t="s">
        <v>744</v>
      </c>
      <c r="L280" s="529"/>
    </row>
    <row r="281" spans="9:12" x14ac:dyDescent="0.2">
      <c r="I281" s="528" t="s">
        <v>1995</v>
      </c>
      <c r="J281" s="529" t="s">
        <v>2083</v>
      </c>
      <c r="K281" s="529" t="s">
        <v>744</v>
      </c>
      <c r="L281" s="529"/>
    </row>
    <row r="282" spans="9:12" x14ac:dyDescent="0.2">
      <c r="I282" s="528" t="s">
        <v>1818</v>
      </c>
      <c r="J282" s="529" t="s">
        <v>2084</v>
      </c>
      <c r="K282" s="529" t="s">
        <v>397</v>
      </c>
      <c r="L282" s="529"/>
    </row>
    <row r="283" spans="9:12" x14ac:dyDescent="0.2">
      <c r="I283" s="528" t="s">
        <v>1818</v>
      </c>
      <c r="J283" s="529" t="s">
        <v>2085</v>
      </c>
      <c r="K283" s="529" t="s">
        <v>397</v>
      </c>
      <c r="L283" s="529">
        <v>29350</v>
      </c>
    </row>
    <row r="284" spans="9:12" x14ac:dyDescent="0.2">
      <c r="I284" s="528" t="s">
        <v>1832</v>
      </c>
      <c r="J284" s="529" t="s">
        <v>2086</v>
      </c>
      <c r="K284" s="529" t="s">
        <v>435</v>
      </c>
      <c r="L284" s="529">
        <v>29350</v>
      </c>
    </row>
    <row r="285" spans="9:12" x14ac:dyDescent="0.2">
      <c r="I285" s="528" t="s">
        <v>1832</v>
      </c>
      <c r="J285" s="529" t="s">
        <v>2087</v>
      </c>
      <c r="K285" s="529" t="s">
        <v>435</v>
      </c>
      <c r="L285" s="529">
        <v>29471</v>
      </c>
    </row>
    <row r="286" spans="9:12" x14ac:dyDescent="0.2">
      <c r="I286" s="528" t="s">
        <v>1822</v>
      </c>
      <c r="J286" s="529" t="s">
        <v>2088</v>
      </c>
      <c r="K286" s="529">
        <v>46020340</v>
      </c>
      <c r="L286" s="529">
        <v>29471</v>
      </c>
    </row>
    <row r="287" spans="9:12" x14ac:dyDescent="0.2">
      <c r="I287" s="528" t="s">
        <v>1822</v>
      </c>
      <c r="J287" s="529" t="s">
        <v>2089</v>
      </c>
      <c r="K287" s="529" t="s">
        <v>449</v>
      </c>
      <c r="L287" s="529">
        <v>29662</v>
      </c>
    </row>
    <row r="288" spans="9:12" x14ac:dyDescent="0.2">
      <c r="I288" s="528" t="s">
        <v>1898</v>
      </c>
      <c r="J288" s="529" t="s">
        <v>2090</v>
      </c>
      <c r="K288" s="529" t="s">
        <v>663</v>
      </c>
      <c r="L288" s="529">
        <v>29662</v>
      </c>
    </row>
    <row r="289" spans="9:12" x14ac:dyDescent="0.2">
      <c r="I289" s="528" t="s">
        <v>1898</v>
      </c>
      <c r="J289" s="529" t="s">
        <v>2091</v>
      </c>
      <c r="K289" s="529" t="s">
        <v>663</v>
      </c>
      <c r="L289" s="529">
        <v>0</v>
      </c>
    </row>
    <row r="290" spans="9:12" x14ac:dyDescent="0.2">
      <c r="I290" s="528" t="s">
        <v>1907</v>
      </c>
      <c r="J290" s="529" t="s">
        <v>2092</v>
      </c>
      <c r="K290" s="529" t="s">
        <v>2093</v>
      </c>
      <c r="L290" s="529">
        <v>0</v>
      </c>
    </row>
    <row r="291" spans="9:12" x14ac:dyDescent="0.2">
      <c r="I291" s="528" t="s">
        <v>1997</v>
      </c>
      <c r="J291" s="529" t="s">
        <v>2094</v>
      </c>
      <c r="K291" s="529" t="s">
        <v>2093</v>
      </c>
      <c r="L291" s="529"/>
    </row>
    <row r="292" spans="9:12" x14ac:dyDescent="0.2">
      <c r="I292" s="528" t="s">
        <v>1939</v>
      </c>
      <c r="J292" s="529" t="s">
        <v>2095</v>
      </c>
      <c r="K292" s="529" t="s">
        <v>2096</v>
      </c>
      <c r="L292" s="529"/>
    </row>
    <row r="293" spans="9:12" x14ac:dyDescent="0.2">
      <c r="I293" s="528" t="s">
        <v>1939</v>
      </c>
      <c r="J293" s="529" t="s">
        <v>2097</v>
      </c>
      <c r="K293" s="529" t="s">
        <v>2096</v>
      </c>
      <c r="L293" s="529">
        <v>29648</v>
      </c>
    </row>
    <row r="294" spans="9:12" x14ac:dyDescent="0.2">
      <c r="I294" s="528" t="s">
        <v>1842</v>
      </c>
      <c r="J294" s="529" t="s">
        <v>2098</v>
      </c>
      <c r="K294" s="529" t="s">
        <v>742</v>
      </c>
      <c r="L294" s="529">
        <v>29648</v>
      </c>
    </row>
    <row r="295" spans="9:12" x14ac:dyDescent="0.2">
      <c r="I295" s="528" t="s">
        <v>1842</v>
      </c>
      <c r="J295" s="529" t="s">
        <v>2099</v>
      </c>
      <c r="K295" s="529" t="s">
        <v>742</v>
      </c>
      <c r="L295" s="529">
        <v>29648</v>
      </c>
    </row>
    <row r="296" spans="9:12" x14ac:dyDescent="0.2">
      <c r="I296" s="528" t="s">
        <v>1714</v>
      </c>
      <c r="J296" s="529" t="s">
        <v>2100</v>
      </c>
      <c r="K296" s="529" t="s">
        <v>482</v>
      </c>
      <c r="L296" s="529">
        <v>29687</v>
      </c>
    </row>
    <row r="297" spans="9:12" x14ac:dyDescent="0.2">
      <c r="I297" s="528" t="s">
        <v>1714</v>
      </c>
      <c r="J297" s="529" t="s">
        <v>2101</v>
      </c>
      <c r="K297" s="529" t="s">
        <v>425</v>
      </c>
      <c r="L297" s="529">
        <v>29685</v>
      </c>
    </row>
    <row r="298" spans="9:12" x14ac:dyDescent="0.2">
      <c r="I298" s="528" t="s">
        <v>1921</v>
      </c>
      <c r="J298" s="529" t="s">
        <v>2102</v>
      </c>
      <c r="K298" s="529" t="s">
        <v>717</v>
      </c>
      <c r="L298" s="529">
        <v>29687</v>
      </c>
    </row>
    <row r="299" spans="9:12" x14ac:dyDescent="0.2">
      <c r="I299" s="528" t="s">
        <v>1921</v>
      </c>
      <c r="J299" s="529" t="s">
        <v>2103</v>
      </c>
      <c r="K299" s="529" t="s">
        <v>717</v>
      </c>
      <c r="L299" s="529">
        <v>29696</v>
      </c>
    </row>
    <row r="300" spans="9:12" x14ac:dyDescent="0.2">
      <c r="I300" s="528" t="s">
        <v>1762</v>
      </c>
      <c r="J300" s="529" t="s">
        <v>2104</v>
      </c>
      <c r="K300" s="529">
        <v>46011661</v>
      </c>
      <c r="L300" s="529">
        <v>29696</v>
      </c>
    </row>
    <row r="301" spans="9:12" x14ac:dyDescent="0.2">
      <c r="I301" s="528" t="s">
        <v>1762</v>
      </c>
      <c r="J301" s="529" t="s">
        <v>2105</v>
      </c>
      <c r="K301" s="529" t="s">
        <v>535</v>
      </c>
      <c r="L301" s="529">
        <v>29463</v>
      </c>
    </row>
    <row r="302" spans="9:12" x14ac:dyDescent="0.2">
      <c r="I302" s="528" t="s">
        <v>1837</v>
      </c>
      <c r="J302" s="529" t="s">
        <v>2106</v>
      </c>
      <c r="K302" s="529" t="s">
        <v>719</v>
      </c>
      <c r="L302" s="529">
        <v>29461</v>
      </c>
    </row>
    <row r="303" spans="9:12" x14ac:dyDescent="0.2">
      <c r="I303" s="528" t="s">
        <v>1837</v>
      </c>
      <c r="J303" s="529" t="s">
        <v>2107</v>
      </c>
      <c r="K303" s="529" t="s">
        <v>719</v>
      </c>
      <c r="L303" s="529">
        <v>29461</v>
      </c>
    </row>
    <row r="304" spans="9:12" x14ac:dyDescent="0.2">
      <c r="I304" s="528" t="s">
        <v>1999</v>
      </c>
      <c r="J304" s="529" t="s">
        <v>2108</v>
      </c>
      <c r="K304" s="529" t="s">
        <v>2013</v>
      </c>
      <c r="L304" s="529">
        <v>29303</v>
      </c>
    </row>
    <row r="305" spans="9:12" x14ac:dyDescent="0.2">
      <c r="I305" s="528" t="s">
        <v>1649</v>
      </c>
      <c r="J305" s="529" t="s">
        <v>2109</v>
      </c>
      <c r="K305" s="529" t="s">
        <v>698</v>
      </c>
      <c r="L305" s="529">
        <v>29303</v>
      </c>
    </row>
    <row r="306" spans="9:12" x14ac:dyDescent="0.2">
      <c r="I306" s="532" t="s">
        <v>1649</v>
      </c>
      <c r="J306" s="533" t="s">
        <v>2110</v>
      </c>
      <c r="K306" s="534" t="s">
        <v>698</v>
      </c>
      <c r="L306" s="529">
        <v>29303</v>
      </c>
    </row>
    <row r="307" spans="9:12" x14ac:dyDescent="0.2">
      <c r="I307" s="532" t="s">
        <v>1649</v>
      </c>
      <c r="J307" s="533" t="s">
        <v>2109</v>
      </c>
      <c r="K307" s="534" t="s">
        <v>698</v>
      </c>
      <c r="L307" s="529"/>
    </row>
    <row r="308" spans="9:12" x14ac:dyDescent="0.2">
      <c r="I308" s="532" t="s">
        <v>2001</v>
      </c>
      <c r="J308" s="533" t="s">
        <v>2111</v>
      </c>
      <c r="K308" s="534" t="s">
        <v>1659</v>
      </c>
      <c r="L308" s="529">
        <v>29667</v>
      </c>
    </row>
    <row r="309" spans="9:12" x14ac:dyDescent="0.2">
      <c r="I309" s="528" t="s">
        <v>1834</v>
      </c>
      <c r="J309" s="529" t="s">
        <v>2112</v>
      </c>
      <c r="K309" s="529" t="s">
        <v>415</v>
      </c>
      <c r="L309" s="529">
        <v>29667</v>
      </c>
    </row>
    <row r="310" spans="9:12" x14ac:dyDescent="0.2">
      <c r="I310" s="528" t="s">
        <v>1834</v>
      </c>
      <c r="J310" s="529" t="s">
        <v>2113</v>
      </c>
      <c r="K310" s="529" t="s">
        <v>415</v>
      </c>
      <c r="L310" s="529">
        <v>53755</v>
      </c>
    </row>
    <row r="311" spans="9:12" x14ac:dyDescent="0.2">
      <c r="I311" s="532" t="s">
        <v>1834</v>
      </c>
      <c r="J311" s="533" t="s">
        <v>2113</v>
      </c>
      <c r="K311" s="534" t="s">
        <v>415</v>
      </c>
      <c r="L311" s="529">
        <v>53755</v>
      </c>
    </row>
    <row r="312" spans="9:12" x14ac:dyDescent="0.2">
      <c r="I312" s="528" t="s">
        <v>1701</v>
      </c>
      <c r="J312" s="529" t="s">
        <v>2114</v>
      </c>
      <c r="K312" s="529" t="s">
        <v>423</v>
      </c>
      <c r="L312" s="529">
        <v>29688</v>
      </c>
    </row>
    <row r="313" spans="9:12" x14ac:dyDescent="0.2">
      <c r="I313" s="528" t="s">
        <v>1701</v>
      </c>
      <c r="J313" s="529" t="s">
        <v>2115</v>
      </c>
      <c r="K313" s="529" t="s">
        <v>423</v>
      </c>
      <c r="L313" s="529">
        <v>29336</v>
      </c>
    </row>
    <row r="314" spans="9:12" x14ac:dyDescent="0.2">
      <c r="I314" s="528" t="s">
        <v>1694</v>
      </c>
      <c r="J314" s="529" t="s">
        <v>2116</v>
      </c>
      <c r="K314" s="529" t="s">
        <v>1710</v>
      </c>
      <c r="L314" s="529">
        <v>0</v>
      </c>
    </row>
    <row r="315" spans="9:12" x14ac:dyDescent="0.2">
      <c r="I315" s="528" t="s">
        <v>1678</v>
      </c>
      <c r="J315" s="529" t="s">
        <v>2117</v>
      </c>
      <c r="K315" s="529" t="s">
        <v>740</v>
      </c>
      <c r="L315" s="529">
        <v>29336</v>
      </c>
    </row>
    <row r="316" spans="9:12" x14ac:dyDescent="0.2">
      <c r="I316" s="530" t="s">
        <v>1678</v>
      </c>
      <c r="J316" s="531" t="s">
        <v>2117</v>
      </c>
      <c r="K316" s="529" t="s">
        <v>740</v>
      </c>
      <c r="L316" s="529">
        <v>29399</v>
      </c>
    </row>
    <row r="317" spans="9:12" x14ac:dyDescent="0.2">
      <c r="I317" s="532" t="s">
        <v>1678</v>
      </c>
      <c r="J317" s="533" t="s">
        <v>2118</v>
      </c>
      <c r="K317" s="534">
        <v>12002014</v>
      </c>
      <c r="L317" s="529">
        <v>0</v>
      </c>
    </row>
    <row r="318" spans="9:12" x14ac:dyDescent="0.2">
      <c r="I318" s="532" t="s">
        <v>2119</v>
      </c>
      <c r="J318" s="533" t="s">
        <v>2120</v>
      </c>
      <c r="K318" s="534">
        <v>12002014</v>
      </c>
      <c r="L318" s="529">
        <v>29353</v>
      </c>
    </row>
    <row r="319" spans="9:12" x14ac:dyDescent="0.2">
      <c r="I319" s="528" t="s">
        <v>1802</v>
      </c>
      <c r="J319" s="529" t="s">
        <v>2121</v>
      </c>
      <c r="K319" s="529" t="s">
        <v>657</v>
      </c>
      <c r="L319" s="529">
        <v>29353</v>
      </c>
    </row>
    <row r="320" spans="9:12" x14ac:dyDescent="0.2">
      <c r="I320" s="528" t="s">
        <v>1802</v>
      </c>
      <c r="J320" s="529" t="s">
        <v>2122</v>
      </c>
      <c r="K320" s="529" t="s">
        <v>657</v>
      </c>
      <c r="L320" s="529">
        <v>29330</v>
      </c>
    </row>
    <row r="321" spans="9:12" x14ac:dyDescent="0.2">
      <c r="I321" s="528" t="s">
        <v>1603</v>
      </c>
      <c r="J321" s="529" t="s">
        <v>2123</v>
      </c>
      <c r="K321" s="529" t="s">
        <v>2124</v>
      </c>
      <c r="L321" s="529">
        <v>29409</v>
      </c>
    </row>
    <row r="322" spans="9:12" x14ac:dyDescent="0.2">
      <c r="I322" s="528" t="s">
        <v>1603</v>
      </c>
      <c r="J322" s="529" t="s">
        <v>2125</v>
      </c>
      <c r="K322" s="529" t="s">
        <v>2124</v>
      </c>
      <c r="L322" s="529">
        <v>29409</v>
      </c>
    </row>
    <row r="323" spans="9:12" x14ac:dyDescent="0.2">
      <c r="I323" s="528" t="s">
        <v>1684</v>
      </c>
      <c r="J323" s="529" t="s">
        <v>2126</v>
      </c>
      <c r="K323" s="529" t="s">
        <v>690</v>
      </c>
      <c r="L323" s="529">
        <v>29511</v>
      </c>
    </row>
    <row r="324" spans="9:12" x14ac:dyDescent="0.2">
      <c r="I324" s="528" t="s">
        <v>1684</v>
      </c>
      <c r="J324" s="529" t="s">
        <v>2127</v>
      </c>
      <c r="K324" s="529" t="s">
        <v>690</v>
      </c>
      <c r="L324" s="529"/>
    </row>
    <row r="325" spans="9:12" x14ac:dyDescent="0.2">
      <c r="I325" s="528" t="s">
        <v>2003</v>
      </c>
      <c r="J325" s="529" t="s">
        <v>2128</v>
      </c>
      <c r="K325" s="529" t="s">
        <v>2129</v>
      </c>
      <c r="L325" s="529"/>
    </row>
    <row r="326" spans="9:12" x14ac:dyDescent="0.2">
      <c r="I326" s="528" t="s">
        <v>2005</v>
      </c>
      <c r="J326" s="529" t="s">
        <v>2130</v>
      </c>
      <c r="K326" s="529">
        <v>3018000</v>
      </c>
      <c r="L326" s="529"/>
    </row>
    <row r="327" spans="9:12" x14ac:dyDescent="0.2">
      <c r="I327" s="528" t="s">
        <v>2007</v>
      </c>
      <c r="J327" s="529" t="s">
        <v>2131</v>
      </c>
      <c r="K327" s="529" t="s">
        <v>655</v>
      </c>
      <c r="L327" s="529">
        <v>0</v>
      </c>
    </row>
    <row r="328" spans="9:12" x14ac:dyDescent="0.2">
      <c r="I328" s="528" t="s">
        <v>1664</v>
      </c>
      <c r="J328" s="529" t="s">
        <v>2132</v>
      </c>
      <c r="K328" s="529" t="s">
        <v>655</v>
      </c>
      <c r="L328" s="529">
        <v>29315</v>
      </c>
    </row>
    <row r="329" spans="9:12" x14ac:dyDescent="0.2">
      <c r="I329" s="528" t="s">
        <v>1588</v>
      </c>
      <c r="J329" s="529" t="s">
        <v>2133</v>
      </c>
      <c r="K329" s="529" t="s">
        <v>688</v>
      </c>
      <c r="L329" s="529">
        <v>29315</v>
      </c>
    </row>
    <row r="330" spans="9:12" x14ac:dyDescent="0.2">
      <c r="I330" s="528" t="s">
        <v>1647</v>
      </c>
      <c r="J330" s="529" t="s">
        <v>2134</v>
      </c>
      <c r="K330" s="529" t="s">
        <v>688</v>
      </c>
      <c r="L330" s="529"/>
    </row>
    <row r="331" spans="9:12" x14ac:dyDescent="0.2">
      <c r="I331" s="528" t="s">
        <v>1647</v>
      </c>
      <c r="J331" s="529" t="s">
        <v>2135</v>
      </c>
      <c r="K331" s="529" t="s">
        <v>688</v>
      </c>
      <c r="L331" s="529"/>
    </row>
    <row r="332" spans="9:12" x14ac:dyDescent="0.2">
      <c r="I332" s="532" t="s">
        <v>2009</v>
      </c>
      <c r="J332" s="533" t="s">
        <v>2136</v>
      </c>
      <c r="K332" s="534" t="s">
        <v>1663</v>
      </c>
      <c r="L332" s="529">
        <v>29693</v>
      </c>
    </row>
    <row r="333" spans="9:12" x14ac:dyDescent="0.2">
      <c r="I333" s="528" t="s">
        <v>1936</v>
      </c>
      <c r="J333" s="529" t="s">
        <v>2137</v>
      </c>
      <c r="K333" s="529" t="s">
        <v>677</v>
      </c>
      <c r="L333" s="529">
        <v>29693</v>
      </c>
    </row>
    <row r="334" spans="9:12" x14ac:dyDescent="0.2">
      <c r="I334" s="528" t="s">
        <v>1936</v>
      </c>
      <c r="J334" s="529" t="s">
        <v>2138</v>
      </c>
      <c r="K334" s="529" t="s">
        <v>677</v>
      </c>
      <c r="L334" s="529"/>
    </row>
    <row r="335" spans="9:12" x14ac:dyDescent="0.2">
      <c r="I335" s="528" t="s">
        <v>1875</v>
      </c>
      <c r="J335" s="529" t="s">
        <v>2139</v>
      </c>
      <c r="K335" s="529" t="s">
        <v>1831</v>
      </c>
      <c r="L335" s="529"/>
    </row>
    <row r="336" spans="9:12" x14ac:dyDescent="0.2">
      <c r="I336" s="528" t="s">
        <v>1875</v>
      </c>
      <c r="J336" s="529" t="s">
        <v>2140</v>
      </c>
      <c r="K336" s="529" t="s">
        <v>1831</v>
      </c>
      <c r="L336" s="529"/>
    </row>
    <row r="337" spans="9:12" x14ac:dyDescent="0.2">
      <c r="I337" s="528" t="s">
        <v>1839</v>
      </c>
      <c r="J337" s="529" t="s">
        <v>2141</v>
      </c>
      <c r="K337" s="529">
        <v>46001254</v>
      </c>
      <c r="L337" s="529">
        <v>29664</v>
      </c>
    </row>
    <row r="338" spans="9:12" x14ac:dyDescent="0.2">
      <c r="I338" s="528" t="s">
        <v>1839</v>
      </c>
      <c r="J338" s="529" t="s">
        <v>2142</v>
      </c>
      <c r="K338" s="529" t="s">
        <v>533</v>
      </c>
      <c r="L338" s="529">
        <v>29664</v>
      </c>
    </row>
    <row r="339" spans="9:12" x14ac:dyDescent="0.2">
      <c r="I339" s="528" t="s">
        <v>1937</v>
      </c>
      <c r="J339" s="529" t="s">
        <v>2143</v>
      </c>
      <c r="K339" s="529" t="s">
        <v>1923</v>
      </c>
      <c r="L339" s="529"/>
    </row>
    <row r="340" spans="9:12" x14ac:dyDescent="0.2">
      <c r="I340" s="528" t="s">
        <v>1937</v>
      </c>
      <c r="J340" s="529" t="s">
        <v>2144</v>
      </c>
      <c r="K340" s="529" t="s">
        <v>1923</v>
      </c>
      <c r="L340" s="529">
        <v>29329</v>
      </c>
    </row>
    <row r="341" spans="9:12" x14ac:dyDescent="0.2">
      <c r="I341" s="528" t="s">
        <v>2011</v>
      </c>
      <c r="J341" s="529" t="s">
        <v>2145</v>
      </c>
      <c r="K341" s="529" t="s">
        <v>419</v>
      </c>
      <c r="L341" s="529">
        <v>29395</v>
      </c>
    </row>
    <row r="342" spans="9:12" x14ac:dyDescent="0.2">
      <c r="I342" s="528" t="s">
        <v>1771</v>
      </c>
      <c r="J342" s="529" t="s">
        <v>2146</v>
      </c>
      <c r="K342" s="529" t="s">
        <v>465</v>
      </c>
      <c r="L342" s="529">
        <v>0</v>
      </c>
    </row>
    <row r="343" spans="9:12" x14ac:dyDescent="0.2">
      <c r="I343" s="528" t="s">
        <v>1771</v>
      </c>
      <c r="J343" s="529" t="s">
        <v>2147</v>
      </c>
      <c r="K343" s="529" t="s">
        <v>465</v>
      </c>
      <c r="L343" s="529">
        <v>0</v>
      </c>
    </row>
    <row r="344" spans="9:12" x14ac:dyDescent="0.2">
      <c r="I344" s="528" t="s">
        <v>1718</v>
      </c>
      <c r="J344" s="529" t="s">
        <v>2148</v>
      </c>
      <c r="K344" s="529" t="s">
        <v>776</v>
      </c>
      <c r="L344" s="529"/>
    </row>
    <row r="345" spans="9:12" x14ac:dyDescent="0.2">
      <c r="I345" s="528" t="s">
        <v>1718</v>
      </c>
      <c r="J345" s="529" t="s">
        <v>2149</v>
      </c>
      <c r="K345" s="529" t="s">
        <v>776</v>
      </c>
      <c r="L345" s="529"/>
    </row>
    <row r="346" spans="9:12" x14ac:dyDescent="0.2">
      <c r="I346" s="528" t="s">
        <v>1638</v>
      </c>
      <c r="J346" s="529" t="s">
        <v>2150</v>
      </c>
      <c r="K346" s="529" t="s">
        <v>651</v>
      </c>
      <c r="L346" s="529">
        <v>29402</v>
      </c>
    </row>
    <row r="347" spans="9:12" x14ac:dyDescent="0.2">
      <c r="I347" s="528" t="s">
        <v>1638</v>
      </c>
      <c r="J347" s="529" t="s">
        <v>2151</v>
      </c>
      <c r="K347" s="529" t="s">
        <v>651</v>
      </c>
      <c r="L347" s="529">
        <v>29402</v>
      </c>
    </row>
    <row r="348" spans="9:12" x14ac:dyDescent="0.2">
      <c r="I348" s="528" t="s">
        <v>1800</v>
      </c>
      <c r="J348" s="529" t="s">
        <v>2152</v>
      </c>
      <c r="K348" s="529" t="s">
        <v>2153</v>
      </c>
      <c r="L348" s="529">
        <v>29311</v>
      </c>
    </row>
    <row r="349" spans="9:12" x14ac:dyDescent="0.2">
      <c r="I349" s="528" t="s">
        <v>1915</v>
      </c>
      <c r="J349" s="529" t="s">
        <v>2154</v>
      </c>
      <c r="K349" s="529" t="s">
        <v>453</v>
      </c>
      <c r="L349" s="529">
        <v>29311</v>
      </c>
    </row>
    <row r="350" spans="9:12" x14ac:dyDescent="0.2">
      <c r="I350" s="528" t="s">
        <v>1915</v>
      </c>
      <c r="J350" s="529" t="s">
        <v>2155</v>
      </c>
      <c r="K350" s="529" t="s">
        <v>453</v>
      </c>
      <c r="L350" s="529">
        <v>29311</v>
      </c>
    </row>
    <row r="351" spans="9:12" x14ac:dyDescent="0.2">
      <c r="I351" s="528" t="s">
        <v>1871</v>
      </c>
      <c r="J351" s="529" t="s">
        <v>2156</v>
      </c>
      <c r="K351" s="529" t="s">
        <v>487</v>
      </c>
      <c r="L351" s="529">
        <v>53709</v>
      </c>
    </row>
    <row r="352" spans="9:12" x14ac:dyDescent="0.2">
      <c r="I352" s="528" t="s">
        <v>1871</v>
      </c>
      <c r="J352" s="529" t="s">
        <v>2157</v>
      </c>
      <c r="K352" s="529" t="s">
        <v>487</v>
      </c>
      <c r="L352" s="529">
        <v>53709</v>
      </c>
    </row>
    <row r="353" spans="9:12" x14ac:dyDescent="0.2">
      <c r="I353" s="528" t="s">
        <v>1738</v>
      </c>
      <c r="J353" s="529" t="s">
        <v>2158</v>
      </c>
      <c r="K353" s="529" t="s">
        <v>2159</v>
      </c>
      <c r="L353" s="529">
        <v>29650</v>
      </c>
    </row>
    <row r="354" spans="9:12" x14ac:dyDescent="0.2">
      <c r="I354" s="528" t="s">
        <v>1738</v>
      </c>
      <c r="J354" s="529" t="s">
        <v>2160</v>
      </c>
      <c r="K354" s="529" t="s">
        <v>2159</v>
      </c>
      <c r="L354" s="529">
        <v>29650</v>
      </c>
    </row>
    <row r="355" spans="9:12" x14ac:dyDescent="0.2">
      <c r="I355" s="528" t="s">
        <v>1738</v>
      </c>
      <c r="J355" s="529" t="s">
        <v>2161</v>
      </c>
      <c r="K355" s="529" t="s">
        <v>2159</v>
      </c>
      <c r="L355" s="529"/>
    </row>
    <row r="356" spans="9:12" x14ac:dyDescent="0.2">
      <c r="I356" s="528" t="s">
        <v>1627</v>
      </c>
      <c r="J356" s="529" t="s">
        <v>2162</v>
      </c>
      <c r="K356" s="529" t="s">
        <v>2163</v>
      </c>
      <c r="L356" s="529">
        <v>29445</v>
      </c>
    </row>
    <row r="357" spans="9:12" x14ac:dyDescent="0.2">
      <c r="I357" s="528" t="s">
        <v>1627</v>
      </c>
      <c r="J357" s="529" t="s">
        <v>2164</v>
      </c>
      <c r="K357" s="529">
        <v>12002351</v>
      </c>
      <c r="L357" s="529">
        <v>29445</v>
      </c>
    </row>
    <row r="358" spans="9:12" x14ac:dyDescent="0.2">
      <c r="I358" s="528" t="s">
        <v>2014</v>
      </c>
      <c r="J358" s="529" t="s">
        <v>2165</v>
      </c>
      <c r="K358" s="529" t="s">
        <v>451</v>
      </c>
      <c r="L358" s="529">
        <v>29343</v>
      </c>
    </row>
    <row r="359" spans="9:12" x14ac:dyDescent="0.2">
      <c r="I359" s="528" t="s">
        <v>1947</v>
      </c>
      <c r="J359" s="529" t="s">
        <v>2166</v>
      </c>
      <c r="K359" s="529">
        <v>46012631</v>
      </c>
      <c r="L359" s="529"/>
    </row>
    <row r="360" spans="9:12" x14ac:dyDescent="0.2">
      <c r="I360" s="528" t="s">
        <v>1947</v>
      </c>
      <c r="J360" s="529" t="s">
        <v>2167</v>
      </c>
      <c r="K360" s="529" t="s">
        <v>474</v>
      </c>
      <c r="L360" s="529">
        <v>29439</v>
      </c>
    </row>
    <row r="361" spans="9:12" x14ac:dyDescent="0.2">
      <c r="I361" s="528" t="s">
        <v>1859</v>
      </c>
      <c r="J361" s="529" t="s">
        <v>2168</v>
      </c>
      <c r="K361" s="529" t="s">
        <v>472</v>
      </c>
      <c r="L361" s="529"/>
    </row>
    <row r="362" spans="9:12" x14ac:dyDescent="0.2">
      <c r="I362" s="528" t="s">
        <v>1859</v>
      </c>
      <c r="J362" s="529" t="s">
        <v>2169</v>
      </c>
      <c r="K362" s="529" t="s">
        <v>472</v>
      </c>
      <c r="L362" s="529">
        <v>29439</v>
      </c>
    </row>
    <row r="363" spans="9:12" x14ac:dyDescent="0.2">
      <c r="I363" s="528" t="s">
        <v>1943</v>
      </c>
      <c r="J363" s="529" t="s">
        <v>2170</v>
      </c>
      <c r="K363" s="529">
        <v>46008261</v>
      </c>
      <c r="L363" s="529">
        <v>29666</v>
      </c>
    </row>
    <row r="364" spans="9:12" x14ac:dyDescent="0.2">
      <c r="I364" s="528" t="s">
        <v>1864</v>
      </c>
      <c r="J364" s="529" t="s">
        <v>2171</v>
      </c>
      <c r="K364" s="529">
        <v>46016117</v>
      </c>
      <c r="L364" s="529">
        <v>29328</v>
      </c>
    </row>
    <row r="365" spans="9:12" x14ac:dyDescent="0.2">
      <c r="I365" s="528" t="s">
        <v>1845</v>
      </c>
      <c r="J365" s="529" t="s">
        <v>2172</v>
      </c>
      <c r="K365" s="529" t="s">
        <v>437</v>
      </c>
      <c r="L365" s="529">
        <v>29328</v>
      </c>
    </row>
    <row r="366" spans="9:12" x14ac:dyDescent="0.2">
      <c r="I366" s="528" t="s">
        <v>2016</v>
      </c>
      <c r="J366" s="529" t="s">
        <v>2173</v>
      </c>
      <c r="K366" s="529" t="s">
        <v>2174</v>
      </c>
      <c r="L366" s="529">
        <v>29328</v>
      </c>
    </row>
    <row r="367" spans="9:12" x14ac:dyDescent="0.2">
      <c r="I367" s="528" t="s">
        <v>1725</v>
      </c>
      <c r="J367" s="529" t="s">
        <v>2175</v>
      </c>
      <c r="K367" s="529" t="s">
        <v>700</v>
      </c>
      <c r="L367" s="529">
        <v>0</v>
      </c>
    </row>
    <row r="368" spans="9:12" x14ac:dyDescent="0.2">
      <c r="I368" s="528" t="s">
        <v>1723</v>
      </c>
      <c r="J368" s="529" t="s">
        <v>2176</v>
      </c>
      <c r="K368" s="529" t="s">
        <v>673</v>
      </c>
      <c r="L368" s="529"/>
    </row>
    <row r="369" spans="9:12" x14ac:dyDescent="0.2">
      <c r="I369" s="528" t="s">
        <v>1723</v>
      </c>
      <c r="J369" s="529" t="s">
        <v>2177</v>
      </c>
      <c r="K369" s="529" t="s">
        <v>673</v>
      </c>
      <c r="L369" s="529"/>
    </row>
    <row r="370" spans="9:12" x14ac:dyDescent="0.2">
      <c r="I370" s="528" t="s">
        <v>2019</v>
      </c>
      <c r="J370" s="529" t="s">
        <v>2178</v>
      </c>
      <c r="K370" s="529" t="s">
        <v>700</v>
      </c>
      <c r="L370" s="529"/>
    </row>
    <row r="371" spans="9:12" x14ac:dyDescent="0.2">
      <c r="I371" s="528" t="s">
        <v>1815</v>
      </c>
      <c r="J371" s="529" t="s">
        <v>2179</v>
      </c>
      <c r="K371" s="534" t="s">
        <v>2180</v>
      </c>
      <c r="L371" s="529">
        <v>0</v>
      </c>
    </row>
    <row r="372" spans="9:12" x14ac:dyDescent="0.2">
      <c r="I372" s="528" t="s">
        <v>1583</v>
      </c>
      <c r="J372" s="529" t="s">
        <v>2181</v>
      </c>
      <c r="K372" s="529" t="s">
        <v>2182</v>
      </c>
      <c r="L372" s="529">
        <v>29475</v>
      </c>
    </row>
    <row r="373" spans="9:12" x14ac:dyDescent="0.2">
      <c r="I373" s="528" t="s">
        <v>1730</v>
      </c>
      <c r="J373" s="529" t="s">
        <v>2183</v>
      </c>
      <c r="K373" s="529" t="s">
        <v>461</v>
      </c>
      <c r="L373" s="529">
        <v>29475</v>
      </c>
    </row>
    <row r="374" spans="9:12" x14ac:dyDescent="0.2">
      <c r="I374" s="528" t="s">
        <v>1730</v>
      </c>
      <c r="J374" s="529" t="s">
        <v>2184</v>
      </c>
      <c r="K374" s="529">
        <v>46023158</v>
      </c>
      <c r="L374" s="529">
        <v>29302</v>
      </c>
    </row>
    <row r="375" spans="9:12" x14ac:dyDescent="0.2">
      <c r="I375" s="528" t="s">
        <v>2021</v>
      </c>
      <c r="J375" s="529" t="s">
        <v>2185</v>
      </c>
      <c r="K375" s="529" t="s">
        <v>2186</v>
      </c>
      <c r="L375" s="529">
        <v>29302</v>
      </c>
    </row>
    <row r="376" spans="9:12" x14ac:dyDescent="0.2">
      <c r="I376" s="528" t="s">
        <v>1929</v>
      </c>
      <c r="J376" s="529" t="s">
        <v>2187</v>
      </c>
      <c r="K376" s="529" t="s">
        <v>2188</v>
      </c>
      <c r="L376" s="529"/>
    </row>
    <row r="377" spans="9:12" x14ac:dyDescent="0.2">
      <c r="I377" s="528" t="s">
        <v>2023</v>
      </c>
      <c r="J377" s="529" t="s">
        <v>2189</v>
      </c>
      <c r="K377" s="529" t="s">
        <v>2190</v>
      </c>
      <c r="L377" s="529"/>
    </row>
    <row r="378" spans="9:12" x14ac:dyDescent="0.2">
      <c r="I378" s="528" t="s">
        <v>1783</v>
      </c>
      <c r="J378" s="529" t="s">
        <v>2191</v>
      </c>
      <c r="K378" s="529" t="s">
        <v>407</v>
      </c>
      <c r="L378" s="529">
        <v>29669</v>
      </c>
    </row>
    <row r="379" spans="9:12" x14ac:dyDescent="0.2">
      <c r="I379" s="528" t="s">
        <v>1783</v>
      </c>
      <c r="J379" s="529" t="s">
        <v>2192</v>
      </c>
      <c r="K379" s="529" t="s">
        <v>407</v>
      </c>
      <c r="L379" s="529">
        <v>29669</v>
      </c>
    </row>
    <row r="380" spans="9:12" x14ac:dyDescent="0.2">
      <c r="I380" s="528" t="s">
        <v>1686</v>
      </c>
      <c r="J380" s="529" t="s">
        <v>2193</v>
      </c>
      <c r="K380" s="529" t="s">
        <v>2194</v>
      </c>
      <c r="L380" s="529"/>
    </row>
    <row r="381" spans="9:12" x14ac:dyDescent="0.2">
      <c r="I381" s="528" t="s">
        <v>1686</v>
      </c>
      <c r="J381" s="529" t="s">
        <v>2195</v>
      </c>
      <c r="K381" s="529" t="s">
        <v>2194</v>
      </c>
      <c r="L381" s="529"/>
    </row>
    <row r="382" spans="9:12" x14ac:dyDescent="0.2">
      <c r="I382" s="528" t="s">
        <v>1786</v>
      </c>
      <c r="J382" s="529" t="s">
        <v>2196</v>
      </c>
      <c r="K382" s="529" t="s">
        <v>425</v>
      </c>
      <c r="L382" s="529"/>
    </row>
    <row r="383" spans="9:12" x14ac:dyDescent="0.2">
      <c r="I383" s="528" t="s">
        <v>1786</v>
      </c>
      <c r="J383" s="529" t="s">
        <v>2197</v>
      </c>
      <c r="K383" s="529" t="s">
        <v>425</v>
      </c>
      <c r="L383" s="529"/>
    </row>
    <row r="384" spans="9:12" x14ac:dyDescent="0.2">
      <c r="I384" s="528" t="s">
        <v>1711</v>
      </c>
      <c r="J384" s="529" t="s">
        <v>2198</v>
      </c>
      <c r="K384" s="529" t="s">
        <v>721</v>
      </c>
      <c r="L384" s="529">
        <v>54260</v>
      </c>
    </row>
    <row r="385" spans="9:12" x14ac:dyDescent="0.2">
      <c r="I385" s="528" t="s">
        <v>1711</v>
      </c>
      <c r="J385" s="529" t="s">
        <v>2199</v>
      </c>
      <c r="K385" s="529" t="s">
        <v>721</v>
      </c>
      <c r="L385" s="529">
        <v>49504</v>
      </c>
    </row>
    <row r="386" spans="9:12" x14ac:dyDescent="0.2">
      <c r="I386" s="528" t="s">
        <v>1940</v>
      </c>
      <c r="J386" s="529" t="s">
        <v>2200</v>
      </c>
      <c r="K386" s="529" t="s">
        <v>589</v>
      </c>
      <c r="L386" s="529">
        <v>49504</v>
      </c>
    </row>
    <row r="387" spans="9:12" x14ac:dyDescent="0.2">
      <c r="I387" s="528" t="s">
        <v>1940</v>
      </c>
      <c r="J387" s="529" t="s">
        <v>2201</v>
      </c>
      <c r="K387" s="529" t="s">
        <v>589</v>
      </c>
      <c r="L387" s="529">
        <v>54235</v>
      </c>
    </row>
    <row r="388" spans="9:12" x14ac:dyDescent="0.2">
      <c r="I388" s="528" t="s">
        <v>1708</v>
      </c>
      <c r="J388" s="529" t="s">
        <v>2202</v>
      </c>
      <c r="K388" s="529">
        <v>97934467</v>
      </c>
      <c r="L388" s="529">
        <v>54235</v>
      </c>
    </row>
    <row r="389" spans="9:12" x14ac:dyDescent="0.2">
      <c r="I389" s="528" t="s">
        <v>1840</v>
      </c>
      <c r="J389" s="529" t="s">
        <v>2203</v>
      </c>
      <c r="K389" s="529" t="s">
        <v>872</v>
      </c>
      <c r="L389" s="529">
        <v>54235</v>
      </c>
    </row>
    <row r="390" spans="9:12" x14ac:dyDescent="0.2">
      <c r="I390" s="528" t="s">
        <v>1840</v>
      </c>
      <c r="J390" s="529" t="s">
        <v>2204</v>
      </c>
      <c r="K390" s="529" t="s">
        <v>872</v>
      </c>
      <c r="L390" s="529">
        <v>0</v>
      </c>
    </row>
    <row r="391" spans="9:12" x14ac:dyDescent="0.2">
      <c r="I391" s="528" t="s">
        <v>2025</v>
      </c>
      <c r="J391" s="529" t="s">
        <v>2205</v>
      </c>
      <c r="K391" s="529" t="s">
        <v>476</v>
      </c>
      <c r="L391" s="529">
        <v>0</v>
      </c>
    </row>
    <row r="392" spans="9:12" x14ac:dyDescent="0.2">
      <c r="I392" s="528" t="s">
        <v>1931</v>
      </c>
      <c r="J392" s="529" t="s">
        <v>2206</v>
      </c>
      <c r="K392" s="529" t="s">
        <v>429</v>
      </c>
      <c r="L392" s="529">
        <v>0</v>
      </c>
    </row>
    <row r="393" spans="9:12" x14ac:dyDescent="0.2">
      <c r="I393" s="528" t="s">
        <v>1944</v>
      </c>
      <c r="J393" s="529" t="s">
        <v>2207</v>
      </c>
      <c r="K393" s="529" t="s">
        <v>798</v>
      </c>
      <c r="L393" s="529">
        <v>0</v>
      </c>
    </row>
    <row r="394" spans="9:12" x14ac:dyDescent="0.2">
      <c r="I394" s="528" t="s">
        <v>1944</v>
      </c>
      <c r="J394" s="529" t="s">
        <v>2208</v>
      </c>
      <c r="K394" s="529" t="s">
        <v>798</v>
      </c>
      <c r="L394" s="529">
        <v>0</v>
      </c>
    </row>
    <row r="395" spans="9:12" x14ac:dyDescent="0.2">
      <c r="I395" s="528" t="s">
        <v>1886</v>
      </c>
      <c r="J395" s="529" t="s">
        <v>2209</v>
      </c>
      <c r="K395" s="529" t="s">
        <v>2210</v>
      </c>
      <c r="L395" s="529">
        <v>0</v>
      </c>
    </row>
    <row r="396" spans="9:12" x14ac:dyDescent="0.2">
      <c r="I396" s="528" t="s">
        <v>1812</v>
      </c>
      <c r="J396" s="529" t="s">
        <v>2211</v>
      </c>
      <c r="K396" s="529" t="s">
        <v>419</v>
      </c>
      <c r="L396" s="529">
        <v>0</v>
      </c>
    </row>
    <row r="397" spans="9:12" x14ac:dyDescent="0.2">
      <c r="I397" s="528" t="s">
        <v>1812</v>
      </c>
      <c r="J397" s="529" t="s">
        <v>2212</v>
      </c>
      <c r="K397" s="529" t="s">
        <v>419</v>
      </c>
      <c r="L397" s="529"/>
    </row>
    <row r="398" spans="9:12" x14ac:dyDescent="0.2">
      <c r="I398" s="528" t="s">
        <v>1690</v>
      </c>
      <c r="J398" s="529" t="s">
        <v>2213</v>
      </c>
      <c r="K398" s="529" t="s">
        <v>782</v>
      </c>
      <c r="L398" s="529"/>
    </row>
    <row r="399" spans="9:12" x14ac:dyDescent="0.2">
      <c r="I399" s="528" t="s">
        <v>1690</v>
      </c>
      <c r="J399" s="529" t="s">
        <v>2214</v>
      </c>
      <c r="K399" s="529" t="s">
        <v>782</v>
      </c>
      <c r="L399" s="529"/>
    </row>
    <row r="400" spans="9:12" x14ac:dyDescent="0.2">
      <c r="I400" s="528" t="s">
        <v>1788</v>
      </c>
      <c r="J400" s="529" t="s">
        <v>2215</v>
      </c>
      <c r="K400" s="529" t="s">
        <v>709</v>
      </c>
      <c r="L400" s="529">
        <v>29379</v>
      </c>
    </row>
    <row r="401" spans="9:12" x14ac:dyDescent="0.2">
      <c r="I401" s="528" t="s">
        <v>1788</v>
      </c>
      <c r="J401" s="529" t="s">
        <v>2216</v>
      </c>
      <c r="K401" s="529" t="s">
        <v>709</v>
      </c>
      <c r="L401" s="529">
        <v>29379</v>
      </c>
    </row>
    <row r="402" spans="9:12" x14ac:dyDescent="0.2">
      <c r="I402" s="528" t="s">
        <v>2027</v>
      </c>
      <c r="J402" s="529" t="s">
        <v>2217</v>
      </c>
      <c r="K402" s="529" t="s">
        <v>2218</v>
      </c>
      <c r="L402" s="529">
        <v>29379</v>
      </c>
    </row>
    <row r="403" spans="9:12" x14ac:dyDescent="0.2">
      <c r="I403" s="528" t="s">
        <v>2029</v>
      </c>
      <c r="J403" s="529" t="s">
        <v>2219</v>
      </c>
      <c r="K403" s="529" t="s">
        <v>2220</v>
      </c>
      <c r="L403" s="529">
        <v>52027</v>
      </c>
    </row>
    <row r="404" spans="9:12" x14ac:dyDescent="0.2">
      <c r="I404" s="528" t="s">
        <v>1682</v>
      </c>
      <c r="J404" s="529" t="s">
        <v>2221</v>
      </c>
      <c r="K404" s="529" t="s">
        <v>429</v>
      </c>
      <c r="L404" s="529">
        <v>52027</v>
      </c>
    </row>
    <row r="405" spans="9:12" x14ac:dyDescent="0.2">
      <c r="I405" s="528" t="s">
        <v>1696</v>
      </c>
      <c r="J405" s="529" t="s">
        <v>2222</v>
      </c>
      <c r="K405" s="529" t="s">
        <v>667</v>
      </c>
      <c r="L405" s="529">
        <v>29473</v>
      </c>
    </row>
    <row r="406" spans="9:12" x14ac:dyDescent="0.2">
      <c r="I406" s="532" t="s">
        <v>1696</v>
      </c>
      <c r="J406" s="533" t="s">
        <v>2223</v>
      </c>
      <c r="K406" s="534" t="s">
        <v>667</v>
      </c>
      <c r="L406" s="529">
        <v>52790</v>
      </c>
    </row>
    <row r="407" spans="9:12" x14ac:dyDescent="0.2">
      <c r="I407" s="532" t="s">
        <v>1696</v>
      </c>
      <c r="J407" s="533" t="s">
        <v>2222</v>
      </c>
      <c r="K407" s="534" t="s">
        <v>667</v>
      </c>
      <c r="L407" s="529">
        <v>0</v>
      </c>
    </row>
    <row r="408" spans="9:12" x14ac:dyDescent="0.2">
      <c r="I408" s="528" t="s">
        <v>1892</v>
      </c>
      <c r="J408" s="529" t="s">
        <v>2224</v>
      </c>
      <c r="K408" s="529" t="s">
        <v>476</v>
      </c>
      <c r="L408" s="529">
        <v>0</v>
      </c>
    </row>
    <row r="409" spans="9:12" x14ac:dyDescent="0.2">
      <c r="I409" s="528" t="s">
        <v>1791</v>
      </c>
      <c r="J409" s="529" t="s">
        <v>2225</v>
      </c>
      <c r="K409" s="529" t="s">
        <v>707</v>
      </c>
      <c r="L409" s="529"/>
    </row>
    <row r="410" spans="9:12" x14ac:dyDescent="0.2">
      <c r="I410" s="528" t="s">
        <v>1791</v>
      </c>
      <c r="J410" s="529" t="s">
        <v>2226</v>
      </c>
      <c r="K410" s="529" t="s">
        <v>707</v>
      </c>
      <c r="L410" s="529">
        <v>54260</v>
      </c>
    </row>
    <row r="411" spans="9:12" x14ac:dyDescent="0.2">
      <c r="I411" s="528" t="s">
        <v>2031</v>
      </c>
      <c r="J411" s="529" t="s">
        <v>2227</v>
      </c>
      <c r="K411" s="529" t="s">
        <v>2228</v>
      </c>
      <c r="L411" s="529"/>
    </row>
    <row r="412" spans="9:12" x14ac:dyDescent="0.2">
      <c r="I412" s="528"/>
      <c r="J412" s="529"/>
      <c r="K412" s="529"/>
      <c r="L412" s="529">
        <v>49504</v>
      </c>
    </row>
    <row r="413" spans="9:12" x14ac:dyDescent="0.2">
      <c r="I413" s="528"/>
      <c r="J413" s="529"/>
      <c r="K413" s="529"/>
      <c r="L413" s="529">
        <v>0</v>
      </c>
    </row>
    <row r="414" spans="9:12" x14ac:dyDescent="0.2">
      <c r="I414" s="528"/>
      <c r="J414" s="529"/>
      <c r="K414" s="529"/>
      <c r="L414" s="529">
        <v>51142</v>
      </c>
    </row>
    <row r="415" spans="9:12" x14ac:dyDescent="0.2">
      <c r="I415" s="528"/>
      <c r="J415" s="529"/>
      <c r="K415" s="529"/>
      <c r="L415" s="529">
        <v>51980</v>
      </c>
    </row>
    <row r="416" spans="9:12" x14ac:dyDescent="0.2">
      <c r="I416" s="528"/>
      <c r="J416" s="529"/>
      <c r="K416" s="529"/>
      <c r="L416" s="529">
        <v>51980</v>
      </c>
    </row>
    <row r="417" spans="9:12" x14ac:dyDescent="0.2">
      <c r="I417" s="528"/>
      <c r="J417" s="529"/>
      <c r="K417" s="529"/>
      <c r="L417" s="529">
        <v>52007</v>
      </c>
    </row>
    <row r="418" spans="9:12" x14ac:dyDescent="0.2">
      <c r="I418" s="528"/>
      <c r="J418" s="529"/>
      <c r="K418" s="529"/>
      <c r="L418" s="529">
        <v>52007</v>
      </c>
    </row>
    <row r="419" spans="9:12" x14ac:dyDescent="0.2">
      <c r="I419" s="528"/>
      <c r="J419" s="529"/>
      <c r="K419" s="529"/>
      <c r="L419" s="529">
        <v>0</v>
      </c>
    </row>
    <row r="420" spans="9:12" x14ac:dyDescent="0.2">
      <c r="I420" s="528"/>
      <c r="J420" s="529"/>
      <c r="K420" s="529"/>
      <c r="L420" s="529">
        <v>29344</v>
      </c>
    </row>
    <row r="421" spans="9:12" x14ac:dyDescent="0.2">
      <c r="I421" s="528"/>
      <c r="J421" s="529"/>
      <c r="K421" s="529"/>
      <c r="L421" s="529">
        <v>29365</v>
      </c>
    </row>
    <row r="422" spans="9:12" x14ac:dyDescent="0.2">
      <c r="I422" s="528"/>
      <c r="J422" s="529"/>
      <c r="K422" s="529"/>
      <c r="L422" s="529">
        <v>0</v>
      </c>
    </row>
    <row r="423" spans="9:12" x14ac:dyDescent="0.2">
      <c r="I423" s="528"/>
      <c r="J423" s="529"/>
      <c r="K423" s="529"/>
      <c r="L423" s="529"/>
    </row>
    <row r="424" spans="9:12" x14ac:dyDescent="0.2">
      <c r="I424" s="528"/>
      <c r="J424" s="529"/>
      <c r="K424" s="529"/>
      <c r="L424" s="529"/>
    </row>
    <row r="425" spans="9:12" x14ac:dyDescent="0.2">
      <c r="I425" s="528"/>
      <c r="J425" s="529"/>
      <c r="K425" s="529"/>
      <c r="L425" s="529">
        <v>54245</v>
      </c>
    </row>
    <row r="426" spans="9:12" x14ac:dyDescent="0.2">
      <c r="I426" s="528"/>
      <c r="J426" s="529"/>
      <c r="K426" s="529"/>
      <c r="L426" s="529">
        <v>54245</v>
      </c>
    </row>
    <row r="427" spans="9:12" x14ac:dyDescent="0.2">
      <c r="I427" s="528"/>
      <c r="J427" s="529"/>
      <c r="K427" s="529"/>
      <c r="L427" s="529">
        <v>54245</v>
      </c>
    </row>
    <row r="428" spans="9:12" x14ac:dyDescent="0.2">
      <c r="I428" s="528"/>
      <c r="J428" s="529"/>
      <c r="K428" s="529"/>
      <c r="L428" s="529"/>
    </row>
    <row r="429" spans="9:12" x14ac:dyDescent="0.2">
      <c r="I429" s="528"/>
      <c r="J429" s="529"/>
      <c r="K429" s="529"/>
      <c r="L429" s="529">
        <v>29301</v>
      </c>
    </row>
    <row r="430" spans="9:12" x14ac:dyDescent="0.2">
      <c r="I430" s="528"/>
      <c r="J430" s="529"/>
      <c r="K430" s="529"/>
      <c r="L430" s="529">
        <v>29301</v>
      </c>
    </row>
    <row r="431" spans="9:12" x14ac:dyDescent="0.2">
      <c r="I431" s="528"/>
      <c r="J431" s="529"/>
      <c r="K431" s="529"/>
      <c r="L431" s="529">
        <v>53747</v>
      </c>
    </row>
    <row r="432" spans="9:12" x14ac:dyDescent="0.2">
      <c r="I432" s="528"/>
      <c r="J432" s="529"/>
      <c r="K432" s="529"/>
      <c r="L432" s="529">
        <v>53747</v>
      </c>
    </row>
    <row r="433" spans="9:12" x14ac:dyDescent="0.2">
      <c r="I433" s="528"/>
      <c r="J433" s="529"/>
      <c r="K433" s="529"/>
      <c r="L433" s="529">
        <v>0</v>
      </c>
    </row>
    <row r="434" spans="9:12" x14ac:dyDescent="0.2">
      <c r="I434" s="528"/>
      <c r="J434" s="529"/>
      <c r="K434" s="529"/>
      <c r="L434" s="529"/>
    </row>
    <row r="435" spans="9:12" x14ac:dyDescent="0.2">
      <c r="I435" s="528"/>
      <c r="J435" s="529"/>
      <c r="K435" s="529"/>
      <c r="L435" s="529"/>
    </row>
    <row r="436" spans="9:12" x14ac:dyDescent="0.2">
      <c r="I436" s="528"/>
      <c r="J436" s="529"/>
      <c r="K436" s="529"/>
      <c r="L436" s="529"/>
    </row>
    <row r="437" spans="9:12" x14ac:dyDescent="0.2">
      <c r="I437" s="528"/>
      <c r="J437" s="529"/>
      <c r="K437" s="529"/>
      <c r="L437" s="529">
        <v>0</v>
      </c>
    </row>
    <row r="438" spans="9:12" x14ac:dyDescent="0.2">
      <c r="I438" s="528"/>
      <c r="J438" s="529"/>
      <c r="K438" s="529"/>
      <c r="L438" s="529">
        <v>0</v>
      </c>
    </row>
    <row r="439" spans="9:12" x14ac:dyDescent="0.2">
      <c r="I439" s="528"/>
      <c r="J439" s="529"/>
      <c r="K439" s="529"/>
      <c r="L439" s="529">
        <v>0</v>
      </c>
    </row>
    <row r="440" spans="9:12" x14ac:dyDescent="0.2">
      <c r="I440" s="528"/>
      <c r="J440" s="529"/>
      <c r="K440" s="529"/>
      <c r="L440" s="529"/>
    </row>
    <row r="441" spans="9:12" x14ac:dyDescent="0.2">
      <c r="I441" s="528"/>
      <c r="J441" s="529"/>
      <c r="K441" s="529"/>
      <c r="L441" s="529"/>
    </row>
    <row r="442" spans="9:12" x14ac:dyDescent="0.2">
      <c r="I442" s="528"/>
      <c r="J442" s="529"/>
      <c r="K442" s="529"/>
      <c r="L442" s="529">
        <v>0</v>
      </c>
    </row>
    <row r="443" spans="9:12" x14ac:dyDescent="0.2">
      <c r="I443" s="528"/>
      <c r="J443" s="529"/>
      <c r="K443" s="529"/>
      <c r="L443" s="529">
        <v>0</v>
      </c>
    </row>
    <row r="444" spans="9:12" x14ac:dyDescent="0.2">
      <c r="I444" s="528"/>
      <c r="J444" s="529"/>
      <c r="K444" s="529"/>
      <c r="L444" s="529">
        <v>0</v>
      </c>
    </row>
    <row r="445" spans="9:12" x14ac:dyDescent="0.2">
      <c r="I445" s="528"/>
      <c r="J445" s="529"/>
      <c r="K445" s="529"/>
      <c r="L445" s="529">
        <v>0</v>
      </c>
    </row>
    <row r="446" spans="9:12" x14ac:dyDescent="0.2">
      <c r="I446" s="528"/>
      <c r="J446" s="529"/>
      <c r="K446" s="529"/>
      <c r="L446" s="529">
        <v>0</v>
      </c>
    </row>
    <row r="447" spans="9:12" x14ac:dyDescent="0.2">
      <c r="I447" s="528"/>
      <c r="J447" s="529"/>
      <c r="K447" s="529"/>
      <c r="L447" s="529">
        <v>0</v>
      </c>
    </row>
    <row r="448" spans="9:12" x14ac:dyDescent="0.2">
      <c r="I448" s="528"/>
      <c r="J448" s="529"/>
      <c r="K448" s="529"/>
      <c r="L448" s="529">
        <v>0</v>
      </c>
    </row>
    <row r="449" spans="9:12" x14ac:dyDescent="0.2">
      <c r="I449" s="528"/>
      <c r="J449" s="529"/>
      <c r="K449" s="529"/>
      <c r="L449" s="529">
        <v>0</v>
      </c>
    </row>
    <row r="450" spans="9:12" x14ac:dyDescent="0.2">
      <c r="I450" s="528"/>
      <c r="J450" s="529"/>
      <c r="K450" s="529"/>
      <c r="L450" s="529">
        <v>0</v>
      </c>
    </row>
    <row r="451" spans="9:12" x14ac:dyDescent="0.2">
      <c r="I451" s="528"/>
      <c r="J451" s="529"/>
      <c r="K451" s="529"/>
      <c r="L451" s="529">
        <v>0</v>
      </c>
    </row>
    <row r="452" spans="9:12" x14ac:dyDescent="0.2">
      <c r="I452" s="528"/>
      <c r="J452" s="529"/>
      <c r="K452" s="529"/>
      <c r="L452" s="529"/>
    </row>
    <row r="453" spans="9:12" x14ac:dyDescent="0.2">
      <c r="I453" s="528"/>
      <c r="J453" s="529"/>
      <c r="K453" s="529"/>
      <c r="L453" s="529"/>
    </row>
    <row r="454" spans="9:12" x14ac:dyDescent="0.2">
      <c r="I454" s="528"/>
      <c r="J454" s="529"/>
      <c r="K454" s="529"/>
      <c r="L454" s="529"/>
    </row>
    <row r="455" spans="9:12" x14ac:dyDescent="0.2">
      <c r="I455" s="528"/>
      <c r="J455" s="529"/>
      <c r="K455" s="529"/>
      <c r="L455" s="529"/>
    </row>
    <row r="456" spans="9:12" x14ac:dyDescent="0.2">
      <c r="I456" s="528"/>
      <c r="J456" s="529"/>
      <c r="K456" s="529"/>
      <c r="L456" s="529"/>
    </row>
    <row r="457" spans="9:12" x14ac:dyDescent="0.2">
      <c r="I457" s="528"/>
      <c r="J457" s="529"/>
      <c r="K457" s="529"/>
      <c r="L457" s="529">
        <v>0</v>
      </c>
    </row>
    <row r="458" spans="9:12" x14ac:dyDescent="0.2">
      <c r="I458" s="528"/>
      <c r="J458" s="529"/>
      <c r="K458" s="529"/>
      <c r="L458" s="529"/>
    </row>
    <row r="459" spans="9:12" x14ac:dyDescent="0.2">
      <c r="I459" s="528"/>
      <c r="J459" s="529"/>
      <c r="K459" s="529"/>
      <c r="L459" s="529"/>
    </row>
    <row r="460" spans="9:12" x14ac:dyDescent="0.2">
      <c r="I460" s="528"/>
      <c r="J460" s="529"/>
      <c r="K460" s="529"/>
      <c r="L460" s="529">
        <v>0</v>
      </c>
    </row>
    <row r="461" spans="9:12" x14ac:dyDescent="0.2">
      <c r="I461" s="528"/>
      <c r="J461" s="529"/>
      <c r="K461" s="529"/>
      <c r="L461" s="529">
        <v>0</v>
      </c>
    </row>
    <row r="462" spans="9:12" x14ac:dyDescent="0.2">
      <c r="I462" s="528"/>
      <c r="J462" s="529"/>
      <c r="K462" s="529"/>
      <c r="L462" s="529">
        <v>0</v>
      </c>
    </row>
    <row r="463" spans="9:12" x14ac:dyDescent="0.2">
      <c r="I463" s="528"/>
      <c r="J463" s="529"/>
      <c r="K463" s="529"/>
      <c r="L463" s="529">
        <v>0</v>
      </c>
    </row>
    <row r="464" spans="9:12" x14ac:dyDescent="0.2">
      <c r="I464" s="528"/>
      <c r="J464" s="529"/>
      <c r="K464" s="529"/>
      <c r="L464" s="529">
        <v>0</v>
      </c>
    </row>
    <row r="465" spans="9:12" x14ac:dyDescent="0.2">
      <c r="I465" s="528"/>
      <c r="J465" s="529"/>
      <c r="K465" s="529"/>
      <c r="L465" s="529"/>
    </row>
    <row r="466" spans="9:12" x14ac:dyDescent="0.2">
      <c r="I466" s="528"/>
      <c r="J466" s="529"/>
      <c r="K466" s="529"/>
      <c r="L466" s="529">
        <v>0</v>
      </c>
    </row>
    <row r="467" spans="9:12" x14ac:dyDescent="0.2">
      <c r="I467" s="528"/>
      <c r="J467" s="529"/>
      <c r="K467" s="529"/>
      <c r="L467" s="529">
        <v>29539</v>
      </c>
    </row>
    <row r="468" spans="9:12" x14ac:dyDescent="0.2">
      <c r="I468" s="528"/>
      <c r="J468" s="529"/>
      <c r="K468" s="529"/>
      <c r="L468" s="529">
        <v>29539</v>
      </c>
    </row>
    <row r="469" spans="9:12" x14ac:dyDescent="0.2">
      <c r="I469" s="528"/>
      <c r="J469" s="529"/>
      <c r="K469" s="529"/>
      <c r="L469" s="529">
        <v>29539</v>
      </c>
    </row>
    <row r="470" spans="9:12" x14ac:dyDescent="0.2">
      <c r="I470" s="528"/>
      <c r="J470" s="529"/>
      <c r="K470" s="529"/>
      <c r="L470" s="529">
        <v>0</v>
      </c>
    </row>
    <row r="471" spans="9:12" x14ac:dyDescent="0.2">
      <c r="I471" s="528"/>
      <c r="J471" s="529"/>
      <c r="K471" s="529"/>
      <c r="L471" s="529">
        <v>0</v>
      </c>
    </row>
    <row r="472" spans="9:12" x14ac:dyDescent="0.2">
      <c r="I472" s="528"/>
      <c r="J472" s="529"/>
      <c r="K472" s="529"/>
      <c r="L472" s="529">
        <v>0</v>
      </c>
    </row>
    <row r="473" spans="9:12" x14ac:dyDescent="0.2">
      <c r="I473" s="528"/>
      <c r="J473" s="529"/>
      <c r="K473" s="529"/>
      <c r="L473" s="529">
        <v>0</v>
      </c>
    </row>
    <row r="474" spans="9:12" x14ac:dyDescent="0.2">
      <c r="I474" s="528"/>
      <c r="J474" s="529"/>
      <c r="K474" s="529"/>
      <c r="L474" s="529">
        <v>0</v>
      </c>
    </row>
    <row r="475" spans="9:12" x14ac:dyDescent="0.2">
      <c r="I475" s="528"/>
      <c r="J475" s="529"/>
      <c r="K475" s="529"/>
      <c r="L475" s="529">
        <v>29490</v>
      </c>
    </row>
    <row r="476" spans="9:12" x14ac:dyDescent="0.2">
      <c r="I476" s="528"/>
      <c r="J476" s="529"/>
      <c r="K476" s="529"/>
      <c r="L476" s="529"/>
    </row>
    <row r="477" spans="9:12" x14ac:dyDescent="0.2">
      <c r="I477" s="528"/>
      <c r="J477" s="529"/>
      <c r="K477" s="529"/>
      <c r="L477" s="529"/>
    </row>
    <row r="478" spans="9:12" x14ac:dyDescent="0.2">
      <c r="I478" s="528"/>
      <c r="J478" s="529"/>
      <c r="K478" s="529"/>
      <c r="L478" s="529"/>
    </row>
    <row r="479" spans="9:12" x14ac:dyDescent="0.2">
      <c r="I479" s="528"/>
      <c r="J479" s="529"/>
      <c r="K479" s="529"/>
      <c r="L479" s="529">
        <v>0</v>
      </c>
    </row>
    <row r="480" spans="9:12" x14ac:dyDescent="0.2">
      <c r="I480" s="528"/>
      <c r="J480" s="529"/>
      <c r="K480" s="529"/>
      <c r="L480" s="529"/>
    </row>
    <row r="481" spans="9:12" x14ac:dyDescent="0.2">
      <c r="I481" s="528"/>
      <c r="J481" s="529"/>
      <c r="K481" s="529"/>
      <c r="L481" s="529"/>
    </row>
    <row r="482" spans="9:12" x14ac:dyDescent="0.2">
      <c r="I482" s="528"/>
      <c r="J482" s="529"/>
      <c r="K482" s="529"/>
      <c r="L482" s="529">
        <v>0</v>
      </c>
    </row>
    <row r="483" spans="9:12" x14ac:dyDescent="0.2">
      <c r="I483" s="528"/>
      <c r="J483" s="529"/>
      <c r="K483" s="529"/>
      <c r="L483" s="529">
        <v>0</v>
      </c>
    </row>
    <row r="484" spans="9:12" x14ac:dyDescent="0.2">
      <c r="I484" s="528"/>
      <c r="J484" s="529"/>
      <c r="K484" s="529"/>
      <c r="L484" s="529">
        <v>0</v>
      </c>
    </row>
    <row r="485" spans="9:12" x14ac:dyDescent="0.2">
      <c r="I485" s="528"/>
      <c r="J485" s="529"/>
      <c r="K485" s="529"/>
      <c r="L485" s="529">
        <v>0</v>
      </c>
    </row>
    <row r="486" spans="9:12" x14ac:dyDescent="0.2">
      <c r="I486" s="528"/>
      <c r="J486" s="529"/>
      <c r="K486" s="529"/>
      <c r="L486" s="529">
        <v>0</v>
      </c>
    </row>
    <row r="487" spans="9:12" x14ac:dyDescent="0.2">
      <c r="I487" s="528"/>
      <c r="J487" s="529"/>
      <c r="K487" s="529"/>
      <c r="L487" s="529">
        <v>0</v>
      </c>
    </row>
    <row r="488" spans="9:12" x14ac:dyDescent="0.2">
      <c r="I488" s="528"/>
      <c r="J488" s="529"/>
      <c r="K488" s="529"/>
      <c r="L488" s="529">
        <v>0</v>
      </c>
    </row>
    <row r="489" spans="9:12" x14ac:dyDescent="0.2">
      <c r="I489" s="528"/>
      <c r="J489" s="529"/>
      <c r="K489" s="529"/>
      <c r="L489" s="529">
        <v>0</v>
      </c>
    </row>
    <row r="490" spans="9:12" x14ac:dyDescent="0.2">
      <c r="I490" s="528"/>
      <c r="J490" s="529"/>
      <c r="K490" s="529"/>
      <c r="L490" s="529">
        <v>0</v>
      </c>
    </row>
    <row r="491" spans="9:12" x14ac:dyDescent="0.2">
      <c r="I491" s="528"/>
      <c r="J491" s="529"/>
      <c r="K491" s="529"/>
      <c r="L491" s="529">
        <v>0</v>
      </c>
    </row>
    <row r="492" spans="9:12" x14ac:dyDescent="0.2">
      <c r="I492" s="528"/>
      <c r="J492" s="529"/>
      <c r="K492" s="529"/>
      <c r="L492" s="529">
        <v>0</v>
      </c>
    </row>
    <row r="493" spans="9:12" x14ac:dyDescent="0.2">
      <c r="I493" s="528"/>
      <c r="J493" s="529"/>
      <c r="K493" s="529"/>
      <c r="L493" s="529">
        <v>0</v>
      </c>
    </row>
    <row r="494" spans="9:12" x14ac:dyDescent="0.2">
      <c r="I494" s="528"/>
      <c r="J494" s="529"/>
      <c r="K494" s="529"/>
      <c r="L494" s="529">
        <v>0</v>
      </c>
    </row>
    <row r="495" spans="9:12" x14ac:dyDescent="0.2">
      <c r="I495" s="528"/>
      <c r="J495" s="529"/>
      <c r="K495" s="529"/>
      <c r="L495" s="529">
        <v>0</v>
      </c>
    </row>
    <row r="496" spans="9:12" x14ac:dyDescent="0.2">
      <c r="I496" s="528"/>
      <c r="J496" s="529"/>
      <c r="K496" s="529"/>
      <c r="L496" s="529">
        <v>29459</v>
      </c>
    </row>
    <row r="497" spans="9:12" x14ac:dyDescent="0.2">
      <c r="I497" s="528"/>
      <c r="J497" s="529"/>
      <c r="K497" s="529"/>
      <c r="L497" s="529">
        <v>29459</v>
      </c>
    </row>
    <row r="498" spans="9:12" x14ac:dyDescent="0.2">
      <c r="I498" s="528"/>
      <c r="J498" s="529"/>
      <c r="K498" s="529"/>
      <c r="L498" s="529"/>
    </row>
    <row r="499" spans="9:12" x14ac:dyDescent="0.2">
      <c r="I499" s="528"/>
      <c r="J499" s="529"/>
      <c r="K499" s="529"/>
      <c r="L499" s="529"/>
    </row>
    <row r="500" spans="9:12" x14ac:dyDescent="0.2">
      <c r="I500" s="530"/>
      <c r="J500" s="531"/>
      <c r="K500" s="529"/>
      <c r="L500" s="529">
        <v>29459</v>
      </c>
    </row>
    <row r="501" spans="9:12" x14ac:dyDescent="0.2">
      <c r="I501" s="530"/>
      <c r="J501" s="531"/>
      <c r="K501" s="529"/>
      <c r="L501" s="529">
        <v>29459</v>
      </c>
    </row>
    <row r="502" spans="9:12" x14ac:dyDescent="0.2">
      <c r="I502" s="528"/>
      <c r="J502" s="529"/>
      <c r="K502" s="529"/>
      <c r="L502" s="529"/>
    </row>
    <row r="503" spans="9:12" x14ac:dyDescent="0.2">
      <c r="I503" s="528"/>
      <c r="J503" s="529"/>
      <c r="K503" s="529"/>
      <c r="L503" s="529">
        <v>29459</v>
      </c>
    </row>
    <row r="504" spans="9:12" x14ac:dyDescent="0.2">
      <c r="I504" s="528"/>
      <c r="J504" s="529"/>
      <c r="K504" s="529"/>
      <c r="L504" s="529">
        <v>29459</v>
      </c>
    </row>
    <row r="505" spans="9:12" x14ac:dyDescent="0.2">
      <c r="I505" s="528"/>
      <c r="J505" s="529"/>
      <c r="K505" s="529"/>
      <c r="L505" s="529">
        <v>29459</v>
      </c>
    </row>
    <row r="506" spans="9:12" x14ac:dyDescent="0.2">
      <c r="I506" s="528"/>
      <c r="J506" s="529"/>
      <c r="K506" s="529"/>
      <c r="L506" s="529">
        <v>29459</v>
      </c>
    </row>
    <row r="507" spans="9:12" x14ac:dyDescent="0.2">
      <c r="I507" s="528"/>
      <c r="J507" s="529"/>
      <c r="K507" s="529"/>
      <c r="L507" s="529">
        <v>29459</v>
      </c>
    </row>
    <row r="508" spans="9:12" x14ac:dyDescent="0.2">
      <c r="I508" s="528"/>
      <c r="J508" s="529"/>
      <c r="K508" s="529"/>
      <c r="L508" s="529">
        <v>29459</v>
      </c>
    </row>
    <row r="509" spans="9:12" x14ac:dyDescent="0.2">
      <c r="I509" s="528"/>
      <c r="J509" s="529"/>
      <c r="K509" s="529"/>
      <c r="L509" s="529">
        <v>29459</v>
      </c>
    </row>
    <row r="510" spans="9:12" x14ac:dyDescent="0.2">
      <c r="I510" s="528"/>
      <c r="J510" s="529"/>
      <c r="K510" s="529"/>
      <c r="L510" s="529">
        <v>29459</v>
      </c>
    </row>
    <row r="511" spans="9:12" x14ac:dyDescent="0.2">
      <c r="I511" s="528"/>
      <c r="J511" s="529"/>
      <c r="K511" s="529"/>
      <c r="L511" s="529">
        <v>29459</v>
      </c>
    </row>
    <row r="512" spans="9:12" x14ac:dyDescent="0.2">
      <c r="I512" s="528"/>
      <c r="J512" s="529"/>
      <c r="K512" s="529"/>
      <c r="L512" s="529">
        <v>29459</v>
      </c>
    </row>
    <row r="513" spans="9:12" x14ac:dyDescent="0.2">
      <c r="I513" s="528"/>
      <c r="J513" s="529"/>
      <c r="K513" s="529"/>
      <c r="L513" s="529">
        <v>29459</v>
      </c>
    </row>
    <row r="514" spans="9:12" x14ac:dyDescent="0.2">
      <c r="I514" s="528"/>
      <c r="J514" s="529"/>
      <c r="K514" s="529"/>
      <c r="L514" s="529">
        <v>29459</v>
      </c>
    </row>
    <row r="515" spans="9:12" x14ac:dyDescent="0.2">
      <c r="I515" s="528"/>
      <c r="J515" s="529"/>
      <c r="K515" s="529"/>
      <c r="L515" s="529">
        <v>29459</v>
      </c>
    </row>
    <row r="516" spans="9:12" x14ac:dyDescent="0.2">
      <c r="I516" s="528"/>
      <c r="J516" s="529"/>
      <c r="K516" s="529"/>
      <c r="L516" s="529">
        <v>29459</v>
      </c>
    </row>
    <row r="517" spans="9:12" x14ac:dyDescent="0.2">
      <c r="I517" s="528"/>
      <c r="J517" s="529"/>
      <c r="K517" s="529"/>
      <c r="L517" s="529">
        <v>29459</v>
      </c>
    </row>
    <row r="518" spans="9:12" x14ac:dyDescent="0.2">
      <c r="I518" s="528"/>
      <c r="J518" s="529"/>
      <c r="K518" s="529"/>
      <c r="L518" s="529">
        <v>29459</v>
      </c>
    </row>
    <row r="519" spans="9:12" x14ac:dyDescent="0.2">
      <c r="I519" s="528"/>
      <c r="J519" s="529"/>
      <c r="K519" s="529"/>
      <c r="L519" s="529">
        <v>29459</v>
      </c>
    </row>
    <row r="520" spans="9:12" x14ac:dyDescent="0.2">
      <c r="I520" s="528"/>
      <c r="J520" s="529"/>
      <c r="K520" s="529"/>
      <c r="L520" s="529">
        <v>29459</v>
      </c>
    </row>
    <row r="521" spans="9:12" x14ac:dyDescent="0.2">
      <c r="I521" s="528"/>
      <c r="J521" s="529"/>
      <c r="K521" s="529"/>
      <c r="L521" s="529">
        <v>29459</v>
      </c>
    </row>
    <row r="522" spans="9:12" x14ac:dyDescent="0.2">
      <c r="I522" s="528"/>
      <c r="J522" s="529"/>
      <c r="K522" s="529"/>
      <c r="L522" s="529">
        <v>29459</v>
      </c>
    </row>
    <row r="523" spans="9:12" x14ac:dyDescent="0.2">
      <c r="I523" s="528"/>
      <c r="J523" s="529"/>
      <c r="K523" s="529"/>
      <c r="L523" s="529">
        <v>29459</v>
      </c>
    </row>
    <row r="524" spans="9:12" x14ac:dyDescent="0.2">
      <c r="I524" s="528"/>
      <c r="J524" s="529"/>
      <c r="K524" s="529"/>
      <c r="L524" s="529">
        <v>29459</v>
      </c>
    </row>
    <row r="525" spans="9:12" x14ac:dyDescent="0.2">
      <c r="I525" s="528"/>
      <c r="J525" s="529"/>
      <c r="K525" s="529"/>
      <c r="L525" s="529"/>
    </row>
    <row r="526" spans="9:12" x14ac:dyDescent="0.2">
      <c r="I526" s="528"/>
      <c r="J526" s="529"/>
      <c r="K526" s="529"/>
      <c r="L526" s="529">
        <v>29459</v>
      </c>
    </row>
    <row r="527" spans="9:12" x14ac:dyDescent="0.2">
      <c r="I527" s="528"/>
      <c r="J527" s="529"/>
      <c r="K527" s="529"/>
      <c r="L527" s="529">
        <v>52743</v>
      </c>
    </row>
    <row r="528" spans="9:12" x14ac:dyDescent="0.2">
      <c r="I528" s="528"/>
      <c r="J528" s="529"/>
      <c r="K528" s="529"/>
      <c r="L528" s="529"/>
    </row>
    <row r="529" spans="9:12" x14ac:dyDescent="0.2">
      <c r="I529" s="528"/>
      <c r="J529" s="529"/>
      <c r="K529" s="529"/>
      <c r="L529" s="529"/>
    </row>
    <row r="530" spans="9:12" x14ac:dyDescent="0.2">
      <c r="I530" s="528"/>
      <c r="J530" s="529"/>
      <c r="K530" s="529"/>
      <c r="L530" s="529">
        <v>54157</v>
      </c>
    </row>
    <row r="531" spans="9:12" x14ac:dyDescent="0.2">
      <c r="I531" s="528"/>
      <c r="J531" s="529"/>
      <c r="K531" s="529"/>
      <c r="L531" s="529">
        <v>54157</v>
      </c>
    </row>
    <row r="532" spans="9:12" x14ac:dyDescent="0.2">
      <c r="I532" s="528"/>
      <c r="J532" s="529"/>
      <c r="K532" s="529"/>
      <c r="L532" s="529"/>
    </row>
    <row r="533" spans="9:12" x14ac:dyDescent="0.2">
      <c r="I533" s="532"/>
      <c r="J533" s="533"/>
      <c r="K533" s="534"/>
      <c r="L533" s="529">
        <v>0</v>
      </c>
    </row>
    <row r="534" spans="9:12" x14ac:dyDescent="0.2">
      <c r="I534" s="532"/>
      <c r="J534" s="533"/>
      <c r="K534" s="534"/>
      <c r="L534" s="529">
        <v>0</v>
      </c>
    </row>
    <row r="535" spans="9:12" x14ac:dyDescent="0.2">
      <c r="I535" s="528"/>
      <c r="J535" s="529"/>
      <c r="K535" s="529"/>
      <c r="L535" s="529">
        <v>54234</v>
      </c>
    </row>
    <row r="536" spans="9:12" x14ac:dyDescent="0.2">
      <c r="I536" s="532"/>
      <c r="J536" s="533"/>
      <c r="K536" s="534"/>
      <c r="L536" s="529">
        <v>54234</v>
      </c>
    </row>
    <row r="537" spans="9:12" x14ac:dyDescent="0.2">
      <c r="I537" s="528"/>
      <c r="J537" s="529"/>
      <c r="K537" s="529"/>
      <c r="L537" s="529">
        <v>54234</v>
      </c>
    </row>
    <row r="538" spans="9:12" x14ac:dyDescent="0.2">
      <c r="I538" s="528"/>
      <c r="J538" s="529"/>
      <c r="K538" s="529"/>
      <c r="L538" s="529">
        <v>50591</v>
      </c>
    </row>
    <row r="539" spans="9:12" x14ac:dyDescent="0.2">
      <c r="I539" s="528"/>
      <c r="J539" s="529"/>
      <c r="K539" s="529"/>
      <c r="L539" s="529">
        <v>50591</v>
      </c>
    </row>
    <row r="540" spans="9:12" x14ac:dyDescent="0.2">
      <c r="I540" s="528"/>
      <c r="J540" s="529"/>
      <c r="K540" s="529"/>
      <c r="L540" s="529">
        <v>50591</v>
      </c>
    </row>
    <row r="541" spans="9:12" x14ac:dyDescent="0.2">
      <c r="I541" s="528"/>
      <c r="J541" s="529"/>
      <c r="K541" s="529"/>
      <c r="L541" s="529">
        <v>50591</v>
      </c>
    </row>
    <row r="542" spans="9:12" x14ac:dyDescent="0.2">
      <c r="I542" s="528"/>
      <c r="J542" s="529"/>
      <c r="K542" s="529"/>
      <c r="L542" s="529"/>
    </row>
    <row r="543" spans="9:12" x14ac:dyDescent="0.2">
      <c r="I543" s="528"/>
      <c r="J543" s="529"/>
      <c r="K543" s="529"/>
      <c r="L543" s="529">
        <v>0</v>
      </c>
    </row>
    <row r="544" spans="9:12" x14ac:dyDescent="0.2">
      <c r="I544" s="528"/>
      <c r="J544" s="529"/>
      <c r="K544" s="529"/>
      <c r="L544" s="529">
        <v>0</v>
      </c>
    </row>
    <row r="545" spans="9:12" x14ac:dyDescent="0.2">
      <c r="I545" s="528"/>
      <c r="J545" s="529"/>
      <c r="K545" s="529"/>
      <c r="L545" s="529">
        <v>29485</v>
      </c>
    </row>
    <row r="546" spans="9:12" x14ac:dyDescent="0.2">
      <c r="I546" s="528"/>
      <c r="J546" s="529"/>
      <c r="K546" s="529"/>
      <c r="L546" s="529"/>
    </row>
    <row r="547" spans="9:12" x14ac:dyDescent="0.2">
      <c r="I547" s="528"/>
      <c r="J547" s="529"/>
      <c r="K547" s="529"/>
      <c r="L547" s="529">
        <v>54231</v>
      </c>
    </row>
    <row r="548" spans="9:12" x14ac:dyDescent="0.2">
      <c r="I548" s="528"/>
      <c r="J548" s="529"/>
      <c r="K548" s="529"/>
      <c r="L548" s="529">
        <v>54231</v>
      </c>
    </row>
    <row r="549" spans="9:12" x14ac:dyDescent="0.2">
      <c r="I549" s="528"/>
      <c r="J549" s="529"/>
      <c r="K549" s="529"/>
      <c r="L549" s="529">
        <v>54231</v>
      </c>
    </row>
    <row r="550" spans="9:12" x14ac:dyDescent="0.2">
      <c r="I550" s="528"/>
      <c r="J550" s="529"/>
      <c r="K550" s="529"/>
      <c r="L550" s="529"/>
    </row>
    <row r="551" spans="9:12" x14ac:dyDescent="0.2">
      <c r="I551" s="528"/>
      <c r="J551" s="529"/>
      <c r="K551" s="529"/>
      <c r="L551" s="529">
        <v>0</v>
      </c>
    </row>
    <row r="552" spans="9:12" x14ac:dyDescent="0.2">
      <c r="I552" s="528"/>
      <c r="J552" s="529"/>
      <c r="K552" s="529"/>
      <c r="L552" s="529"/>
    </row>
    <row r="553" spans="9:12" x14ac:dyDescent="0.2">
      <c r="I553" s="528"/>
      <c r="J553" s="529"/>
      <c r="K553" s="529"/>
      <c r="L553" s="529">
        <v>29532</v>
      </c>
    </row>
    <row r="554" spans="9:12" x14ac:dyDescent="0.2">
      <c r="I554" s="528"/>
      <c r="J554" s="529"/>
      <c r="K554" s="529"/>
      <c r="L554" s="529"/>
    </row>
    <row r="555" spans="9:12" x14ac:dyDescent="0.2">
      <c r="I555" s="528"/>
      <c r="J555" s="529"/>
      <c r="K555" s="529"/>
      <c r="L555" s="529">
        <v>0</v>
      </c>
    </row>
    <row r="556" spans="9:12" x14ac:dyDescent="0.2">
      <c r="I556" s="528"/>
      <c r="J556" s="529"/>
      <c r="K556" s="529"/>
      <c r="L556" s="529"/>
    </row>
    <row r="557" spans="9:12" x14ac:dyDescent="0.2">
      <c r="I557" s="528"/>
      <c r="J557" s="529"/>
      <c r="K557" s="529"/>
      <c r="L557" s="529">
        <v>0</v>
      </c>
    </row>
    <row r="558" spans="9:12" x14ac:dyDescent="0.2">
      <c r="I558" s="528"/>
      <c r="J558" s="529"/>
      <c r="K558" s="529"/>
      <c r="L558" s="529">
        <v>54232</v>
      </c>
    </row>
    <row r="559" spans="9:12" x14ac:dyDescent="0.2">
      <c r="I559" s="528"/>
      <c r="J559" s="529"/>
      <c r="K559" s="529"/>
      <c r="L559" s="529">
        <v>54232</v>
      </c>
    </row>
    <row r="560" spans="9:12" x14ac:dyDescent="0.2">
      <c r="I560" s="528"/>
      <c r="J560" s="529"/>
      <c r="K560" s="534"/>
      <c r="L560" s="529">
        <v>54232</v>
      </c>
    </row>
    <row r="561" spans="9:12" x14ac:dyDescent="0.2">
      <c r="I561" s="532"/>
      <c r="J561" s="533"/>
      <c r="K561" s="534"/>
      <c r="L561" s="529">
        <v>0</v>
      </c>
    </row>
    <row r="562" spans="9:12" x14ac:dyDescent="0.2">
      <c r="I562" s="532"/>
      <c r="J562" s="533"/>
      <c r="K562" s="534"/>
      <c r="L562" s="529">
        <v>0</v>
      </c>
    </row>
    <row r="563" spans="9:12" x14ac:dyDescent="0.2">
      <c r="I563" s="528"/>
      <c r="J563" s="529"/>
      <c r="K563" s="529"/>
      <c r="L563" s="529"/>
    </row>
    <row r="564" spans="9:12" x14ac:dyDescent="0.2">
      <c r="I564" s="532"/>
      <c r="J564" s="533"/>
      <c r="K564" s="534"/>
      <c r="L564" s="529">
        <v>29339</v>
      </c>
    </row>
    <row r="565" spans="9:12" x14ac:dyDescent="0.2">
      <c r="I565" s="528"/>
      <c r="J565" s="529"/>
      <c r="K565" s="529"/>
      <c r="L565" s="529">
        <v>50591</v>
      </c>
    </row>
    <row r="566" spans="9:12" x14ac:dyDescent="0.2">
      <c r="I566" s="528"/>
      <c r="J566" s="529"/>
      <c r="K566" s="529"/>
      <c r="L566" s="529">
        <v>50591</v>
      </c>
    </row>
    <row r="567" spans="9:12" x14ac:dyDescent="0.2">
      <c r="I567" s="532"/>
      <c r="J567" s="533"/>
      <c r="K567" s="534"/>
      <c r="L567" s="529">
        <v>52027</v>
      </c>
    </row>
    <row r="568" spans="9:12" x14ac:dyDescent="0.2">
      <c r="I568" s="537"/>
      <c r="J568" s="538"/>
      <c r="K568" s="534"/>
      <c r="L568" s="529">
        <v>0</v>
      </c>
    </row>
    <row r="569" spans="9:12" x14ac:dyDescent="0.2">
      <c r="I569" s="528"/>
      <c r="J569" s="529"/>
      <c r="K569" s="529"/>
      <c r="L569" s="529"/>
    </row>
    <row r="570" spans="9:12" x14ac:dyDescent="0.2">
      <c r="I570" s="528"/>
      <c r="J570" s="529"/>
      <c r="K570" s="529"/>
      <c r="L570" s="529"/>
    </row>
  </sheetData>
  <autoFilter ref="I1:L570" xr:uid="{74F88292-4E8A-45E7-BC49-60AE5EB45BF5}"/>
  <sortState xmlns:xlrd2="http://schemas.microsoft.com/office/spreadsheetml/2017/richdata2" ref="I2:K570">
    <sortCondition ref="I2:I57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A641-22D9-45C8-9DF8-93063E0CEEBC}">
  <sheetPr codeName="Hoja4" filterMode="1">
    <tabColor theme="9" tint="-0.249977111117893"/>
  </sheetPr>
  <dimension ref="A1:O446"/>
  <sheetViews>
    <sheetView zoomScale="90" zoomScaleNormal="90" workbookViewId="0">
      <pane ySplit="1" topLeftCell="A273" activePane="bottomLeft" state="frozen"/>
      <selection activeCell="Z35" sqref="Z35"/>
      <selection pane="bottomLeft" activeCell="A446" sqref="A446"/>
    </sheetView>
  </sheetViews>
  <sheetFormatPr baseColWidth="10" defaultColWidth="11.5703125" defaultRowHeight="12" x14ac:dyDescent="0.2"/>
  <cols>
    <col min="1" max="1" width="54.5703125" style="6" bestFit="1" customWidth="1"/>
    <col min="2" max="2" width="13.5703125" style="6" customWidth="1"/>
    <col min="3" max="3" width="11.5703125" style="6"/>
    <col min="4" max="4" width="14.5703125" style="6" customWidth="1"/>
    <col min="5" max="5" width="19.42578125" style="6" bestFit="1" customWidth="1"/>
    <col min="6" max="6" width="27.42578125" style="6" customWidth="1"/>
    <col min="7" max="7" width="11.5703125" style="8"/>
    <col min="8" max="8" width="11.5703125" style="6"/>
    <col min="9" max="9" width="11.5703125" style="8"/>
    <col min="10" max="11" width="11.5703125" style="6"/>
    <col min="12" max="12" width="11.5703125" style="631"/>
    <col min="13" max="16384" width="11.5703125" style="6"/>
  </cols>
  <sheetData>
    <row r="1" spans="1:15" s="5" customFormat="1" x14ac:dyDescent="0.2">
      <c r="A1" s="9" t="s">
        <v>2229</v>
      </c>
      <c r="B1" s="9" t="s">
        <v>2230</v>
      </c>
      <c r="C1" s="9" t="s">
        <v>2231</v>
      </c>
      <c r="D1" s="9" t="s">
        <v>2232</v>
      </c>
      <c r="E1" s="9" t="s">
        <v>2233</v>
      </c>
      <c r="F1" s="9" t="s">
        <v>2234</v>
      </c>
      <c r="G1" s="10" t="s">
        <v>2235</v>
      </c>
      <c r="I1" s="10"/>
      <c r="L1" s="630" t="s">
        <v>2236</v>
      </c>
      <c r="M1" s="113">
        <v>45047</v>
      </c>
      <c r="N1" s="113">
        <v>45105</v>
      </c>
      <c r="O1" s="113">
        <v>44913</v>
      </c>
    </row>
    <row r="2" spans="1:15" x14ac:dyDescent="0.2">
      <c r="A2" s="6" t="str">
        <f t="shared" ref="A2:A65" si="0">CONCATENATE(B2,C2,D2,E2)</f>
        <v>AmbosAlicanteExtraAdulto</v>
      </c>
      <c r="B2" s="6" t="s">
        <v>2237</v>
      </c>
      <c r="C2" s="6" t="s">
        <v>1106</v>
      </c>
      <c r="D2" s="6" t="s">
        <v>153</v>
      </c>
      <c r="E2" s="6" t="s">
        <v>1141</v>
      </c>
      <c r="F2" s="6" t="s">
        <v>2238</v>
      </c>
      <c r="G2" s="522">
        <v>8.6400000000000005E-2</v>
      </c>
      <c r="I2" s="11"/>
      <c r="L2" s="6">
        <v>0.08</v>
      </c>
      <c r="M2" s="6">
        <v>8.7999999999999995E-2</v>
      </c>
    </row>
    <row r="3" spans="1:15" hidden="1" x14ac:dyDescent="0.2">
      <c r="A3" s="6" t="str">
        <f t="shared" si="0"/>
        <v>AmbosAlicanteExtraEscolar</v>
      </c>
      <c r="B3" s="6" t="s">
        <v>2237</v>
      </c>
      <c r="C3" s="6" t="s">
        <v>1106</v>
      </c>
      <c r="D3" s="6" t="s">
        <v>153</v>
      </c>
      <c r="E3" s="6" t="s">
        <v>110</v>
      </c>
      <c r="F3" s="6" t="s">
        <v>2238</v>
      </c>
      <c r="G3" s="522">
        <v>5.4000000000000006E-2</v>
      </c>
      <c r="I3" s="11"/>
      <c r="L3" s="6">
        <v>0.05</v>
      </c>
      <c r="M3" s="6">
        <v>5.5000000000000007E-2</v>
      </c>
    </row>
    <row r="4" spans="1:15" hidden="1" x14ac:dyDescent="0.2">
      <c r="A4" s="6" t="str">
        <f t="shared" si="0"/>
        <v>AmbosAlicanteExtraInfantil</v>
      </c>
      <c r="B4" s="6" t="s">
        <v>2237</v>
      </c>
      <c r="C4" s="6" t="s">
        <v>1106</v>
      </c>
      <c r="D4" s="6" t="s">
        <v>153</v>
      </c>
      <c r="E4" s="6" t="s">
        <v>1275</v>
      </c>
      <c r="F4" s="6" t="s">
        <v>2238</v>
      </c>
      <c r="G4" s="522">
        <v>5.4000000000000006E-2</v>
      </c>
      <c r="I4" s="11"/>
      <c r="L4" s="6">
        <v>0.05</v>
      </c>
      <c r="M4" s="6">
        <v>5.5000000000000007E-2</v>
      </c>
    </row>
    <row r="5" spans="1:15" hidden="1" x14ac:dyDescent="0.2">
      <c r="A5" s="6" t="str">
        <f t="shared" si="0"/>
        <v>AmbosAlicanteExtraTodos</v>
      </c>
      <c r="B5" s="6" t="s">
        <v>2237</v>
      </c>
      <c r="C5" s="6" t="s">
        <v>1106</v>
      </c>
      <c r="D5" s="6" t="s">
        <v>153</v>
      </c>
      <c r="E5" s="6" t="s">
        <v>2239</v>
      </c>
      <c r="F5" s="6" t="s">
        <v>1320</v>
      </c>
      <c r="G5" s="522">
        <v>0.15120000000000003</v>
      </c>
      <c r="I5" s="11"/>
      <c r="L5" s="6">
        <v>0.14000000000000001</v>
      </c>
      <c r="M5" s="6">
        <v>0.15400000000000003</v>
      </c>
    </row>
    <row r="6" spans="1:15" hidden="1" x14ac:dyDescent="0.2">
      <c r="A6" s="6" t="str">
        <f t="shared" si="0"/>
        <v>AmbosAlicanteExtraTodos</v>
      </c>
      <c r="B6" s="6" t="s">
        <v>2237</v>
      </c>
      <c r="C6" s="6" t="s">
        <v>1106</v>
      </c>
      <c r="D6" s="6" t="s">
        <v>153</v>
      </c>
      <c r="E6" s="6" t="s">
        <v>2239</v>
      </c>
      <c r="F6" s="6" t="s">
        <v>2240</v>
      </c>
      <c r="G6" s="522">
        <v>0.2268</v>
      </c>
      <c r="I6" s="11"/>
      <c r="L6" s="6">
        <v>0.21</v>
      </c>
      <c r="M6" s="6">
        <v>0.23099999999999998</v>
      </c>
    </row>
    <row r="7" spans="1:15" hidden="1" x14ac:dyDescent="0.2">
      <c r="A7" s="6" t="str">
        <f t="shared" si="0"/>
        <v>AmbosAlicanteExtraTodos</v>
      </c>
      <c r="B7" s="6" t="s">
        <v>2237</v>
      </c>
      <c r="C7" s="6" t="s">
        <v>1106</v>
      </c>
      <c r="D7" s="6" t="s">
        <v>153</v>
      </c>
      <c r="E7" s="6" t="s">
        <v>2239</v>
      </c>
      <c r="F7" s="6" t="s">
        <v>1401</v>
      </c>
      <c r="G7" s="522">
        <v>0.25919999999999999</v>
      </c>
      <c r="I7" s="11"/>
      <c r="L7" s="6">
        <v>0.24</v>
      </c>
      <c r="M7" s="6">
        <v>0.26400000000000001</v>
      </c>
    </row>
    <row r="8" spans="1:15" hidden="1" x14ac:dyDescent="0.2">
      <c r="A8" s="6" t="str">
        <f t="shared" si="0"/>
        <v>AmbosAlicanteExtraTodos</v>
      </c>
      <c r="B8" s="6" t="s">
        <v>2237</v>
      </c>
      <c r="C8" s="6" t="s">
        <v>1106</v>
      </c>
      <c r="D8" s="6" t="s">
        <v>153</v>
      </c>
      <c r="E8" s="6" t="s">
        <v>2239</v>
      </c>
      <c r="F8" s="6" t="s">
        <v>202</v>
      </c>
      <c r="G8" s="522">
        <v>0.15120000000000003</v>
      </c>
      <c r="I8" s="11"/>
      <c r="L8" s="6">
        <v>0.14000000000000001</v>
      </c>
      <c r="M8" s="6">
        <v>0.15400000000000003</v>
      </c>
    </row>
    <row r="9" spans="1:15" hidden="1" x14ac:dyDescent="0.2">
      <c r="A9" s="6" t="str">
        <f t="shared" si="0"/>
        <v>AmbosAlicanteExtraTodos</v>
      </c>
      <c r="B9" s="6" t="s">
        <v>2237</v>
      </c>
      <c r="C9" s="6" t="s">
        <v>1106</v>
      </c>
      <c r="D9" s="6" t="s">
        <v>153</v>
      </c>
      <c r="E9" s="6" t="s">
        <v>2239</v>
      </c>
      <c r="F9" s="6" t="s">
        <v>2241</v>
      </c>
      <c r="G9" s="522">
        <v>0.48600000000000004</v>
      </c>
      <c r="I9" s="11"/>
      <c r="L9" s="6">
        <v>0.45</v>
      </c>
      <c r="M9" s="6">
        <v>0.495</v>
      </c>
    </row>
    <row r="10" spans="1:15" hidden="1" x14ac:dyDescent="0.2">
      <c r="A10" s="6" t="str">
        <f t="shared" si="0"/>
        <v>AmbosAlicanteExtraTodos</v>
      </c>
      <c r="B10" s="6" t="s">
        <v>2237</v>
      </c>
      <c r="C10" s="6" t="s">
        <v>1106</v>
      </c>
      <c r="D10" s="6" t="s">
        <v>153</v>
      </c>
      <c r="E10" s="6" t="s">
        <v>2239</v>
      </c>
      <c r="F10" s="6" t="s">
        <v>2242</v>
      </c>
      <c r="G10" s="522">
        <v>0.32400000000000001</v>
      </c>
      <c r="I10" s="11"/>
      <c r="L10" s="6">
        <v>0.3</v>
      </c>
      <c r="M10" s="6">
        <v>0.32999999999999996</v>
      </c>
    </row>
    <row r="11" spans="1:15" hidden="1" x14ac:dyDescent="0.2">
      <c r="A11" s="6" t="str">
        <f t="shared" si="0"/>
        <v>AmbosAlicanteExtraTodos</v>
      </c>
      <c r="B11" s="6" t="s">
        <v>2237</v>
      </c>
      <c r="C11" s="6" t="s">
        <v>1106</v>
      </c>
      <c r="D11" s="6" t="s">
        <v>153</v>
      </c>
      <c r="E11" s="6" t="s">
        <v>2239</v>
      </c>
      <c r="F11" s="6" t="s">
        <v>2243</v>
      </c>
      <c r="G11" s="522">
        <v>1.1340000000000001</v>
      </c>
      <c r="I11" s="11"/>
      <c r="L11" s="6">
        <v>1.05</v>
      </c>
      <c r="M11" s="6">
        <v>1.155</v>
      </c>
    </row>
    <row r="12" spans="1:15" hidden="1" x14ac:dyDescent="0.2">
      <c r="A12" s="6" t="str">
        <f t="shared" si="0"/>
        <v>AmbosAlicanteExtraTodos</v>
      </c>
      <c r="B12" s="6" t="s">
        <v>2237</v>
      </c>
      <c r="C12" s="6" t="s">
        <v>1106</v>
      </c>
      <c r="D12" s="6" t="s">
        <v>153</v>
      </c>
      <c r="E12" s="6" t="s">
        <v>2239</v>
      </c>
      <c r="F12" s="6" t="s">
        <v>2244</v>
      </c>
      <c r="G12" s="522">
        <v>6.1668000000000003</v>
      </c>
      <c r="I12" s="11"/>
      <c r="L12" s="6">
        <v>5.71</v>
      </c>
      <c r="M12" s="6">
        <v>6.2809999999999997</v>
      </c>
    </row>
    <row r="13" spans="1:15" hidden="1" x14ac:dyDescent="0.2">
      <c r="A13" s="6" t="str">
        <f t="shared" si="0"/>
        <v>AmbosAlicanteExtraTodos</v>
      </c>
      <c r="B13" s="6" t="s">
        <v>2237</v>
      </c>
      <c r="C13" s="6" t="s">
        <v>1106</v>
      </c>
      <c r="D13" s="6" t="s">
        <v>153</v>
      </c>
      <c r="E13" s="6" t="s">
        <v>2239</v>
      </c>
      <c r="F13" s="6" t="s">
        <v>203</v>
      </c>
      <c r="G13" s="522">
        <v>0.72360000000000013</v>
      </c>
      <c r="I13" s="11"/>
      <c r="L13" s="6">
        <v>0.67</v>
      </c>
      <c r="M13" s="6">
        <v>0.7370000000000001</v>
      </c>
    </row>
    <row r="14" spans="1:15" hidden="1" x14ac:dyDescent="0.2">
      <c r="A14" s="6" t="str">
        <f t="shared" si="0"/>
        <v>AmbosAlicanteExtraTodos</v>
      </c>
      <c r="B14" s="6" t="s">
        <v>2237</v>
      </c>
      <c r="C14" s="6" t="s">
        <v>1106</v>
      </c>
      <c r="D14" s="6" t="s">
        <v>153</v>
      </c>
      <c r="E14" s="6" t="s">
        <v>2239</v>
      </c>
      <c r="F14" s="6" t="s">
        <v>2245</v>
      </c>
      <c r="G14" s="522">
        <v>0.9396000000000001</v>
      </c>
      <c r="I14" s="11"/>
      <c r="L14" s="6">
        <v>0.87</v>
      </c>
      <c r="M14" s="6">
        <v>0.95699999999999996</v>
      </c>
    </row>
    <row r="15" spans="1:15" hidden="1" x14ac:dyDescent="0.2">
      <c r="A15" s="6" t="str">
        <f t="shared" si="0"/>
        <v>AmbosAlicanteExtraTodos</v>
      </c>
      <c r="B15" s="6" t="s">
        <v>2237</v>
      </c>
      <c r="C15" s="6" t="s">
        <v>1106</v>
      </c>
      <c r="D15" s="6" t="s">
        <v>153</v>
      </c>
      <c r="E15" s="6" t="s">
        <v>2239</v>
      </c>
      <c r="F15" s="6" t="s">
        <v>2246</v>
      </c>
      <c r="G15" s="522">
        <v>0.16200000000000001</v>
      </c>
      <c r="I15" s="11"/>
      <c r="L15" s="6">
        <v>0.15</v>
      </c>
      <c r="M15" s="6">
        <v>0.16499999999999998</v>
      </c>
    </row>
    <row r="16" spans="1:15" hidden="1" x14ac:dyDescent="0.2">
      <c r="A16" s="6" t="str">
        <f t="shared" si="0"/>
        <v>AmbosAlicanteExtraTodos</v>
      </c>
      <c r="B16" s="6" t="s">
        <v>2237</v>
      </c>
      <c r="C16" s="6" t="s">
        <v>1106</v>
      </c>
      <c r="D16" s="6" t="s">
        <v>153</v>
      </c>
      <c r="E16" s="6" t="s">
        <v>2239</v>
      </c>
      <c r="F16" s="6" t="s">
        <v>2247</v>
      </c>
      <c r="G16" s="522">
        <v>0.1188</v>
      </c>
      <c r="I16" s="11"/>
      <c r="L16" s="6">
        <v>0.11</v>
      </c>
      <c r="M16" s="6">
        <v>0.121</v>
      </c>
    </row>
    <row r="17" spans="1:13" hidden="1" x14ac:dyDescent="0.2">
      <c r="A17" s="6" t="str">
        <f t="shared" si="0"/>
        <v>AmbosAlicanteExtraTodos</v>
      </c>
      <c r="B17" s="6" t="s">
        <v>2237</v>
      </c>
      <c r="C17" s="6" t="s">
        <v>1106</v>
      </c>
      <c r="D17" s="6" t="s">
        <v>153</v>
      </c>
      <c r="E17" s="6" t="s">
        <v>2239</v>
      </c>
      <c r="F17" s="6" t="s">
        <v>2248</v>
      </c>
      <c r="G17" s="522">
        <v>0.23760000000000001</v>
      </c>
      <c r="I17" s="11"/>
      <c r="L17" s="6">
        <v>0.22</v>
      </c>
      <c r="M17" s="6">
        <v>0.24199999999999999</v>
      </c>
    </row>
    <row r="18" spans="1:13" x14ac:dyDescent="0.2">
      <c r="A18" s="6" t="str">
        <f t="shared" si="0"/>
        <v>AmbosAndaluciaExtraAdulto</v>
      </c>
      <c r="B18" s="6" t="s">
        <v>2237</v>
      </c>
      <c r="C18" s="6" t="s">
        <v>2249</v>
      </c>
      <c r="D18" s="6" t="s">
        <v>153</v>
      </c>
      <c r="E18" s="6" t="s">
        <v>1141</v>
      </c>
      <c r="F18" s="6" t="s">
        <v>2238</v>
      </c>
      <c r="G18" s="522">
        <v>8.6400000000000005E-2</v>
      </c>
      <c r="I18" s="11"/>
      <c r="L18" s="6">
        <v>0.08</v>
      </c>
      <c r="M18" s="6">
        <v>8.7999999999999995E-2</v>
      </c>
    </row>
    <row r="19" spans="1:13" hidden="1" x14ac:dyDescent="0.2">
      <c r="A19" s="6" t="str">
        <f t="shared" si="0"/>
        <v>AmbosAndaluciaExtraEscolar</v>
      </c>
      <c r="B19" s="6" t="s">
        <v>2237</v>
      </c>
      <c r="C19" s="6" t="s">
        <v>2249</v>
      </c>
      <c r="D19" s="6" t="s">
        <v>153</v>
      </c>
      <c r="E19" s="6" t="s">
        <v>110</v>
      </c>
      <c r="F19" s="6" t="s">
        <v>2238</v>
      </c>
      <c r="G19" s="522">
        <v>5.4000000000000006E-2</v>
      </c>
      <c r="I19" s="11"/>
      <c r="L19" s="6">
        <v>0.05</v>
      </c>
      <c r="M19" s="6">
        <v>5.5000000000000007E-2</v>
      </c>
    </row>
    <row r="20" spans="1:13" hidden="1" x14ac:dyDescent="0.2">
      <c r="A20" s="6" t="str">
        <f t="shared" si="0"/>
        <v>AmbosAndaluciaExtraInfantil</v>
      </c>
      <c r="B20" s="6" t="s">
        <v>2237</v>
      </c>
      <c r="C20" s="6" t="s">
        <v>2249</v>
      </c>
      <c r="D20" s="6" t="s">
        <v>153</v>
      </c>
      <c r="E20" s="6" t="s">
        <v>1275</v>
      </c>
      <c r="F20" s="6" t="s">
        <v>2238</v>
      </c>
      <c r="G20" s="522">
        <v>5.4000000000000006E-2</v>
      </c>
      <c r="I20" s="11"/>
      <c r="L20" s="6">
        <v>0.05</v>
      </c>
      <c r="M20" s="6">
        <v>5.5000000000000007E-2</v>
      </c>
    </row>
    <row r="21" spans="1:13" hidden="1" x14ac:dyDescent="0.2">
      <c r="A21" s="6" t="str">
        <f t="shared" si="0"/>
        <v>AmbosCórdobaExtraTodos</v>
      </c>
      <c r="B21" s="6" t="s">
        <v>2237</v>
      </c>
      <c r="C21" s="6" t="s">
        <v>1187</v>
      </c>
      <c r="D21" s="6" t="s">
        <v>153</v>
      </c>
      <c r="E21" s="6" t="s">
        <v>2239</v>
      </c>
      <c r="F21" s="6" t="s">
        <v>1320</v>
      </c>
      <c r="G21" s="522">
        <v>0.15120000000000003</v>
      </c>
      <c r="I21" s="11"/>
      <c r="L21" s="6">
        <v>0.14000000000000001</v>
      </c>
      <c r="M21" s="6">
        <v>0.15400000000000003</v>
      </c>
    </row>
    <row r="22" spans="1:13" hidden="1" x14ac:dyDescent="0.2">
      <c r="A22" s="6" t="str">
        <f t="shared" si="0"/>
        <v>AmbosCórdobaExtraTodos</v>
      </c>
      <c r="B22" s="6" t="s">
        <v>2237</v>
      </c>
      <c r="C22" s="6" t="s">
        <v>1187</v>
      </c>
      <c r="D22" s="6" t="s">
        <v>153</v>
      </c>
      <c r="E22" s="6" t="s">
        <v>2239</v>
      </c>
      <c r="F22" s="6" t="s">
        <v>2240</v>
      </c>
      <c r="G22" s="522">
        <v>0.2268</v>
      </c>
      <c r="I22" s="11"/>
      <c r="L22" s="6">
        <v>0.21</v>
      </c>
      <c r="M22" s="6">
        <v>0.23099999999999998</v>
      </c>
    </row>
    <row r="23" spans="1:13" hidden="1" x14ac:dyDescent="0.2">
      <c r="A23" s="6" t="str">
        <f t="shared" si="0"/>
        <v>AmbosCórdobaExtraTodos</v>
      </c>
      <c r="B23" s="6" t="s">
        <v>2237</v>
      </c>
      <c r="C23" s="6" t="s">
        <v>1187</v>
      </c>
      <c r="D23" s="6" t="s">
        <v>153</v>
      </c>
      <c r="E23" s="6" t="s">
        <v>2239</v>
      </c>
      <c r="F23" s="6" t="s">
        <v>1401</v>
      </c>
      <c r="G23" s="522">
        <v>0.25919999999999999</v>
      </c>
      <c r="I23" s="11"/>
      <c r="L23" s="6">
        <v>0.24</v>
      </c>
      <c r="M23" s="6">
        <v>0.26400000000000001</v>
      </c>
    </row>
    <row r="24" spans="1:13" hidden="1" x14ac:dyDescent="0.2">
      <c r="A24" s="6" t="str">
        <f t="shared" si="0"/>
        <v>AmbosCórdobaExtraTodos</v>
      </c>
      <c r="B24" s="6" t="s">
        <v>2237</v>
      </c>
      <c r="C24" s="6" t="s">
        <v>1187</v>
      </c>
      <c r="D24" s="6" t="s">
        <v>153</v>
      </c>
      <c r="E24" s="6" t="s">
        <v>2239</v>
      </c>
      <c r="F24" s="6" t="s">
        <v>202</v>
      </c>
      <c r="G24" s="522">
        <v>0.15120000000000003</v>
      </c>
      <c r="I24" s="11"/>
      <c r="L24" s="6">
        <v>0.14000000000000001</v>
      </c>
      <c r="M24" s="6">
        <v>0.15400000000000003</v>
      </c>
    </row>
    <row r="25" spans="1:13" hidden="1" x14ac:dyDescent="0.2">
      <c r="A25" s="6" t="str">
        <f t="shared" si="0"/>
        <v>AmbosCórdobaExtraTodos</v>
      </c>
      <c r="B25" s="6" t="s">
        <v>2237</v>
      </c>
      <c r="C25" s="6" t="s">
        <v>1187</v>
      </c>
      <c r="D25" s="6" t="s">
        <v>153</v>
      </c>
      <c r="E25" s="6" t="s">
        <v>2239</v>
      </c>
      <c r="F25" s="6" t="s">
        <v>2241</v>
      </c>
      <c r="G25" s="522">
        <v>0.48600000000000004</v>
      </c>
      <c r="I25" s="11"/>
      <c r="L25" s="6">
        <v>0.45</v>
      </c>
      <c r="M25" s="6">
        <v>0.495</v>
      </c>
    </row>
    <row r="26" spans="1:13" hidden="1" x14ac:dyDescent="0.2">
      <c r="A26" s="6" t="str">
        <f t="shared" si="0"/>
        <v>AmbosCórdobaExtraTodos</v>
      </c>
      <c r="B26" s="6" t="s">
        <v>2237</v>
      </c>
      <c r="C26" s="6" t="s">
        <v>1187</v>
      </c>
      <c r="D26" s="6" t="s">
        <v>153</v>
      </c>
      <c r="E26" s="6" t="s">
        <v>2239</v>
      </c>
      <c r="F26" s="6" t="s">
        <v>2242</v>
      </c>
      <c r="G26" s="522">
        <v>0.32400000000000001</v>
      </c>
      <c r="I26" s="11"/>
      <c r="L26" s="6">
        <v>0.3</v>
      </c>
      <c r="M26" s="6">
        <v>0.32999999999999996</v>
      </c>
    </row>
    <row r="27" spans="1:13" hidden="1" x14ac:dyDescent="0.2">
      <c r="A27" s="6" t="str">
        <f t="shared" si="0"/>
        <v>AmbosCórdobaExtraTodos</v>
      </c>
      <c r="B27" s="6" t="s">
        <v>2237</v>
      </c>
      <c r="C27" s="6" t="s">
        <v>1187</v>
      </c>
      <c r="D27" s="6" t="s">
        <v>153</v>
      </c>
      <c r="E27" s="6" t="s">
        <v>2239</v>
      </c>
      <c r="F27" s="6" t="s">
        <v>2243</v>
      </c>
      <c r="G27" s="522">
        <v>1.1340000000000001</v>
      </c>
      <c r="I27" s="11"/>
      <c r="L27" s="6">
        <v>1.05</v>
      </c>
      <c r="M27" s="6">
        <v>1.155</v>
      </c>
    </row>
    <row r="28" spans="1:13" hidden="1" x14ac:dyDescent="0.2">
      <c r="A28" s="6" t="str">
        <f t="shared" si="0"/>
        <v>AmbosCórdobaExtraTodos</v>
      </c>
      <c r="B28" s="6" t="s">
        <v>2237</v>
      </c>
      <c r="C28" s="6" t="s">
        <v>1187</v>
      </c>
      <c r="D28" s="6" t="s">
        <v>153</v>
      </c>
      <c r="E28" s="6" t="s">
        <v>2239</v>
      </c>
      <c r="F28" s="6" t="s">
        <v>2244</v>
      </c>
      <c r="G28" s="522">
        <v>6.1668000000000003</v>
      </c>
      <c r="I28" s="11"/>
      <c r="L28" s="6">
        <v>5.71</v>
      </c>
      <c r="M28" s="6">
        <v>6.2809999999999997</v>
      </c>
    </row>
    <row r="29" spans="1:13" hidden="1" x14ac:dyDescent="0.2">
      <c r="A29" s="6" t="str">
        <f t="shared" si="0"/>
        <v>AmbosCórdobaExtraTodos</v>
      </c>
      <c r="B29" s="6" t="s">
        <v>2237</v>
      </c>
      <c r="C29" s="6" t="s">
        <v>1187</v>
      </c>
      <c r="D29" s="6" t="s">
        <v>153</v>
      </c>
      <c r="E29" s="6" t="s">
        <v>2239</v>
      </c>
      <c r="F29" s="6" t="s">
        <v>203</v>
      </c>
      <c r="G29" s="522">
        <v>0.72360000000000013</v>
      </c>
      <c r="I29" s="11"/>
      <c r="L29" s="6">
        <v>0.67</v>
      </c>
      <c r="M29" s="6">
        <v>0.7370000000000001</v>
      </c>
    </row>
    <row r="30" spans="1:13" hidden="1" x14ac:dyDescent="0.2">
      <c r="A30" s="6" t="str">
        <f t="shared" si="0"/>
        <v>AmbosCórdobaExtraTodos</v>
      </c>
      <c r="B30" s="6" t="s">
        <v>2237</v>
      </c>
      <c r="C30" s="6" t="s">
        <v>1187</v>
      </c>
      <c r="D30" s="6" t="s">
        <v>153</v>
      </c>
      <c r="E30" s="6" t="s">
        <v>2239</v>
      </c>
      <c r="F30" s="6" t="s">
        <v>2245</v>
      </c>
      <c r="G30" s="522">
        <v>0.9396000000000001</v>
      </c>
      <c r="I30" s="11"/>
      <c r="L30" s="6">
        <v>0.87</v>
      </c>
      <c r="M30" s="6">
        <v>0.95699999999999996</v>
      </c>
    </row>
    <row r="31" spans="1:13" hidden="1" x14ac:dyDescent="0.2">
      <c r="A31" s="6" t="str">
        <f t="shared" si="0"/>
        <v>AmbosCórdobaExtraTodos</v>
      </c>
      <c r="B31" s="6" t="s">
        <v>2237</v>
      </c>
      <c r="C31" s="6" t="s">
        <v>1187</v>
      </c>
      <c r="D31" s="6" t="s">
        <v>153</v>
      </c>
      <c r="E31" s="6" t="s">
        <v>2239</v>
      </c>
      <c r="F31" s="6" t="s">
        <v>2246</v>
      </c>
      <c r="G31" s="522">
        <v>0.16200000000000001</v>
      </c>
      <c r="I31" s="11"/>
      <c r="L31" s="6">
        <v>0.15</v>
      </c>
      <c r="M31" s="6">
        <v>0.16499999999999998</v>
      </c>
    </row>
    <row r="32" spans="1:13" hidden="1" x14ac:dyDescent="0.2">
      <c r="A32" s="6" t="str">
        <f t="shared" si="0"/>
        <v>AmbosCórdobaExtraTodos</v>
      </c>
      <c r="B32" s="6" t="s">
        <v>2237</v>
      </c>
      <c r="C32" s="6" t="s">
        <v>1187</v>
      </c>
      <c r="D32" s="6" t="s">
        <v>153</v>
      </c>
      <c r="E32" s="6" t="s">
        <v>2239</v>
      </c>
      <c r="F32" s="6" t="s">
        <v>2247</v>
      </c>
      <c r="G32" s="522">
        <v>0.1188</v>
      </c>
      <c r="I32" s="11"/>
      <c r="L32" s="6">
        <v>0.11</v>
      </c>
      <c r="M32" s="6">
        <v>0.121</v>
      </c>
    </row>
    <row r="33" spans="1:13" hidden="1" x14ac:dyDescent="0.2">
      <c r="A33" s="6" t="str">
        <f t="shared" si="0"/>
        <v>AmbosCórdobaExtraTodos</v>
      </c>
      <c r="B33" s="6" t="s">
        <v>2237</v>
      </c>
      <c r="C33" s="6" t="s">
        <v>1187</v>
      </c>
      <c r="D33" s="6" t="s">
        <v>153</v>
      </c>
      <c r="E33" s="6" t="s">
        <v>2239</v>
      </c>
      <c r="F33" s="6" t="s">
        <v>2248</v>
      </c>
      <c r="G33" s="522">
        <v>0.23760000000000001</v>
      </c>
      <c r="I33" s="11"/>
      <c r="L33" s="6">
        <v>0.22</v>
      </c>
      <c r="M33" s="6">
        <v>0.24199999999999999</v>
      </c>
    </row>
    <row r="34" spans="1:13" x14ac:dyDescent="0.2">
      <c r="A34" s="6" t="str">
        <f t="shared" si="0"/>
        <v>AmbosCastellónExtraAdulto</v>
      </c>
      <c r="B34" s="6" t="s">
        <v>2237</v>
      </c>
      <c r="C34" s="6" t="s">
        <v>2250</v>
      </c>
      <c r="D34" s="6" t="s">
        <v>153</v>
      </c>
      <c r="E34" s="6" t="s">
        <v>1141</v>
      </c>
      <c r="F34" s="6" t="s">
        <v>2238</v>
      </c>
      <c r="G34" s="522">
        <v>8.6400000000000005E-2</v>
      </c>
      <c r="I34" s="11"/>
      <c r="L34" s="6">
        <v>0.08</v>
      </c>
      <c r="M34" s="6">
        <v>8.7999999999999995E-2</v>
      </c>
    </row>
    <row r="35" spans="1:13" hidden="1" x14ac:dyDescent="0.2">
      <c r="A35" s="6" t="str">
        <f t="shared" si="0"/>
        <v>AmbosCastellonExtraEscolar</v>
      </c>
      <c r="B35" s="6" t="s">
        <v>2237</v>
      </c>
      <c r="C35" s="6" t="s">
        <v>1107</v>
      </c>
      <c r="D35" s="6" t="s">
        <v>153</v>
      </c>
      <c r="E35" s="6" t="s">
        <v>110</v>
      </c>
      <c r="F35" s="6" t="s">
        <v>2238</v>
      </c>
      <c r="G35" s="522">
        <v>5.4000000000000006E-2</v>
      </c>
      <c r="I35" s="11"/>
      <c r="L35" s="6">
        <v>0.05</v>
      </c>
      <c r="M35" s="6">
        <v>5.5000000000000007E-2</v>
      </c>
    </row>
    <row r="36" spans="1:13" hidden="1" x14ac:dyDescent="0.2">
      <c r="A36" s="6" t="str">
        <f t="shared" si="0"/>
        <v>AmbosCastellónExtraInfantil</v>
      </c>
      <c r="B36" s="6" t="s">
        <v>2237</v>
      </c>
      <c r="C36" s="6" t="s">
        <v>2250</v>
      </c>
      <c r="D36" s="6" t="s">
        <v>153</v>
      </c>
      <c r="E36" s="6" t="s">
        <v>1275</v>
      </c>
      <c r="F36" s="6" t="s">
        <v>2238</v>
      </c>
      <c r="G36" s="522">
        <v>5.4000000000000006E-2</v>
      </c>
      <c r="I36" s="11"/>
      <c r="L36" s="6">
        <v>0.05</v>
      </c>
      <c r="M36" s="6">
        <v>5.5000000000000007E-2</v>
      </c>
    </row>
    <row r="37" spans="1:13" hidden="1" x14ac:dyDescent="0.2">
      <c r="A37" s="6" t="str">
        <f t="shared" si="0"/>
        <v>AmbosCastellónExtraTodos</v>
      </c>
      <c r="B37" s="6" t="s">
        <v>2237</v>
      </c>
      <c r="C37" s="6" t="s">
        <v>2250</v>
      </c>
      <c r="D37" s="6" t="s">
        <v>153</v>
      </c>
      <c r="E37" s="6" t="s">
        <v>2239</v>
      </c>
      <c r="F37" s="6" t="s">
        <v>1320</v>
      </c>
      <c r="G37" s="522">
        <v>0.15120000000000003</v>
      </c>
      <c r="I37" s="11"/>
      <c r="L37" s="6">
        <v>0.14000000000000001</v>
      </c>
      <c r="M37" s="6">
        <v>0.15400000000000003</v>
      </c>
    </row>
    <row r="38" spans="1:13" hidden="1" x14ac:dyDescent="0.2">
      <c r="A38" s="6" t="str">
        <f t="shared" si="0"/>
        <v>AmbosCastellónExtraTodos</v>
      </c>
      <c r="B38" s="6" t="s">
        <v>2237</v>
      </c>
      <c r="C38" s="6" t="s">
        <v>2250</v>
      </c>
      <c r="D38" s="6" t="s">
        <v>153</v>
      </c>
      <c r="E38" s="6" t="s">
        <v>2239</v>
      </c>
      <c r="F38" s="6" t="s">
        <v>2240</v>
      </c>
      <c r="G38" s="522">
        <v>0.2268</v>
      </c>
      <c r="I38" s="11"/>
      <c r="L38" s="6">
        <v>0.21</v>
      </c>
      <c r="M38" s="6">
        <v>0.23099999999999998</v>
      </c>
    </row>
    <row r="39" spans="1:13" hidden="1" x14ac:dyDescent="0.2">
      <c r="A39" s="6" t="str">
        <f t="shared" si="0"/>
        <v>AmbosCastellónExtraTodos</v>
      </c>
      <c r="B39" s="6" t="s">
        <v>2237</v>
      </c>
      <c r="C39" s="6" t="s">
        <v>2250</v>
      </c>
      <c r="D39" s="6" t="s">
        <v>153</v>
      </c>
      <c r="E39" s="6" t="s">
        <v>2239</v>
      </c>
      <c r="F39" s="6" t="s">
        <v>1401</v>
      </c>
      <c r="G39" s="522">
        <v>0.25919999999999999</v>
      </c>
      <c r="I39" s="11"/>
      <c r="L39" s="6">
        <v>0.24</v>
      </c>
      <c r="M39" s="6">
        <v>0.26400000000000001</v>
      </c>
    </row>
    <row r="40" spans="1:13" hidden="1" x14ac:dyDescent="0.2">
      <c r="A40" s="6" t="str">
        <f t="shared" si="0"/>
        <v>AmbosCastellónExtraTodos</v>
      </c>
      <c r="B40" s="6" t="s">
        <v>2237</v>
      </c>
      <c r="C40" s="6" t="s">
        <v>2250</v>
      </c>
      <c r="D40" s="6" t="s">
        <v>153</v>
      </c>
      <c r="E40" s="6" t="s">
        <v>2239</v>
      </c>
      <c r="F40" s="6" t="s">
        <v>202</v>
      </c>
      <c r="G40" s="522">
        <v>0.15120000000000003</v>
      </c>
      <c r="I40" s="11"/>
      <c r="L40" s="6">
        <v>0.14000000000000001</v>
      </c>
      <c r="M40" s="6">
        <v>0.15400000000000003</v>
      </c>
    </row>
    <row r="41" spans="1:13" hidden="1" x14ac:dyDescent="0.2">
      <c r="A41" s="6" t="str">
        <f t="shared" si="0"/>
        <v>AmbosCastellónExtraTodos</v>
      </c>
      <c r="B41" s="6" t="s">
        <v>2237</v>
      </c>
      <c r="C41" s="6" t="s">
        <v>2250</v>
      </c>
      <c r="D41" s="6" t="s">
        <v>153</v>
      </c>
      <c r="E41" s="6" t="s">
        <v>2239</v>
      </c>
      <c r="F41" s="6" t="s">
        <v>2241</v>
      </c>
      <c r="G41" s="522">
        <v>0.48600000000000004</v>
      </c>
      <c r="I41" s="11"/>
      <c r="L41" s="6">
        <v>0.45</v>
      </c>
      <c r="M41" s="6">
        <v>0.495</v>
      </c>
    </row>
    <row r="42" spans="1:13" hidden="1" x14ac:dyDescent="0.2">
      <c r="A42" s="6" t="str">
        <f t="shared" si="0"/>
        <v>AmbosCastellónExtraTodos</v>
      </c>
      <c r="B42" s="6" t="s">
        <v>2237</v>
      </c>
      <c r="C42" s="6" t="s">
        <v>2250</v>
      </c>
      <c r="D42" s="6" t="s">
        <v>153</v>
      </c>
      <c r="E42" s="6" t="s">
        <v>2239</v>
      </c>
      <c r="F42" s="6" t="s">
        <v>2242</v>
      </c>
      <c r="G42" s="522">
        <v>0.32400000000000001</v>
      </c>
      <c r="I42" s="11"/>
      <c r="L42" s="6">
        <v>0.3</v>
      </c>
      <c r="M42" s="6">
        <v>0.32999999999999996</v>
      </c>
    </row>
    <row r="43" spans="1:13" hidden="1" x14ac:dyDescent="0.2">
      <c r="A43" s="6" t="str">
        <f t="shared" si="0"/>
        <v>AmbosCastellónExtraTodos</v>
      </c>
      <c r="B43" s="6" t="s">
        <v>2237</v>
      </c>
      <c r="C43" s="6" t="s">
        <v>2250</v>
      </c>
      <c r="D43" s="6" t="s">
        <v>153</v>
      </c>
      <c r="E43" s="6" t="s">
        <v>2239</v>
      </c>
      <c r="F43" s="6" t="s">
        <v>2243</v>
      </c>
      <c r="G43" s="522">
        <v>1.1340000000000001</v>
      </c>
      <c r="I43" s="11"/>
      <c r="L43" s="6">
        <v>1.05</v>
      </c>
      <c r="M43" s="6">
        <v>1.155</v>
      </c>
    </row>
    <row r="44" spans="1:13" hidden="1" x14ac:dyDescent="0.2">
      <c r="A44" s="6" t="str">
        <f t="shared" si="0"/>
        <v>AmbosCastellónExtraTodos</v>
      </c>
      <c r="B44" s="6" t="s">
        <v>2237</v>
      </c>
      <c r="C44" s="6" t="s">
        <v>2250</v>
      </c>
      <c r="D44" s="6" t="s">
        <v>153</v>
      </c>
      <c r="E44" s="6" t="s">
        <v>2239</v>
      </c>
      <c r="F44" s="6" t="s">
        <v>2244</v>
      </c>
      <c r="G44" s="522">
        <v>6.1668000000000003</v>
      </c>
      <c r="I44" s="11"/>
      <c r="L44" s="6">
        <v>5.71</v>
      </c>
      <c r="M44" s="6">
        <v>6.2809999999999997</v>
      </c>
    </row>
    <row r="45" spans="1:13" hidden="1" x14ac:dyDescent="0.2">
      <c r="A45" s="6" t="str">
        <f t="shared" si="0"/>
        <v>AmbosCastellónExtraTodos</v>
      </c>
      <c r="B45" s="6" t="s">
        <v>2237</v>
      </c>
      <c r="C45" s="6" t="s">
        <v>2250</v>
      </c>
      <c r="D45" s="6" t="s">
        <v>153</v>
      </c>
      <c r="E45" s="6" t="s">
        <v>2239</v>
      </c>
      <c r="F45" s="6" t="s">
        <v>203</v>
      </c>
      <c r="G45" s="522">
        <v>0.72360000000000013</v>
      </c>
      <c r="I45" s="11"/>
      <c r="L45" s="6">
        <v>0.67</v>
      </c>
      <c r="M45" s="6">
        <v>0.7370000000000001</v>
      </c>
    </row>
    <row r="46" spans="1:13" hidden="1" x14ac:dyDescent="0.2">
      <c r="A46" s="6" t="str">
        <f t="shared" si="0"/>
        <v>AmbosCastellónExtraTodos</v>
      </c>
      <c r="B46" s="6" t="s">
        <v>2237</v>
      </c>
      <c r="C46" s="6" t="s">
        <v>2250</v>
      </c>
      <c r="D46" s="6" t="s">
        <v>153</v>
      </c>
      <c r="E46" s="6" t="s">
        <v>2239</v>
      </c>
      <c r="F46" s="6" t="s">
        <v>2245</v>
      </c>
      <c r="G46" s="522">
        <v>0.9396000000000001</v>
      </c>
      <c r="I46" s="11"/>
      <c r="L46" s="6">
        <v>0.87</v>
      </c>
      <c r="M46" s="6">
        <v>0.95699999999999996</v>
      </c>
    </row>
    <row r="47" spans="1:13" hidden="1" x14ac:dyDescent="0.2">
      <c r="A47" s="6" t="str">
        <f t="shared" si="0"/>
        <v>AmbosCastellónExtraTodos</v>
      </c>
      <c r="B47" s="6" t="s">
        <v>2237</v>
      </c>
      <c r="C47" s="6" t="s">
        <v>2250</v>
      </c>
      <c r="D47" s="6" t="s">
        <v>153</v>
      </c>
      <c r="E47" s="6" t="s">
        <v>2239</v>
      </c>
      <c r="F47" s="6" t="s">
        <v>2246</v>
      </c>
      <c r="G47" s="522">
        <v>0.16200000000000001</v>
      </c>
      <c r="I47" s="11"/>
      <c r="L47" s="6">
        <v>0.15</v>
      </c>
      <c r="M47" s="6">
        <v>0.16499999999999998</v>
      </c>
    </row>
    <row r="48" spans="1:13" hidden="1" x14ac:dyDescent="0.2">
      <c r="A48" s="6" t="str">
        <f t="shared" si="0"/>
        <v>AmbosCastellónExtraTodos</v>
      </c>
      <c r="B48" s="6" t="s">
        <v>2237</v>
      </c>
      <c r="C48" s="6" t="s">
        <v>2250</v>
      </c>
      <c r="D48" s="6" t="s">
        <v>153</v>
      </c>
      <c r="E48" s="6" t="s">
        <v>2239</v>
      </c>
      <c r="F48" s="6" t="s">
        <v>2247</v>
      </c>
      <c r="G48" s="522">
        <v>0.1188</v>
      </c>
      <c r="I48" s="11"/>
      <c r="L48" s="6">
        <v>0.11</v>
      </c>
      <c r="M48" s="6">
        <v>0.121</v>
      </c>
    </row>
    <row r="49" spans="1:13" hidden="1" x14ac:dyDescent="0.2">
      <c r="A49" s="6" t="str">
        <f t="shared" si="0"/>
        <v>AmbosCastellónExtraTodos</v>
      </c>
      <c r="B49" s="6" t="s">
        <v>2237</v>
      </c>
      <c r="C49" s="6" t="s">
        <v>2250</v>
      </c>
      <c r="D49" s="6" t="s">
        <v>153</v>
      </c>
      <c r="E49" s="6" t="s">
        <v>2239</v>
      </c>
      <c r="F49" s="6" t="s">
        <v>2248</v>
      </c>
      <c r="G49" s="522">
        <v>0.23760000000000001</v>
      </c>
      <c r="I49" s="11"/>
      <c r="L49" s="6">
        <v>0.22</v>
      </c>
      <c r="M49" s="6">
        <v>0.24199999999999999</v>
      </c>
    </row>
    <row r="50" spans="1:13" x14ac:dyDescent="0.2">
      <c r="A50" s="6" t="str">
        <f t="shared" si="0"/>
        <v>AmbosValenciaExtraAdulto</v>
      </c>
      <c r="B50" s="6" t="s">
        <v>2237</v>
      </c>
      <c r="C50" s="6" t="s">
        <v>1110</v>
      </c>
      <c r="D50" s="6" t="s">
        <v>153</v>
      </c>
      <c r="E50" s="6" t="s">
        <v>1141</v>
      </c>
      <c r="F50" s="6" t="s">
        <v>2238</v>
      </c>
      <c r="G50" s="522">
        <v>8.6400000000000005E-2</v>
      </c>
      <c r="I50" s="11"/>
      <c r="L50" s="6">
        <v>0.08</v>
      </c>
      <c r="M50" s="6">
        <v>8.7999999999999995E-2</v>
      </c>
    </row>
    <row r="51" spans="1:13" hidden="1" x14ac:dyDescent="0.2">
      <c r="A51" s="6" t="str">
        <f t="shared" si="0"/>
        <v>AmbosValenciaExtraEscolar</v>
      </c>
      <c r="B51" s="6" t="s">
        <v>2237</v>
      </c>
      <c r="C51" s="6" t="s">
        <v>1110</v>
      </c>
      <c r="D51" s="6" t="s">
        <v>153</v>
      </c>
      <c r="E51" s="6" t="s">
        <v>110</v>
      </c>
      <c r="F51" s="6" t="s">
        <v>2238</v>
      </c>
      <c r="G51" s="522">
        <v>5.4000000000000006E-2</v>
      </c>
      <c r="I51" s="11"/>
      <c r="L51" s="6">
        <v>0.05</v>
      </c>
      <c r="M51" s="6">
        <v>5.5000000000000007E-2</v>
      </c>
    </row>
    <row r="52" spans="1:13" hidden="1" x14ac:dyDescent="0.2">
      <c r="A52" s="6" t="str">
        <f t="shared" si="0"/>
        <v>AmbosValenciaExtraInfantil</v>
      </c>
      <c r="B52" s="6" t="s">
        <v>2237</v>
      </c>
      <c r="C52" s="6" t="s">
        <v>1110</v>
      </c>
      <c r="D52" s="6" t="s">
        <v>153</v>
      </c>
      <c r="E52" s="6" t="s">
        <v>1275</v>
      </c>
      <c r="F52" s="6" t="s">
        <v>2238</v>
      </c>
      <c r="G52" s="522">
        <v>5.4000000000000006E-2</v>
      </c>
      <c r="I52" s="11"/>
      <c r="L52" s="6">
        <v>0.05</v>
      </c>
      <c r="M52" s="6">
        <v>5.5000000000000007E-2</v>
      </c>
    </row>
    <row r="53" spans="1:13" hidden="1" x14ac:dyDescent="0.2">
      <c r="A53" s="6" t="str">
        <f t="shared" si="0"/>
        <v>AmbosValenciaExtraTodos</v>
      </c>
      <c r="B53" s="6" t="s">
        <v>2237</v>
      </c>
      <c r="C53" s="6" t="s">
        <v>1110</v>
      </c>
      <c r="D53" s="6" t="s">
        <v>153</v>
      </c>
      <c r="E53" s="6" t="s">
        <v>2239</v>
      </c>
      <c r="F53" s="6" t="s">
        <v>1320</v>
      </c>
      <c r="G53" s="522">
        <v>0.15120000000000003</v>
      </c>
      <c r="I53" s="11"/>
      <c r="L53" s="6">
        <v>0.14000000000000001</v>
      </c>
      <c r="M53" s="6">
        <v>0.15400000000000003</v>
      </c>
    </row>
    <row r="54" spans="1:13" hidden="1" x14ac:dyDescent="0.2">
      <c r="A54" s="6" t="str">
        <f t="shared" si="0"/>
        <v>AmbosValenciaExtraTodos</v>
      </c>
      <c r="B54" s="6" t="s">
        <v>2237</v>
      </c>
      <c r="C54" s="6" t="s">
        <v>1110</v>
      </c>
      <c r="D54" s="6" t="s">
        <v>153</v>
      </c>
      <c r="E54" s="6" t="s">
        <v>2239</v>
      </c>
      <c r="F54" s="6" t="s">
        <v>2240</v>
      </c>
      <c r="G54" s="522">
        <v>0.2268</v>
      </c>
      <c r="I54" s="11"/>
      <c r="L54" s="6">
        <v>0.21</v>
      </c>
      <c r="M54" s="6">
        <v>0.23099999999999998</v>
      </c>
    </row>
    <row r="55" spans="1:13" hidden="1" x14ac:dyDescent="0.2">
      <c r="A55" s="6" t="str">
        <f t="shared" si="0"/>
        <v>AmbosValenciaExtraTodos</v>
      </c>
      <c r="B55" s="6" t="s">
        <v>2237</v>
      </c>
      <c r="C55" s="6" t="s">
        <v>1110</v>
      </c>
      <c r="D55" s="6" t="s">
        <v>153</v>
      </c>
      <c r="E55" s="6" t="s">
        <v>2239</v>
      </c>
      <c r="F55" s="6" t="s">
        <v>1401</v>
      </c>
      <c r="G55" s="522">
        <v>0.25919999999999999</v>
      </c>
      <c r="I55" s="11"/>
      <c r="L55" s="6">
        <v>0.24</v>
      </c>
      <c r="M55" s="6">
        <v>0.26400000000000001</v>
      </c>
    </row>
    <row r="56" spans="1:13" hidden="1" x14ac:dyDescent="0.2">
      <c r="A56" s="6" t="str">
        <f t="shared" si="0"/>
        <v>AmbosValenciaExtraTodos</v>
      </c>
      <c r="B56" s="6" t="s">
        <v>2237</v>
      </c>
      <c r="C56" s="6" t="s">
        <v>1110</v>
      </c>
      <c r="D56" s="6" t="s">
        <v>153</v>
      </c>
      <c r="E56" s="6" t="s">
        <v>2239</v>
      </c>
      <c r="F56" s="6" t="s">
        <v>202</v>
      </c>
      <c r="G56" s="522">
        <v>0.15120000000000003</v>
      </c>
      <c r="I56" s="11"/>
      <c r="L56" s="6">
        <v>0.14000000000000001</v>
      </c>
      <c r="M56" s="6">
        <v>0.15400000000000003</v>
      </c>
    </row>
    <row r="57" spans="1:13" hidden="1" x14ac:dyDescent="0.2">
      <c r="A57" s="6" t="str">
        <f t="shared" si="0"/>
        <v>AmbosValenciaExtraTodos</v>
      </c>
      <c r="B57" s="6" t="s">
        <v>2237</v>
      </c>
      <c r="C57" s="6" t="s">
        <v>1110</v>
      </c>
      <c r="D57" s="6" t="s">
        <v>153</v>
      </c>
      <c r="E57" s="6" t="s">
        <v>2239</v>
      </c>
      <c r="F57" s="6" t="s">
        <v>2241</v>
      </c>
      <c r="G57" s="522">
        <v>0.48600000000000004</v>
      </c>
      <c r="I57" s="11"/>
      <c r="L57" s="6">
        <v>0.45</v>
      </c>
      <c r="M57" s="6">
        <v>0.495</v>
      </c>
    </row>
    <row r="58" spans="1:13" hidden="1" x14ac:dyDescent="0.2">
      <c r="A58" s="6" t="str">
        <f t="shared" si="0"/>
        <v>AmbosValenciaExtraTodos</v>
      </c>
      <c r="B58" s="6" t="s">
        <v>2237</v>
      </c>
      <c r="C58" s="6" t="s">
        <v>1110</v>
      </c>
      <c r="D58" s="6" t="s">
        <v>153</v>
      </c>
      <c r="E58" s="6" t="s">
        <v>2239</v>
      </c>
      <c r="F58" s="6" t="s">
        <v>2242</v>
      </c>
      <c r="G58" s="522">
        <v>0.32400000000000001</v>
      </c>
      <c r="I58" s="11"/>
      <c r="L58" s="6">
        <v>0.3</v>
      </c>
      <c r="M58" s="6">
        <v>0.32999999999999996</v>
      </c>
    </row>
    <row r="59" spans="1:13" hidden="1" x14ac:dyDescent="0.2">
      <c r="A59" s="6" t="str">
        <f t="shared" si="0"/>
        <v>AmbosValenciaExtraTodos</v>
      </c>
      <c r="B59" s="6" t="s">
        <v>2237</v>
      </c>
      <c r="C59" s="6" t="s">
        <v>1110</v>
      </c>
      <c r="D59" s="6" t="s">
        <v>153</v>
      </c>
      <c r="E59" s="6" t="s">
        <v>2239</v>
      </c>
      <c r="F59" s="6" t="s">
        <v>2243</v>
      </c>
      <c r="G59" s="522">
        <v>1.1340000000000001</v>
      </c>
      <c r="I59" s="11"/>
      <c r="L59" s="6">
        <v>1.05</v>
      </c>
      <c r="M59" s="6">
        <v>1.155</v>
      </c>
    </row>
    <row r="60" spans="1:13" hidden="1" x14ac:dyDescent="0.2">
      <c r="A60" s="6" t="str">
        <f t="shared" si="0"/>
        <v>AmbosValenciaExtraTodos</v>
      </c>
      <c r="B60" s="6" t="s">
        <v>2237</v>
      </c>
      <c r="C60" s="6" t="s">
        <v>1110</v>
      </c>
      <c r="D60" s="6" t="s">
        <v>153</v>
      </c>
      <c r="E60" s="6" t="s">
        <v>2239</v>
      </c>
      <c r="F60" s="6" t="s">
        <v>2244</v>
      </c>
      <c r="G60" s="522">
        <v>6.1668000000000003</v>
      </c>
      <c r="I60" s="11"/>
      <c r="L60" s="6">
        <v>5.71</v>
      </c>
      <c r="M60" s="6">
        <v>6.2809999999999997</v>
      </c>
    </row>
    <row r="61" spans="1:13" hidden="1" x14ac:dyDescent="0.2">
      <c r="A61" s="6" t="str">
        <f t="shared" si="0"/>
        <v>AmbosValenciaExtraTodos</v>
      </c>
      <c r="B61" s="6" t="s">
        <v>2237</v>
      </c>
      <c r="C61" s="6" t="s">
        <v>1110</v>
      </c>
      <c r="D61" s="6" t="s">
        <v>153</v>
      </c>
      <c r="E61" s="6" t="s">
        <v>2239</v>
      </c>
      <c r="F61" s="6" t="s">
        <v>203</v>
      </c>
      <c r="G61" s="522">
        <v>0.72360000000000013</v>
      </c>
      <c r="I61" s="11"/>
      <c r="L61" s="6">
        <v>0.67</v>
      </c>
      <c r="M61" s="6">
        <v>0.7370000000000001</v>
      </c>
    </row>
    <row r="62" spans="1:13" hidden="1" x14ac:dyDescent="0.2">
      <c r="A62" s="6" t="str">
        <f t="shared" si="0"/>
        <v>AmbosValenciaExtraTodos</v>
      </c>
      <c r="B62" s="6" t="s">
        <v>2237</v>
      </c>
      <c r="C62" s="6" t="s">
        <v>1110</v>
      </c>
      <c r="D62" s="6" t="s">
        <v>153</v>
      </c>
      <c r="E62" s="6" t="s">
        <v>2239</v>
      </c>
      <c r="F62" s="6" t="s">
        <v>2245</v>
      </c>
      <c r="G62" s="522">
        <v>0.9396000000000001</v>
      </c>
      <c r="I62" s="11"/>
      <c r="L62" s="6">
        <v>0.87</v>
      </c>
      <c r="M62" s="6">
        <v>0.95699999999999996</v>
      </c>
    </row>
    <row r="63" spans="1:13" hidden="1" x14ac:dyDescent="0.2">
      <c r="A63" s="6" t="str">
        <f t="shared" si="0"/>
        <v>AmbosValenciaExtraTodos</v>
      </c>
      <c r="B63" s="6" t="s">
        <v>2237</v>
      </c>
      <c r="C63" s="6" t="s">
        <v>1110</v>
      </c>
      <c r="D63" s="6" t="s">
        <v>153</v>
      </c>
      <c r="E63" s="6" t="s">
        <v>2239</v>
      </c>
      <c r="F63" s="6" t="s">
        <v>2246</v>
      </c>
      <c r="G63" s="522">
        <v>0.16200000000000001</v>
      </c>
      <c r="I63" s="11"/>
      <c r="L63" s="6">
        <v>0.15</v>
      </c>
      <c r="M63" s="6">
        <v>0.16499999999999998</v>
      </c>
    </row>
    <row r="64" spans="1:13" hidden="1" x14ac:dyDescent="0.2">
      <c r="A64" s="6" t="str">
        <f t="shared" si="0"/>
        <v>AmbosValenciaExtraTodos</v>
      </c>
      <c r="B64" s="6" t="s">
        <v>2237</v>
      </c>
      <c r="C64" s="6" t="s">
        <v>1110</v>
      </c>
      <c r="D64" s="6" t="s">
        <v>153</v>
      </c>
      <c r="E64" s="6" t="s">
        <v>2239</v>
      </c>
      <c r="F64" s="6" t="s">
        <v>2247</v>
      </c>
      <c r="G64" s="522">
        <v>0.1188</v>
      </c>
      <c r="I64" s="11"/>
      <c r="L64" s="6">
        <v>0.11</v>
      </c>
      <c r="M64" s="6">
        <v>0.121</v>
      </c>
    </row>
    <row r="65" spans="1:14" hidden="1" x14ac:dyDescent="0.2">
      <c r="A65" s="6" t="str">
        <f t="shared" si="0"/>
        <v>AmbosValenciaExtraTodos</v>
      </c>
      <c r="B65" s="6" t="s">
        <v>2237</v>
      </c>
      <c r="C65" s="6" t="s">
        <v>1110</v>
      </c>
      <c r="D65" s="6" t="s">
        <v>153</v>
      </c>
      <c r="E65" s="6" t="s">
        <v>2239</v>
      </c>
      <c r="F65" s="6" t="s">
        <v>2248</v>
      </c>
      <c r="G65" s="522">
        <v>0.23760000000000001</v>
      </c>
      <c r="I65" s="11"/>
      <c r="L65" s="6">
        <v>0.22</v>
      </c>
      <c r="M65" s="6">
        <v>0.24199999999999999</v>
      </c>
    </row>
    <row r="66" spans="1:14" x14ac:dyDescent="0.2">
      <c r="A66" s="6" t="str">
        <f t="shared" ref="A66:A129" si="1">CONCATENATE(B66,C66,D66,E66)</f>
        <v>AutónomaAlicanteAlmuerzoAdulto</v>
      </c>
      <c r="B66" s="6" t="s">
        <v>2251</v>
      </c>
      <c r="C66" s="6" t="s">
        <v>1106</v>
      </c>
      <c r="D66" s="6" t="s">
        <v>1010</v>
      </c>
      <c r="E66" s="6" t="s">
        <v>1141</v>
      </c>
      <c r="G66" s="522">
        <v>0.86399999999999999</v>
      </c>
      <c r="I66" s="11"/>
      <c r="L66" s="6">
        <v>0.44</v>
      </c>
      <c r="M66" s="6">
        <v>0.48399999999999999</v>
      </c>
    </row>
    <row r="67" spans="1:14" hidden="1" x14ac:dyDescent="0.2">
      <c r="A67" s="6" t="str">
        <f t="shared" si="1"/>
        <v>AutónomaAlicanteAlmuerzoAdulto Sanitario</v>
      </c>
      <c r="B67" s="6" t="s">
        <v>2251</v>
      </c>
      <c r="C67" s="6" t="s">
        <v>1106</v>
      </c>
      <c r="D67" s="6" t="s">
        <v>1010</v>
      </c>
      <c r="E67" s="6" t="s">
        <v>1163</v>
      </c>
      <c r="G67" s="522">
        <v>0.51839999999999997</v>
      </c>
      <c r="I67" s="11"/>
      <c r="L67" s="6">
        <v>0.48</v>
      </c>
      <c r="M67" s="6">
        <v>0.52800000000000002</v>
      </c>
    </row>
    <row r="68" spans="1:14" hidden="1" x14ac:dyDescent="0.2">
      <c r="A68" s="6" t="str">
        <f t="shared" si="1"/>
        <v>AutónomaAlicanteAlmuerzoEscolar</v>
      </c>
      <c r="B68" s="6" t="s">
        <v>2251</v>
      </c>
      <c r="C68" s="6" t="s">
        <v>1106</v>
      </c>
      <c r="D68" s="6" t="s">
        <v>1010</v>
      </c>
      <c r="E68" s="6" t="s">
        <v>110</v>
      </c>
      <c r="G68" s="522">
        <v>0.6</v>
      </c>
      <c r="I68" s="11"/>
      <c r="L68" s="6" t="s">
        <v>2252</v>
      </c>
      <c r="M68" s="6" t="s">
        <v>318</v>
      </c>
    </row>
    <row r="69" spans="1:14" hidden="1" x14ac:dyDescent="0.2">
      <c r="A69" s="6" t="str">
        <f t="shared" si="1"/>
        <v>AutónomaAlicanteAlmuerzoInfantil</v>
      </c>
      <c r="B69" s="6" t="s">
        <v>2251</v>
      </c>
      <c r="C69" s="6" t="s">
        <v>1106</v>
      </c>
      <c r="D69" s="6" t="s">
        <v>1010</v>
      </c>
      <c r="E69" s="6" t="s">
        <v>1275</v>
      </c>
      <c r="G69" s="522">
        <v>0.5</v>
      </c>
      <c r="I69" s="11"/>
      <c r="L69" s="6" t="s">
        <v>2252</v>
      </c>
      <c r="M69" s="6" t="s">
        <v>318</v>
      </c>
    </row>
    <row r="70" spans="1:14" x14ac:dyDescent="0.2">
      <c r="A70" s="6" t="str">
        <f t="shared" si="1"/>
        <v>AutónomaAlicanteCenaAdulto</v>
      </c>
      <c r="B70" s="6" t="s">
        <v>2251</v>
      </c>
      <c r="C70" s="6" t="s">
        <v>1106</v>
      </c>
      <c r="D70" s="6" t="s">
        <v>1162</v>
      </c>
      <c r="E70" s="6" t="s">
        <v>1141</v>
      </c>
      <c r="G70" s="522">
        <v>1.3392000000000002</v>
      </c>
      <c r="I70" s="11"/>
      <c r="L70" s="6">
        <v>1.24</v>
      </c>
      <c r="M70" s="6">
        <v>1.3639999999999999</v>
      </c>
    </row>
    <row r="71" spans="1:14" hidden="1" x14ac:dyDescent="0.2">
      <c r="A71" s="6" t="str">
        <f t="shared" si="1"/>
        <v>AutónomaAlicanteCenaAdulto Sanitario</v>
      </c>
      <c r="B71" s="6" t="s">
        <v>2251</v>
      </c>
      <c r="C71" s="6" t="s">
        <v>1106</v>
      </c>
      <c r="D71" s="6" t="s">
        <v>1162</v>
      </c>
      <c r="E71" s="6" t="s">
        <v>1163</v>
      </c>
      <c r="G71" s="522">
        <v>0.8640000000000001</v>
      </c>
      <c r="I71" s="11"/>
      <c r="L71" s="6">
        <v>0.8</v>
      </c>
      <c r="M71" s="6">
        <v>0.88000000000000012</v>
      </c>
    </row>
    <row r="72" spans="1:14" hidden="1" x14ac:dyDescent="0.2">
      <c r="A72" s="6" t="str">
        <f t="shared" si="1"/>
        <v>AutónomaAlicanteCenaEscolar</v>
      </c>
      <c r="B72" s="6" t="s">
        <v>2251</v>
      </c>
      <c r="C72" s="6" t="s">
        <v>1106</v>
      </c>
      <c r="D72" s="6" t="s">
        <v>1162</v>
      </c>
      <c r="E72" s="6" t="s">
        <v>110</v>
      </c>
      <c r="G72" s="522">
        <v>1.21</v>
      </c>
      <c r="I72" s="11"/>
      <c r="L72" s="6" t="s">
        <v>2252</v>
      </c>
      <c r="M72" s="6" t="s">
        <v>318</v>
      </c>
    </row>
    <row r="73" spans="1:14" hidden="1" x14ac:dyDescent="0.2">
      <c r="A73" s="6" t="str">
        <f t="shared" si="1"/>
        <v>AutónomaAlicanteCenaInfantil</v>
      </c>
      <c r="B73" s="6" t="s">
        <v>2251</v>
      </c>
      <c r="C73" s="6" t="s">
        <v>1106</v>
      </c>
      <c r="D73" s="6" t="s">
        <v>1162</v>
      </c>
      <c r="E73" s="6" t="s">
        <v>1275</v>
      </c>
      <c r="G73" s="522">
        <v>1.21</v>
      </c>
      <c r="I73" s="11"/>
      <c r="L73" s="6" t="s">
        <v>2252</v>
      </c>
      <c r="M73" s="6" t="s">
        <v>318</v>
      </c>
    </row>
    <row r="74" spans="1:14" x14ac:dyDescent="0.2">
      <c r="A74" s="6" t="str">
        <f t="shared" si="1"/>
        <v>AutónomaAlicanteComidaAdulto</v>
      </c>
      <c r="B74" s="6" t="s">
        <v>2251</v>
      </c>
      <c r="C74" s="6" t="s">
        <v>1106</v>
      </c>
      <c r="D74" s="6" t="s">
        <v>1011</v>
      </c>
      <c r="E74" s="6" t="s">
        <v>1141</v>
      </c>
      <c r="G74" s="522" t="str">
        <f ca="1">IFERROR((Presupuesto_Final2!$D$3/Presupuesto_Final2!$L$4)*0.45,"datos")</f>
        <v>datos</v>
      </c>
      <c r="I74" s="11"/>
      <c r="L74" s="6">
        <v>1.45</v>
      </c>
      <c r="M74" s="6">
        <v>1.595</v>
      </c>
      <c r="N74" s="6">
        <v>1.5660000000000001</v>
      </c>
    </row>
    <row r="75" spans="1:14" hidden="1" x14ac:dyDescent="0.2">
      <c r="A75" s="6" t="str">
        <f t="shared" si="1"/>
        <v>AutónomaAlicanteComidaAdulto Sanitario</v>
      </c>
      <c r="B75" s="6" t="s">
        <v>2251</v>
      </c>
      <c r="C75" s="6" t="s">
        <v>1106</v>
      </c>
      <c r="D75" s="6" t="s">
        <v>1011</v>
      </c>
      <c r="E75" s="6" t="s">
        <v>1163</v>
      </c>
      <c r="G75" s="522">
        <v>2.67</v>
      </c>
      <c r="I75" s="11"/>
      <c r="L75" s="6">
        <v>0.99</v>
      </c>
      <c r="M75" s="6">
        <v>1.089</v>
      </c>
    </row>
    <row r="76" spans="1:14" hidden="1" x14ac:dyDescent="0.2">
      <c r="A76" s="6" t="str">
        <f t="shared" si="1"/>
        <v>AutónomaAlicanteComidaAlergias_Env</v>
      </c>
      <c r="B76" s="6" t="s">
        <v>2251</v>
      </c>
      <c r="C76" s="6" t="s">
        <v>1106</v>
      </c>
      <c r="D76" s="6" t="s">
        <v>1011</v>
      </c>
      <c r="E76" s="6" t="s">
        <v>1186</v>
      </c>
      <c r="G76" s="522">
        <v>0.96120000000000005</v>
      </c>
      <c r="I76" s="11"/>
      <c r="L76" s="6">
        <v>0.89</v>
      </c>
      <c r="M76" s="6">
        <v>0.97899999999999998</v>
      </c>
    </row>
    <row r="77" spans="1:14" hidden="1" x14ac:dyDescent="0.2">
      <c r="A77" s="6" t="str">
        <f t="shared" si="1"/>
        <v>AutónomaAlicanteComidaAlergias_Sin_Envasar</v>
      </c>
      <c r="B77" s="6" t="s">
        <v>2251</v>
      </c>
      <c r="C77" s="6" t="s">
        <v>1106</v>
      </c>
      <c r="D77" s="6" t="s">
        <v>1011</v>
      </c>
      <c r="E77" s="6" t="s">
        <v>2253</v>
      </c>
      <c r="G77" s="522">
        <v>0.87480000000000013</v>
      </c>
      <c r="I77" s="11"/>
      <c r="L77" s="6">
        <v>0.81</v>
      </c>
      <c r="M77" s="6">
        <v>0.89100000000000001</v>
      </c>
    </row>
    <row r="78" spans="1:14" hidden="1" x14ac:dyDescent="0.2">
      <c r="A78" s="6" t="str">
        <f t="shared" si="1"/>
        <v>AutónomaAlicanteComidaEscolar</v>
      </c>
      <c r="B78" s="6" t="s">
        <v>2251</v>
      </c>
      <c r="C78" s="6" t="s">
        <v>1106</v>
      </c>
      <c r="D78" s="6" t="s">
        <v>1011</v>
      </c>
      <c r="E78" s="6" t="s">
        <v>110</v>
      </c>
      <c r="G78" s="522">
        <v>1.1599999999999999</v>
      </c>
      <c r="I78" s="11"/>
      <c r="L78" s="6">
        <v>1.03</v>
      </c>
      <c r="M78" s="6">
        <v>1.133</v>
      </c>
      <c r="N78" s="6">
        <v>1.1124000000000001</v>
      </c>
    </row>
    <row r="79" spans="1:14" hidden="1" x14ac:dyDescent="0.2">
      <c r="A79" s="6" t="str">
        <f t="shared" si="1"/>
        <v>AutónomaAlicanteComidaGratuidades</v>
      </c>
      <c r="B79" s="6" t="s">
        <v>2251</v>
      </c>
      <c r="C79" s="6" t="s">
        <v>1106</v>
      </c>
      <c r="D79" s="6" t="s">
        <v>1011</v>
      </c>
      <c r="E79" s="6" t="s">
        <v>1255</v>
      </c>
      <c r="G79" s="522">
        <v>1.1599999999999999</v>
      </c>
      <c r="I79" s="11"/>
      <c r="L79" s="6">
        <v>0.86</v>
      </c>
      <c r="M79" s="6">
        <v>0.94599999999999995</v>
      </c>
    </row>
    <row r="80" spans="1:14" hidden="1" x14ac:dyDescent="0.2">
      <c r="A80" s="6" t="str">
        <f t="shared" si="1"/>
        <v>AutónomaAlicanteComidaInfantil</v>
      </c>
      <c r="B80" s="6" t="s">
        <v>2251</v>
      </c>
      <c r="C80" s="6" t="s">
        <v>1106</v>
      </c>
      <c r="D80" s="6" t="s">
        <v>1011</v>
      </c>
      <c r="E80" s="6" t="s">
        <v>1275</v>
      </c>
      <c r="G80" s="522">
        <v>0.94</v>
      </c>
      <c r="I80" s="11"/>
      <c r="L80" s="6">
        <v>0.81</v>
      </c>
      <c r="M80" s="6">
        <v>0.89100000000000001</v>
      </c>
    </row>
    <row r="81" spans="1:13" x14ac:dyDescent="0.2">
      <c r="A81" s="6" t="str">
        <f t="shared" si="1"/>
        <v>AutónomaAlicanteDesayunoAdulto</v>
      </c>
      <c r="B81" s="6" t="s">
        <v>2251</v>
      </c>
      <c r="C81" s="6" t="s">
        <v>1106</v>
      </c>
      <c r="D81" s="6" t="s">
        <v>1208</v>
      </c>
      <c r="E81" s="6" t="s">
        <v>1141</v>
      </c>
      <c r="G81" s="522">
        <v>0.72</v>
      </c>
      <c r="I81" s="11"/>
      <c r="L81" s="6">
        <v>0.44</v>
      </c>
      <c r="M81" s="6">
        <v>0.48399999999999999</v>
      </c>
    </row>
    <row r="82" spans="1:13" hidden="1" x14ac:dyDescent="0.2">
      <c r="A82" s="6" t="str">
        <f t="shared" si="1"/>
        <v>AutónomaAlicanteDesayunoAdulto Sanitario</v>
      </c>
      <c r="B82" s="6" t="s">
        <v>2251</v>
      </c>
      <c r="C82" s="6" t="s">
        <v>1106</v>
      </c>
      <c r="D82" s="6" t="s">
        <v>1208</v>
      </c>
      <c r="E82" s="6" t="s">
        <v>1163</v>
      </c>
      <c r="G82" s="522">
        <v>0.72</v>
      </c>
      <c r="I82" s="11"/>
      <c r="L82" s="6">
        <v>0.48</v>
      </c>
      <c r="M82" s="6">
        <v>0.52800000000000002</v>
      </c>
    </row>
    <row r="83" spans="1:13" hidden="1" x14ac:dyDescent="0.2">
      <c r="A83" s="6" t="str">
        <f t="shared" si="1"/>
        <v>AutónomaAlicanteDesayunoEscolar</v>
      </c>
      <c r="B83" s="6" t="s">
        <v>2251</v>
      </c>
      <c r="C83" s="6" t="s">
        <v>1106</v>
      </c>
      <c r="D83" s="6" t="s">
        <v>1208</v>
      </c>
      <c r="E83" s="6" t="s">
        <v>110</v>
      </c>
      <c r="G83" s="522">
        <v>0.47520000000000001</v>
      </c>
      <c r="I83" s="11"/>
      <c r="L83" s="6">
        <v>0.44</v>
      </c>
      <c r="M83" s="6" t="s">
        <v>318</v>
      </c>
    </row>
    <row r="84" spans="1:13" hidden="1" x14ac:dyDescent="0.2">
      <c r="A84" s="6" t="str">
        <f t="shared" si="1"/>
        <v>AutónomaAlicanteDesayunoInfantil</v>
      </c>
      <c r="B84" s="6" t="s">
        <v>2251</v>
      </c>
      <c r="C84" s="6" t="s">
        <v>1106</v>
      </c>
      <c r="D84" s="6" t="s">
        <v>1208</v>
      </c>
      <c r="E84" s="6" t="s">
        <v>1275</v>
      </c>
      <c r="G84" s="522">
        <v>0.47520000000000001</v>
      </c>
      <c r="I84" s="11"/>
      <c r="L84" s="6">
        <v>0.44</v>
      </c>
      <c r="M84" s="6" t="s">
        <v>318</v>
      </c>
    </row>
    <row r="85" spans="1:13" x14ac:dyDescent="0.2">
      <c r="A85" s="6" t="str">
        <f t="shared" si="1"/>
        <v>AutónomaAlicanteMeriendaAdulto</v>
      </c>
      <c r="B85" s="6" t="s">
        <v>2251</v>
      </c>
      <c r="C85" s="6" t="s">
        <v>1106</v>
      </c>
      <c r="D85" s="6" t="s">
        <v>1012</v>
      </c>
      <c r="E85" s="6" t="s">
        <v>1141</v>
      </c>
      <c r="G85" s="522">
        <v>0.81</v>
      </c>
      <c r="I85" s="11"/>
      <c r="L85" s="6">
        <v>0.75</v>
      </c>
      <c r="M85" s="6">
        <v>0.82499999999999996</v>
      </c>
    </row>
    <row r="86" spans="1:13" hidden="1" x14ac:dyDescent="0.2">
      <c r="A86" s="6" t="str">
        <f t="shared" si="1"/>
        <v>AutónomaAlicanteMeriendaAdulto Sanitario</v>
      </c>
      <c r="B86" s="6" t="s">
        <v>2251</v>
      </c>
      <c r="C86" s="6" t="s">
        <v>1106</v>
      </c>
      <c r="D86" s="6" t="s">
        <v>1012</v>
      </c>
      <c r="E86" s="6" t="s">
        <v>1163</v>
      </c>
      <c r="G86" s="522">
        <v>0.82</v>
      </c>
      <c r="I86" s="11"/>
      <c r="L86" s="6">
        <v>0.19</v>
      </c>
      <c r="M86" s="6">
        <v>0.20900000000000002</v>
      </c>
    </row>
    <row r="87" spans="1:13" hidden="1" x14ac:dyDescent="0.2">
      <c r="A87" s="6" t="str">
        <f t="shared" si="1"/>
        <v>AutónomaAlicanteMeriendaEscolar</v>
      </c>
      <c r="B87" s="6" t="s">
        <v>2251</v>
      </c>
      <c r="C87" s="6" t="s">
        <v>1106</v>
      </c>
      <c r="D87" s="6" t="s">
        <v>1012</v>
      </c>
      <c r="E87" s="6" t="s">
        <v>110</v>
      </c>
      <c r="G87" s="522">
        <v>0.6</v>
      </c>
      <c r="I87" s="11"/>
      <c r="L87" s="6" t="s">
        <v>2252</v>
      </c>
      <c r="M87" s="6" t="s">
        <v>318</v>
      </c>
    </row>
    <row r="88" spans="1:13" hidden="1" x14ac:dyDescent="0.2">
      <c r="A88" s="6" t="str">
        <f t="shared" si="1"/>
        <v>AutónomaAlicanteMeriendaInfantil</v>
      </c>
      <c r="B88" s="6" t="s">
        <v>2251</v>
      </c>
      <c r="C88" s="6" t="s">
        <v>1106</v>
      </c>
      <c r="D88" s="6" t="s">
        <v>1012</v>
      </c>
      <c r="E88" s="6" t="s">
        <v>1275</v>
      </c>
      <c r="G88" s="522">
        <v>0.5</v>
      </c>
      <c r="I88" s="11"/>
      <c r="L88" s="6" t="s">
        <v>2252</v>
      </c>
      <c r="M88" s="6" t="s">
        <v>318</v>
      </c>
    </row>
    <row r="89" spans="1:13" hidden="1" x14ac:dyDescent="0.2">
      <c r="A89" s="6" t="str">
        <f t="shared" si="1"/>
        <v>AutónomaAndaluciaAlmuerzoAdulto Sanitario</v>
      </c>
      <c r="B89" s="6" t="s">
        <v>2251</v>
      </c>
      <c r="C89" s="6" t="s">
        <v>2249</v>
      </c>
      <c r="D89" s="6" t="s">
        <v>1010</v>
      </c>
      <c r="E89" s="6" t="s">
        <v>1163</v>
      </c>
      <c r="G89" s="522">
        <v>0.51839999999999997</v>
      </c>
      <c r="I89" s="11"/>
      <c r="L89" s="6">
        <v>0.48</v>
      </c>
      <c r="M89" s="6">
        <v>0.52800000000000002</v>
      </c>
    </row>
    <row r="90" spans="1:13" hidden="1" x14ac:dyDescent="0.2">
      <c r="A90" s="6" t="str">
        <f t="shared" si="1"/>
        <v>AutónomaAndaluciaCenaAdulto Sanitario</v>
      </c>
      <c r="B90" s="6" t="s">
        <v>2251</v>
      </c>
      <c r="C90" s="6" t="s">
        <v>2249</v>
      </c>
      <c r="D90" s="6" t="s">
        <v>1162</v>
      </c>
      <c r="E90" s="6" t="s">
        <v>1163</v>
      </c>
      <c r="G90" s="522">
        <v>0.8640000000000001</v>
      </c>
      <c r="I90" s="11"/>
      <c r="L90" s="6">
        <v>0.8</v>
      </c>
      <c r="M90" s="6">
        <v>0.88000000000000012</v>
      </c>
    </row>
    <row r="91" spans="1:13" hidden="1" x14ac:dyDescent="0.2">
      <c r="A91" s="6" t="str">
        <f t="shared" si="1"/>
        <v>AutónomaAndaluciaComidaAdulto Sanitario</v>
      </c>
      <c r="B91" s="6" t="s">
        <v>2251</v>
      </c>
      <c r="C91" s="6" t="s">
        <v>2249</v>
      </c>
      <c r="D91" s="6" t="s">
        <v>1011</v>
      </c>
      <c r="E91" s="6" t="s">
        <v>1163</v>
      </c>
      <c r="G91" s="522">
        <v>2.2000000000000002</v>
      </c>
      <c r="I91" s="11"/>
      <c r="L91" s="6">
        <v>0.99</v>
      </c>
      <c r="M91" s="6">
        <v>1.089</v>
      </c>
    </row>
    <row r="92" spans="1:13" hidden="1" x14ac:dyDescent="0.2">
      <c r="A92" s="6" t="str">
        <f t="shared" si="1"/>
        <v>AutónomaAndaluciaDesayunoAdulto Sanitario</v>
      </c>
      <c r="B92" s="6" t="s">
        <v>2251</v>
      </c>
      <c r="C92" s="6" t="s">
        <v>2249</v>
      </c>
      <c r="D92" s="6" t="s">
        <v>1208</v>
      </c>
      <c r="E92" s="6" t="s">
        <v>1163</v>
      </c>
      <c r="G92" s="522">
        <v>0.72</v>
      </c>
      <c r="I92" s="11"/>
      <c r="L92" s="6">
        <v>0.48</v>
      </c>
      <c r="M92" s="6">
        <v>0.52800000000000002</v>
      </c>
    </row>
    <row r="93" spans="1:13" hidden="1" x14ac:dyDescent="0.2">
      <c r="A93" s="6" t="str">
        <f t="shared" si="1"/>
        <v>AutónomaAndaluciaMeriendaAdulto Sanitario</v>
      </c>
      <c r="B93" s="6" t="s">
        <v>2251</v>
      </c>
      <c r="C93" s="6" t="s">
        <v>2249</v>
      </c>
      <c r="D93" s="6" t="s">
        <v>1012</v>
      </c>
      <c r="E93" s="6" t="s">
        <v>1163</v>
      </c>
      <c r="G93" s="522">
        <v>0.82499999999999996</v>
      </c>
      <c r="I93" s="11"/>
      <c r="L93" s="6">
        <v>0.19</v>
      </c>
      <c r="M93" s="6">
        <v>0.20900000000000002</v>
      </c>
    </row>
    <row r="94" spans="1:13" x14ac:dyDescent="0.2">
      <c r="A94" s="6" t="str">
        <f t="shared" si="1"/>
        <v>AutónomaCastellónAlmuerzoAdulto</v>
      </c>
      <c r="B94" s="6" t="s">
        <v>2251</v>
      </c>
      <c r="C94" s="6" t="s">
        <v>2250</v>
      </c>
      <c r="D94" s="6" t="s">
        <v>1010</v>
      </c>
      <c r="E94" s="6" t="s">
        <v>1141</v>
      </c>
      <c r="G94" s="522">
        <v>0.82</v>
      </c>
      <c r="I94" s="11"/>
      <c r="L94" s="6">
        <v>0.44</v>
      </c>
      <c r="M94" s="6">
        <v>0.48399999999999999</v>
      </c>
    </row>
    <row r="95" spans="1:13" hidden="1" x14ac:dyDescent="0.2">
      <c r="A95" s="6" t="str">
        <f t="shared" si="1"/>
        <v>AutónomaCastellónAlmuerzoAdulto Sanitario</v>
      </c>
      <c r="B95" s="6" t="s">
        <v>2251</v>
      </c>
      <c r="C95" s="6" t="s">
        <v>2250</v>
      </c>
      <c r="D95" s="6" t="s">
        <v>1010</v>
      </c>
      <c r="E95" s="6" t="s">
        <v>1163</v>
      </c>
      <c r="G95" s="522">
        <v>0.51839999999999997</v>
      </c>
      <c r="I95" s="11"/>
      <c r="L95" s="6">
        <v>0.48</v>
      </c>
      <c r="M95" s="6">
        <v>0.52800000000000002</v>
      </c>
    </row>
    <row r="96" spans="1:13" hidden="1" x14ac:dyDescent="0.2">
      <c r="A96" s="6" t="str">
        <f t="shared" si="1"/>
        <v>AutónomaCastellonAlmuerzoEscolar</v>
      </c>
      <c r="B96" s="6" t="s">
        <v>2251</v>
      </c>
      <c r="C96" s="6" t="s">
        <v>1107</v>
      </c>
      <c r="D96" s="6" t="s">
        <v>1010</v>
      </c>
      <c r="E96" s="6" t="s">
        <v>110</v>
      </c>
      <c r="G96" s="522">
        <v>0.6</v>
      </c>
      <c r="I96" s="11"/>
      <c r="L96" s="6" t="s">
        <v>2252</v>
      </c>
      <c r="M96" s="6" t="s">
        <v>318</v>
      </c>
    </row>
    <row r="97" spans="1:13" hidden="1" x14ac:dyDescent="0.2">
      <c r="A97" s="6" t="str">
        <f t="shared" si="1"/>
        <v>AutónomaCastellónAlmuerzoInfantil</v>
      </c>
      <c r="B97" s="6" t="s">
        <v>2251</v>
      </c>
      <c r="C97" s="6" t="s">
        <v>2250</v>
      </c>
      <c r="D97" s="6" t="s">
        <v>1010</v>
      </c>
      <c r="E97" s="6" t="s">
        <v>1275</v>
      </c>
      <c r="G97" s="522">
        <v>0.5</v>
      </c>
      <c r="I97" s="11"/>
      <c r="L97" s="6" t="s">
        <v>2252</v>
      </c>
      <c r="M97" s="6" t="s">
        <v>318</v>
      </c>
    </row>
    <row r="98" spans="1:13" x14ac:dyDescent="0.2">
      <c r="A98" s="6" t="str">
        <f t="shared" si="1"/>
        <v>AutónomaCastellónCenaAdulto</v>
      </c>
      <c r="B98" s="6" t="s">
        <v>2251</v>
      </c>
      <c r="C98" s="6" t="s">
        <v>2250</v>
      </c>
      <c r="D98" s="6" t="s">
        <v>1162</v>
      </c>
      <c r="E98" s="6" t="s">
        <v>1141</v>
      </c>
      <c r="G98" s="522">
        <v>1.3392000000000002</v>
      </c>
      <c r="I98" s="11"/>
      <c r="L98" s="6">
        <v>1.24</v>
      </c>
      <c r="M98" s="6">
        <v>1.3639999999999999</v>
      </c>
    </row>
    <row r="99" spans="1:13" hidden="1" x14ac:dyDescent="0.2">
      <c r="A99" s="6" t="str">
        <f t="shared" si="1"/>
        <v>AutónomaCastellónCenaAdulto Sanitario</v>
      </c>
      <c r="B99" s="6" t="s">
        <v>2251</v>
      </c>
      <c r="C99" s="6" t="s">
        <v>2250</v>
      </c>
      <c r="D99" s="6" t="s">
        <v>1162</v>
      </c>
      <c r="E99" s="6" t="s">
        <v>1163</v>
      </c>
      <c r="G99" s="522">
        <v>0.8640000000000001</v>
      </c>
      <c r="I99" s="11"/>
      <c r="L99" s="6">
        <v>0.8</v>
      </c>
      <c r="M99" s="6">
        <v>0.88000000000000012</v>
      </c>
    </row>
    <row r="100" spans="1:13" hidden="1" x14ac:dyDescent="0.2">
      <c r="A100" s="6" t="str">
        <f t="shared" si="1"/>
        <v>AutónomaCastellonCenaEscolar</v>
      </c>
      <c r="B100" s="6" t="s">
        <v>2251</v>
      </c>
      <c r="C100" s="6" t="s">
        <v>1107</v>
      </c>
      <c r="D100" s="6" t="s">
        <v>1162</v>
      </c>
      <c r="E100" s="6" t="s">
        <v>110</v>
      </c>
      <c r="G100" s="522">
        <v>0.44</v>
      </c>
      <c r="I100" s="11"/>
      <c r="L100" s="6" t="s">
        <v>2252</v>
      </c>
      <c r="M100" s="6" t="s">
        <v>318</v>
      </c>
    </row>
    <row r="101" spans="1:13" hidden="1" x14ac:dyDescent="0.2">
      <c r="A101" s="6" t="str">
        <f t="shared" si="1"/>
        <v>AutónomaCastellónCenaInfantil</v>
      </c>
      <c r="B101" s="6" t="s">
        <v>2251</v>
      </c>
      <c r="C101" s="6" t="s">
        <v>2250</v>
      </c>
      <c r="D101" s="6" t="s">
        <v>1162</v>
      </c>
      <c r="E101" s="6" t="s">
        <v>1275</v>
      </c>
      <c r="G101" s="522">
        <v>0.44</v>
      </c>
      <c r="I101" s="11"/>
      <c r="L101" s="6" t="s">
        <v>2252</v>
      </c>
      <c r="M101" s="6" t="s">
        <v>318</v>
      </c>
    </row>
    <row r="102" spans="1:13" x14ac:dyDescent="0.2">
      <c r="A102" s="6" t="str">
        <f t="shared" si="1"/>
        <v>AutónomaCastellónComidaAdulto</v>
      </c>
      <c r="B102" s="6" t="s">
        <v>2251</v>
      </c>
      <c r="C102" s="6" t="s">
        <v>2250</v>
      </c>
      <c r="D102" s="6" t="s">
        <v>1011</v>
      </c>
      <c r="E102" s="6" t="s">
        <v>1141</v>
      </c>
      <c r="G102" s="522" t="str">
        <f ca="1">IFERROR((Presupuesto_Final2!$D$3/Presupuesto_Final2!$L$4)*0.45,"datos")</f>
        <v>datos</v>
      </c>
      <c r="I102" s="11"/>
      <c r="L102" s="6">
        <v>1.45</v>
      </c>
      <c r="M102" s="6">
        <v>1.595</v>
      </c>
    </row>
    <row r="103" spans="1:13" hidden="1" x14ac:dyDescent="0.2">
      <c r="A103" s="6" t="str">
        <f t="shared" si="1"/>
        <v>AutónomaCastellónComidaAdulto Sanitario</v>
      </c>
      <c r="B103" s="6" t="s">
        <v>2251</v>
      </c>
      <c r="C103" s="6" t="s">
        <v>2250</v>
      </c>
      <c r="D103" s="6" t="s">
        <v>1011</v>
      </c>
      <c r="E103" s="6" t="s">
        <v>1163</v>
      </c>
      <c r="G103" s="522">
        <v>2.67</v>
      </c>
      <c r="I103" s="11"/>
      <c r="L103" s="6">
        <v>0.99</v>
      </c>
      <c r="M103" s="6">
        <v>1.089</v>
      </c>
    </row>
    <row r="104" spans="1:13" hidden="1" x14ac:dyDescent="0.2">
      <c r="A104" s="6" t="str">
        <f t="shared" si="1"/>
        <v>AutónomaCastellónComidaAlergias_Env</v>
      </c>
      <c r="B104" s="6" t="s">
        <v>2251</v>
      </c>
      <c r="C104" s="6" t="s">
        <v>2250</v>
      </c>
      <c r="D104" s="6" t="s">
        <v>1011</v>
      </c>
      <c r="E104" s="6" t="s">
        <v>1186</v>
      </c>
      <c r="G104" s="522">
        <v>1.19</v>
      </c>
      <c r="I104" s="11"/>
      <c r="L104" s="6">
        <v>0.85</v>
      </c>
      <c r="M104" s="6">
        <v>0.93499999999999994</v>
      </c>
    </row>
    <row r="105" spans="1:13" hidden="1" x14ac:dyDescent="0.2">
      <c r="A105" s="6" t="str">
        <f t="shared" si="1"/>
        <v>AutónomaCastellónComidaAlergias_Sin_Envasar</v>
      </c>
      <c r="B105" s="6" t="s">
        <v>2251</v>
      </c>
      <c r="C105" s="6" t="s">
        <v>2250</v>
      </c>
      <c r="D105" s="6" t="s">
        <v>1011</v>
      </c>
      <c r="E105" s="6" t="s">
        <v>2253</v>
      </c>
      <c r="G105" s="522">
        <v>1.19</v>
      </c>
      <c r="I105" s="11"/>
      <c r="L105" s="6">
        <v>0.77</v>
      </c>
      <c r="M105" s="6">
        <v>0.84699999999999998</v>
      </c>
    </row>
    <row r="106" spans="1:13" hidden="1" x14ac:dyDescent="0.2">
      <c r="A106" s="6" t="str">
        <f t="shared" si="1"/>
        <v>AutónomaCastellonComidaEscolar</v>
      </c>
      <c r="B106" s="6" t="s">
        <v>2251</v>
      </c>
      <c r="C106" s="6" t="s">
        <v>1107</v>
      </c>
      <c r="D106" s="6" t="s">
        <v>1011</v>
      </c>
      <c r="E106" s="6" t="s">
        <v>110</v>
      </c>
      <c r="G106" s="522">
        <v>1.19</v>
      </c>
      <c r="I106" s="11"/>
      <c r="L106" s="6">
        <v>0.99</v>
      </c>
      <c r="M106" s="6">
        <v>1.089</v>
      </c>
    </row>
    <row r="107" spans="1:13" hidden="1" x14ac:dyDescent="0.2">
      <c r="A107" s="6" t="str">
        <f t="shared" si="1"/>
        <v>AutónomaCastellónComidaGratuidades</v>
      </c>
      <c r="B107" s="6" t="s">
        <v>2251</v>
      </c>
      <c r="C107" s="6" t="s">
        <v>2250</v>
      </c>
      <c r="D107" s="6" t="s">
        <v>1011</v>
      </c>
      <c r="E107" s="6" t="s">
        <v>1255</v>
      </c>
      <c r="G107" s="522">
        <v>1.19</v>
      </c>
      <c r="I107" s="11"/>
      <c r="L107" s="6">
        <v>0.83</v>
      </c>
      <c r="M107" s="6">
        <v>0.91299999999999992</v>
      </c>
    </row>
    <row r="108" spans="1:13" hidden="1" x14ac:dyDescent="0.2">
      <c r="A108" s="6" t="str">
        <f t="shared" si="1"/>
        <v>AutónomaCastellónComidaInfantil</v>
      </c>
      <c r="B108" s="6" t="s">
        <v>2251</v>
      </c>
      <c r="C108" s="6" t="s">
        <v>2250</v>
      </c>
      <c r="D108" s="6" t="s">
        <v>1011</v>
      </c>
      <c r="E108" s="6" t="s">
        <v>1275</v>
      </c>
      <c r="G108" s="522">
        <v>0.94</v>
      </c>
      <c r="I108" s="11"/>
      <c r="L108" s="6">
        <v>0.77</v>
      </c>
      <c r="M108" s="6">
        <v>0.84699999999999998</v>
      </c>
    </row>
    <row r="109" spans="1:13" x14ac:dyDescent="0.2">
      <c r="A109" s="6" t="str">
        <f t="shared" si="1"/>
        <v>AutónomaCastellónDesayunoAdulto</v>
      </c>
      <c r="B109" s="6" t="s">
        <v>2251</v>
      </c>
      <c r="C109" s="6" t="s">
        <v>2250</v>
      </c>
      <c r="D109" s="6" t="s">
        <v>1208</v>
      </c>
      <c r="E109" s="6" t="s">
        <v>1141</v>
      </c>
      <c r="G109" s="522">
        <v>0.72</v>
      </c>
      <c r="I109" s="11"/>
      <c r="L109" s="6">
        <v>0.44</v>
      </c>
      <c r="M109" s="6">
        <v>0.48399999999999999</v>
      </c>
    </row>
    <row r="110" spans="1:13" hidden="1" x14ac:dyDescent="0.2">
      <c r="A110" s="6" t="str">
        <f t="shared" si="1"/>
        <v>AutónomaCastellónDesayunoAdulto Sanitario</v>
      </c>
      <c r="B110" s="6" t="s">
        <v>2251</v>
      </c>
      <c r="C110" s="6" t="s">
        <v>2250</v>
      </c>
      <c r="D110" s="6" t="s">
        <v>1208</v>
      </c>
      <c r="E110" s="6" t="s">
        <v>1163</v>
      </c>
      <c r="G110" s="522">
        <v>0.72</v>
      </c>
      <c r="I110" s="11"/>
      <c r="L110" s="6">
        <v>0.48</v>
      </c>
      <c r="M110" s="6">
        <v>0.52800000000000002</v>
      </c>
    </row>
    <row r="111" spans="1:13" hidden="1" x14ac:dyDescent="0.2">
      <c r="A111" s="6" t="str">
        <f t="shared" si="1"/>
        <v>AutónomaCastellonDesayunoEscolar</v>
      </c>
      <c r="B111" s="6" t="s">
        <v>2251</v>
      </c>
      <c r="C111" s="6" t="s">
        <v>1107</v>
      </c>
      <c r="D111" s="6" t="s">
        <v>1208</v>
      </c>
      <c r="E111" s="6" t="s">
        <v>110</v>
      </c>
      <c r="G111" s="522">
        <v>0.47520000000000001</v>
      </c>
      <c r="I111" s="11"/>
      <c r="L111" s="6">
        <v>0.44</v>
      </c>
      <c r="M111" s="6" t="s">
        <v>318</v>
      </c>
    </row>
    <row r="112" spans="1:13" hidden="1" x14ac:dyDescent="0.2">
      <c r="A112" s="6" t="str">
        <f t="shared" si="1"/>
        <v>AutónomaCastellónDesayunoInfantil</v>
      </c>
      <c r="B112" s="6" t="s">
        <v>2251</v>
      </c>
      <c r="C112" s="6" t="s">
        <v>2250</v>
      </c>
      <c r="D112" s="6" t="s">
        <v>1208</v>
      </c>
      <c r="E112" s="6" t="s">
        <v>1275</v>
      </c>
      <c r="G112" s="522">
        <v>0.47520000000000001</v>
      </c>
      <c r="I112" s="11"/>
      <c r="L112" s="6">
        <v>0.44</v>
      </c>
      <c r="M112" s="6" t="s">
        <v>318</v>
      </c>
    </row>
    <row r="113" spans="1:15" x14ac:dyDescent="0.2">
      <c r="A113" s="6" t="str">
        <f t="shared" si="1"/>
        <v>AutónomaCastellónMeriendaAdulto</v>
      </c>
      <c r="B113" s="6" t="s">
        <v>2251</v>
      </c>
      <c r="C113" s="6" t="s">
        <v>2250</v>
      </c>
      <c r="D113" s="6" t="s">
        <v>1012</v>
      </c>
      <c r="E113" s="6" t="s">
        <v>1141</v>
      </c>
      <c r="G113" s="522">
        <v>0.81</v>
      </c>
      <c r="I113" s="11"/>
      <c r="L113" s="6">
        <v>0.75</v>
      </c>
      <c r="M113" s="6">
        <v>0.82499999999999996</v>
      </c>
    </row>
    <row r="114" spans="1:15" hidden="1" x14ac:dyDescent="0.2">
      <c r="A114" s="6" t="str">
        <f t="shared" si="1"/>
        <v>AutónomaCastellónMeriendaAdulto Sanitario</v>
      </c>
      <c r="B114" s="6" t="s">
        <v>2251</v>
      </c>
      <c r="C114" s="6" t="s">
        <v>2250</v>
      </c>
      <c r="D114" s="6" t="s">
        <v>1012</v>
      </c>
      <c r="E114" s="6" t="s">
        <v>1163</v>
      </c>
      <c r="G114" s="522">
        <v>0.82499999999999996</v>
      </c>
      <c r="I114" s="11"/>
      <c r="L114" s="6">
        <v>0.19</v>
      </c>
      <c r="M114" s="6">
        <v>0.20900000000000002</v>
      </c>
    </row>
    <row r="115" spans="1:15" hidden="1" x14ac:dyDescent="0.2">
      <c r="A115" s="6" t="str">
        <f t="shared" si="1"/>
        <v>AutónomaCastellonMeriendaEscolar</v>
      </c>
      <c r="B115" s="6" t="s">
        <v>2251</v>
      </c>
      <c r="C115" s="6" t="s">
        <v>1107</v>
      </c>
      <c r="D115" s="6" t="s">
        <v>1012</v>
      </c>
      <c r="E115" s="6" t="s">
        <v>110</v>
      </c>
      <c r="G115" s="522">
        <v>0.6</v>
      </c>
      <c r="I115" s="11"/>
      <c r="L115" s="6" t="s">
        <v>2252</v>
      </c>
      <c r="M115" s="6" t="s">
        <v>318</v>
      </c>
    </row>
    <row r="116" spans="1:15" hidden="1" x14ac:dyDescent="0.2">
      <c r="A116" s="6" t="str">
        <f t="shared" si="1"/>
        <v>AutónomaCastellónMeriendaInfantil</v>
      </c>
      <c r="B116" s="6" t="s">
        <v>2251</v>
      </c>
      <c r="C116" s="6" t="s">
        <v>2250</v>
      </c>
      <c r="D116" s="6" t="s">
        <v>1012</v>
      </c>
      <c r="E116" s="6" t="s">
        <v>1275</v>
      </c>
      <c r="G116" s="522">
        <v>0.5</v>
      </c>
      <c r="I116" s="11"/>
      <c r="L116" s="6" t="s">
        <v>2252</v>
      </c>
      <c r="M116" s="6" t="s">
        <v>318</v>
      </c>
    </row>
    <row r="117" spans="1:15" x14ac:dyDescent="0.2">
      <c r="A117" s="6" t="str">
        <f t="shared" si="1"/>
        <v>AutónomaCórdobaAlmuerzoAdulto</v>
      </c>
      <c r="B117" s="6" t="s">
        <v>2251</v>
      </c>
      <c r="C117" s="6" t="s">
        <v>1187</v>
      </c>
      <c r="D117" s="6" t="s">
        <v>1010</v>
      </c>
      <c r="E117" s="6" t="s">
        <v>1141</v>
      </c>
      <c r="G117" s="522">
        <v>0.82</v>
      </c>
      <c r="I117" s="11"/>
      <c r="L117" s="6">
        <v>0.44</v>
      </c>
      <c r="M117" s="6">
        <v>0.48399999999999999</v>
      </c>
    </row>
    <row r="118" spans="1:15" hidden="1" x14ac:dyDescent="0.2">
      <c r="A118" s="6" t="str">
        <f t="shared" si="1"/>
        <v>AutónomaCórdobaAlmuerzoEscolar</v>
      </c>
      <c r="B118" s="6" t="s">
        <v>2251</v>
      </c>
      <c r="C118" s="6" t="s">
        <v>1187</v>
      </c>
      <c r="D118" s="6" t="s">
        <v>1010</v>
      </c>
      <c r="E118" s="6" t="s">
        <v>110</v>
      </c>
      <c r="G118" s="522">
        <v>0.43200000000000005</v>
      </c>
      <c r="I118" s="11"/>
      <c r="L118" s="6">
        <v>0.4</v>
      </c>
      <c r="M118" s="6">
        <v>0.44000000000000006</v>
      </c>
    </row>
    <row r="119" spans="1:15" hidden="1" x14ac:dyDescent="0.2">
      <c r="A119" s="6" t="str">
        <f t="shared" si="1"/>
        <v>AutónomaCórdobaAlmuerzoInfantil</v>
      </c>
      <c r="B119" s="6" t="s">
        <v>2251</v>
      </c>
      <c r="C119" s="6" t="s">
        <v>1187</v>
      </c>
      <c r="D119" s="6" t="s">
        <v>1010</v>
      </c>
      <c r="E119" s="6" t="s">
        <v>1275</v>
      </c>
      <c r="G119" s="522">
        <v>0.43200000000000005</v>
      </c>
      <c r="I119" s="11"/>
      <c r="L119" s="6">
        <v>0.4</v>
      </c>
      <c r="M119" s="6">
        <v>0.44000000000000006</v>
      </c>
    </row>
    <row r="120" spans="1:15" x14ac:dyDescent="0.2">
      <c r="A120" s="6" t="str">
        <f t="shared" si="1"/>
        <v>AutónomaCórdobaCenaAdulto</v>
      </c>
      <c r="B120" s="6" t="s">
        <v>2251</v>
      </c>
      <c r="C120" s="6" t="s">
        <v>1187</v>
      </c>
      <c r="D120" s="6" t="s">
        <v>1162</v>
      </c>
      <c r="E120" s="6" t="s">
        <v>1141</v>
      </c>
      <c r="G120" s="522">
        <v>1.3392000000000002</v>
      </c>
      <c r="I120" s="11"/>
      <c r="L120" s="6">
        <v>1.24</v>
      </c>
      <c r="M120" s="6">
        <v>1.3639999999999999</v>
      </c>
    </row>
    <row r="121" spans="1:15" hidden="1" x14ac:dyDescent="0.2">
      <c r="A121" s="6" t="str">
        <f t="shared" si="1"/>
        <v>AutónomaCórdobaCenaEscolar</v>
      </c>
      <c r="B121" s="6" t="s">
        <v>2251</v>
      </c>
      <c r="C121" s="6" t="s">
        <v>1187</v>
      </c>
      <c r="D121" s="6" t="s">
        <v>1162</v>
      </c>
      <c r="E121" s="6" t="s">
        <v>110</v>
      </c>
      <c r="G121" s="522">
        <v>1.1880000000000002</v>
      </c>
      <c r="I121" s="11"/>
      <c r="L121" s="6">
        <v>1.1000000000000001</v>
      </c>
      <c r="M121" s="6">
        <v>1.2100000000000002</v>
      </c>
    </row>
    <row r="122" spans="1:15" hidden="1" x14ac:dyDescent="0.2">
      <c r="A122" s="6" t="str">
        <f t="shared" si="1"/>
        <v>AutónomaCórdobaCenaInfantil</v>
      </c>
      <c r="B122" s="6" t="s">
        <v>2251</v>
      </c>
      <c r="C122" s="6" t="s">
        <v>1187</v>
      </c>
      <c r="D122" s="6" t="s">
        <v>1162</v>
      </c>
      <c r="E122" s="6" t="s">
        <v>1275</v>
      </c>
      <c r="G122" s="522">
        <v>1.1880000000000002</v>
      </c>
      <c r="I122" s="11"/>
      <c r="L122" s="6">
        <v>1.1000000000000001</v>
      </c>
      <c r="M122" s="6">
        <v>1.2100000000000002</v>
      </c>
    </row>
    <row r="123" spans="1:15" x14ac:dyDescent="0.2">
      <c r="A123" s="6" t="str">
        <f t="shared" si="1"/>
        <v>AutónomaCórdobaComidaAdulto</v>
      </c>
      <c r="B123" s="6" t="s">
        <v>2251</v>
      </c>
      <c r="C123" s="6" t="s">
        <v>1187</v>
      </c>
      <c r="D123" s="6" t="s">
        <v>1011</v>
      </c>
      <c r="E123" s="6" t="s">
        <v>1141</v>
      </c>
      <c r="G123" s="522" t="str">
        <f ca="1">IFERROR((Presupuesto_Final2!$D$3/Presupuesto_Final2!$L$4)*0.45,"datos")</f>
        <v>datos</v>
      </c>
      <c r="I123" s="11"/>
      <c r="L123" s="6">
        <v>1.45</v>
      </c>
      <c r="M123" s="6">
        <v>1.595</v>
      </c>
      <c r="N123" s="114">
        <v>1.5660000000000001</v>
      </c>
    </row>
    <row r="124" spans="1:15" hidden="1" x14ac:dyDescent="0.2">
      <c r="A124" s="6" t="str">
        <f t="shared" si="1"/>
        <v>AutónomaCórdobaComidaAlergias_Env</v>
      </c>
      <c r="B124" s="6" t="s">
        <v>2251</v>
      </c>
      <c r="C124" s="6" t="s">
        <v>1187</v>
      </c>
      <c r="D124" s="6" t="s">
        <v>1011</v>
      </c>
      <c r="E124" s="6" t="s">
        <v>1186</v>
      </c>
      <c r="G124" s="522">
        <v>1.3</v>
      </c>
      <c r="I124" s="11"/>
      <c r="L124" s="6" t="s">
        <v>2252</v>
      </c>
      <c r="M124" s="6" t="s">
        <v>318</v>
      </c>
      <c r="O124" s="6">
        <v>1.2203999999999999</v>
      </c>
    </row>
    <row r="125" spans="1:15" hidden="1" x14ac:dyDescent="0.2">
      <c r="A125" s="6" t="str">
        <f t="shared" si="1"/>
        <v>AutónomaCórdobaComidaAlergias_Sin_Envasar</v>
      </c>
      <c r="B125" s="6" t="s">
        <v>2251</v>
      </c>
      <c r="C125" s="6" t="s">
        <v>1187</v>
      </c>
      <c r="D125" s="6" t="s">
        <v>1011</v>
      </c>
      <c r="E125" s="6" t="s">
        <v>2253</v>
      </c>
      <c r="G125" s="522">
        <v>1.3</v>
      </c>
      <c r="I125" s="11"/>
      <c r="L125" s="6" t="s">
        <v>2252</v>
      </c>
      <c r="M125" s="6" t="s">
        <v>318</v>
      </c>
      <c r="O125" s="6">
        <v>1.58</v>
      </c>
    </row>
    <row r="126" spans="1:15" hidden="1" x14ac:dyDescent="0.2">
      <c r="A126" s="6" t="str">
        <f t="shared" si="1"/>
        <v>AutónomaCórdobaComidaEscolar</v>
      </c>
      <c r="B126" s="6" t="s">
        <v>2251</v>
      </c>
      <c r="C126" s="6" t="s">
        <v>1187</v>
      </c>
      <c r="D126" s="6" t="s">
        <v>1011</v>
      </c>
      <c r="E126" s="6" t="s">
        <v>110</v>
      </c>
      <c r="G126" s="523">
        <v>1.19</v>
      </c>
      <c r="I126" s="11"/>
      <c r="L126" s="6">
        <v>1.1299999999999999</v>
      </c>
      <c r="M126" s="6">
        <v>1.2429999999999999</v>
      </c>
      <c r="N126" s="114">
        <v>1.22</v>
      </c>
    </row>
    <row r="127" spans="1:15" hidden="1" x14ac:dyDescent="0.2">
      <c r="A127" s="6" t="str">
        <f t="shared" si="1"/>
        <v>AutónomaCórdobaComidaGratuidades</v>
      </c>
      <c r="B127" s="6" t="s">
        <v>2251</v>
      </c>
      <c r="C127" s="6" t="s">
        <v>1187</v>
      </c>
      <c r="D127" s="6" t="s">
        <v>1011</v>
      </c>
      <c r="E127" s="6" t="s">
        <v>1255</v>
      </c>
      <c r="G127" s="522">
        <v>1.0692000000000002</v>
      </c>
      <c r="I127" s="11"/>
      <c r="L127" s="6">
        <v>0.99</v>
      </c>
      <c r="M127" s="6">
        <v>1.089</v>
      </c>
      <c r="O127" s="6">
        <v>1.2203999999999999</v>
      </c>
    </row>
    <row r="128" spans="1:15" hidden="1" x14ac:dyDescent="0.2">
      <c r="A128" s="6" t="str">
        <f t="shared" si="1"/>
        <v>AutónomaCórdobaComidaInfantil</v>
      </c>
      <c r="B128" s="6" t="s">
        <v>2251</v>
      </c>
      <c r="C128" s="6" t="s">
        <v>1187</v>
      </c>
      <c r="D128" s="6" t="s">
        <v>1011</v>
      </c>
      <c r="E128" s="6" t="s">
        <v>1275</v>
      </c>
      <c r="G128" s="522">
        <v>1.0692000000000002</v>
      </c>
      <c r="I128" s="11"/>
      <c r="L128" s="6">
        <v>0.99</v>
      </c>
      <c r="M128" s="6">
        <v>1.089</v>
      </c>
      <c r="O128" s="6">
        <v>1.58</v>
      </c>
    </row>
    <row r="129" spans="1:15" x14ac:dyDescent="0.2">
      <c r="A129" s="6" t="str">
        <f t="shared" si="1"/>
        <v>AutónomaCórdobaDesayunoAdulto</v>
      </c>
      <c r="B129" s="6" t="s">
        <v>2251</v>
      </c>
      <c r="C129" s="6" t="s">
        <v>1187</v>
      </c>
      <c r="D129" s="6" t="s">
        <v>1208</v>
      </c>
      <c r="E129" s="6" t="s">
        <v>1141</v>
      </c>
      <c r="G129" s="522">
        <v>0.72</v>
      </c>
      <c r="I129" s="11"/>
      <c r="L129" s="6">
        <v>0.44</v>
      </c>
      <c r="M129" s="6">
        <v>0.48399999999999999</v>
      </c>
      <c r="O129" s="6">
        <v>1.05</v>
      </c>
    </row>
    <row r="130" spans="1:15" hidden="1" x14ac:dyDescent="0.2">
      <c r="A130" s="6" t="str">
        <f t="shared" ref="A130:A193" si="2">CONCATENATE(B130,C130,D130,E130)</f>
        <v>AutónomaCórdobaDesayunoEscolar</v>
      </c>
      <c r="B130" s="6" t="s">
        <v>2251</v>
      </c>
      <c r="C130" s="6" t="s">
        <v>1187</v>
      </c>
      <c r="D130" s="6" t="s">
        <v>1208</v>
      </c>
      <c r="E130" s="6" t="s">
        <v>110</v>
      </c>
      <c r="G130" s="522">
        <v>0.43200000000000005</v>
      </c>
      <c r="I130" s="11"/>
      <c r="L130" s="6">
        <v>0.4</v>
      </c>
      <c r="M130" s="6">
        <v>0.44000000000000006</v>
      </c>
      <c r="O130" s="6">
        <v>1.05</v>
      </c>
    </row>
    <row r="131" spans="1:15" hidden="1" x14ac:dyDescent="0.2">
      <c r="A131" s="6" t="str">
        <f t="shared" si="2"/>
        <v>AutónomaCórdobaDesayunoInfantil</v>
      </c>
      <c r="B131" s="6" t="s">
        <v>2251</v>
      </c>
      <c r="C131" s="6" t="s">
        <v>1187</v>
      </c>
      <c r="D131" s="6" t="s">
        <v>1208</v>
      </c>
      <c r="E131" s="6" t="s">
        <v>1275</v>
      </c>
      <c r="G131" s="522">
        <v>0.43200000000000005</v>
      </c>
      <c r="I131" s="11"/>
      <c r="L131" s="6">
        <v>0.4</v>
      </c>
      <c r="M131" s="6">
        <v>0.44000000000000006</v>
      </c>
      <c r="O131" s="6">
        <v>1.58</v>
      </c>
    </row>
    <row r="132" spans="1:15" x14ac:dyDescent="0.2">
      <c r="A132" s="6" t="str">
        <f t="shared" si="2"/>
        <v>AutónomaCórdobaMeriendaAdulto</v>
      </c>
      <c r="B132" s="6" t="s">
        <v>2251</v>
      </c>
      <c r="C132" s="6" t="s">
        <v>1187</v>
      </c>
      <c r="D132" s="6" t="s">
        <v>1012</v>
      </c>
      <c r="E132" s="6" t="s">
        <v>1141</v>
      </c>
      <c r="G132" s="522">
        <v>0.81</v>
      </c>
      <c r="I132" s="11"/>
      <c r="L132" s="6">
        <v>0.75</v>
      </c>
      <c r="M132" s="6">
        <v>0.82499999999999996</v>
      </c>
      <c r="O132" s="6">
        <v>1.58</v>
      </c>
    </row>
    <row r="133" spans="1:15" hidden="1" x14ac:dyDescent="0.2">
      <c r="A133" s="6" t="str">
        <f t="shared" si="2"/>
        <v>AutónomaCórdobaMeriendaEscolar</v>
      </c>
      <c r="B133" s="6" t="s">
        <v>2251</v>
      </c>
      <c r="C133" s="6" t="s">
        <v>1187</v>
      </c>
      <c r="D133" s="6" t="s">
        <v>1012</v>
      </c>
      <c r="E133" s="6" t="s">
        <v>110</v>
      </c>
      <c r="G133" s="522">
        <v>0.54</v>
      </c>
      <c r="I133" s="11"/>
      <c r="L133" s="6">
        <v>0.5</v>
      </c>
      <c r="M133" s="6">
        <v>0.55000000000000004</v>
      </c>
      <c r="O133" s="6">
        <v>1.05</v>
      </c>
    </row>
    <row r="134" spans="1:15" hidden="1" x14ac:dyDescent="0.2">
      <c r="A134" s="6" t="str">
        <f t="shared" si="2"/>
        <v>AutónomaCórdobaMeriendaInfantil</v>
      </c>
      <c r="B134" s="6" t="s">
        <v>2251</v>
      </c>
      <c r="C134" s="6" t="s">
        <v>1187</v>
      </c>
      <c r="D134" s="6" t="s">
        <v>1012</v>
      </c>
      <c r="E134" s="6" t="s">
        <v>1275</v>
      </c>
      <c r="G134" s="522">
        <v>0.54</v>
      </c>
      <c r="I134" s="11"/>
      <c r="L134" s="6">
        <v>0.5</v>
      </c>
      <c r="M134" s="6">
        <v>0.55000000000000004</v>
      </c>
      <c r="O134" s="6">
        <v>1.05</v>
      </c>
    </row>
    <row r="135" spans="1:15" x14ac:dyDescent="0.2">
      <c r="A135" s="6" t="str">
        <f t="shared" si="2"/>
        <v>CateringCórdobaAlmuerzoAdulto</v>
      </c>
      <c r="B135" s="6" t="s">
        <v>31</v>
      </c>
      <c r="C135" s="6" t="s">
        <v>1187</v>
      </c>
      <c r="D135" s="6" t="s">
        <v>1010</v>
      </c>
      <c r="E135" s="6" t="s">
        <v>1141</v>
      </c>
      <c r="G135" s="522">
        <v>0.82</v>
      </c>
      <c r="I135" s="11"/>
      <c r="L135" s="6">
        <v>0.44</v>
      </c>
      <c r="M135" s="6">
        <v>0.48399999999999999</v>
      </c>
    </row>
    <row r="136" spans="1:15" hidden="1" x14ac:dyDescent="0.2">
      <c r="A136" s="6" t="str">
        <f t="shared" si="2"/>
        <v>CateringCórdobaAlmuerzoEscolar</v>
      </c>
      <c r="B136" s="6" t="s">
        <v>31</v>
      </c>
      <c r="C136" s="6" t="s">
        <v>1187</v>
      </c>
      <c r="D136" s="6" t="s">
        <v>1010</v>
      </c>
      <c r="E136" s="6" t="s">
        <v>110</v>
      </c>
      <c r="G136" s="522">
        <v>0.54</v>
      </c>
      <c r="I136" s="11"/>
      <c r="L136" s="6">
        <v>0.5</v>
      </c>
      <c r="M136" s="6">
        <v>0.55000000000000004</v>
      </c>
    </row>
    <row r="137" spans="1:15" hidden="1" x14ac:dyDescent="0.2">
      <c r="A137" s="6" t="str">
        <f t="shared" si="2"/>
        <v>CateringCórdobaAlmuerzoInfantil</v>
      </c>
      <c r="B137" s="6" t="s">
        <v>31</v>
      </c>
      <c r="C137" s="6" t="s">
        <v>1187</v>
      </c>
      <c r="D137" s="6" t="s">
        <v>1010</v>
      </c>
      <c r="E137" s="6" t="s">
        <v>1275</v>
      </c>
      <c r="G137" s="522">
        <v>0.47520000000000001</v>
      </c>
      <c r="I137" s="11"/>
      <c r="L137" s="6">
        <v>0.44</v>
      </c>
      <c r="M137" s="6">
        <v>0.48399999999999999</v>
      </c>
    </row>
    <row r="138" spans="1:15" x14ac:dyDescent="0.2">
      <c r="A138" s="6" t="str">
        <f t="shared" si="2"/>
        <v>CateringCórdobaCenaAdulto</v>
      </c>
      <c r="B138" s="6" t="s">
        <v>31</v>
      </c>
      <c r="C138" s="6" t="s">
        <v>1187</v>
      </c>
      <c r="D138" s="6" t="s">
        <v>1162</v>
      </c>
      <c r="E138" s="6" t="s">
        <v>1141</v>
      </c>
      <c r="G138" s="522">
        <v>1.3392000000000002</v>
      </c>
      <c r="I138" s="11"/>
      <c r="L138" s="6">
        <v>1.24</v>
      </c>
      <c r="M138" s="6">
        <v>1.3639999999999999</v>
      </c>
    </row>
    <row r="139" spans="1:15" hidden="1" x14ac:dyDescent="0.2">
      <c r="A139" s="6" t="str">
        <f t="shared" si="2"/>
        <v>CateringCórdobaCenaEscolar</v>
      </c>
      <c r="B139" s="6" t="s">
        <v>31</v>
      </c>
      <c r="C139" s="6" t="s">
        <v>1187</v>
      </c>
      <c r="D139" s="6" t="s">
        <v>1162</v>
      </c>
      <c r="E139" s="6" t="s">
        <v>110</v>
      </c>
      <c r="G139" s="522">
        <v>1.296</v>
      </c>
      <c r="I139" s="11"/>
      <c r="L139" s="6">
        <v>1.2</v>
      </c>
      <c r="M139" s="6">
        <v>1.3199999999999998</v>
      </c>
    </row>
    <row r="140" spans="1:15" hidden="1" x14ac:dyDescent="0.2">
      <c r="A140" s="6" t="str">
        <f t="shared" si="2"/>
        <v>CateringCórdobaCenaInfantil</v>
      </c>
      <c r="B140" s="6" t="s">
        <v>31</v>
      </c>
      <c r="C140" s="6" t="s">
        <v>1187</v>
      </c>
      <c r="D140" s="6" t="s">
        <v>1162</v>
      </c>
      <c r="E140" s="6" t="s">
        <v>1275</v>
      </c>
      <c r="G140" s="522">
        <v>0.9396000000000001</v>
      </c>
      <c r="I140" s="11"/>
      <c r="L140" s="6">
        <v>0.87</v>
      </c>
      <c r="M140" s="6">
        <v>0.95699999999999996</v>
      </c>
    </row>
    <row r="141" spans="1:15" x14ac:dyDescent="0.2">
      <c r="A141" s="6" t="str">
        <f t="shared" si="2"/>
        <v>CateringCórdobaComidaAdulto</v>
      </c>
      <c r="B141" s="6" t="s">
        <v>31</v>
      </c>
      <c r="C141" s="6" t="s">
        <v>1187</v>
      </c>
      <c r="D141" s="6" t="s">
        <v>1011</v>
      </c>
      <c r="E141" s="6" t="s">
        <v>1141</v>
      </c>
      <c r="G141" s="522">
        <v>2.2000000000000002</v>
      </c>
      <c r="I141" s="11"/>
      <c r="L141" s="6">
        <v>1.55</v>
      </c>
      <c r="M141" s="6">
        <v>1.7050000000000001</v>
      </c>
      <c r="N141" s="114">
        <v>1.6739999999999999</v>
      </c>
    </row>
    <row r="142" spans="1:15" hidden="1" x14ac:dyDescent="0.2">
      <c r="A142" s="6" t="str">
        <f t="shared" si="2"/>
        <v>CateringCórdobaComidaAlergias_Env</v>
      </c>
      <c r="B142" s="6" t="s">
        <v>31</v>
      </c>
      <c r="C142" s="6" t="s">
        <v>1187</v>
      </c>
      <c r="D142" s="6" t="s">
        <v>1011</v>
      </c>
      <c r="E142" s="6" t="s">
        <v>1186</v>
      </c>
      <c r="G142" s="522">
        <v>1.2</v>
      </c>
      <c r="I142" s="11"/>
      <c r="L142" s="6">
        <v>0.73</v>
      </c>
      <c r="M142" s="6">
        <v>0.80299999999999994</v>
      </c>
    </row>
    <row r="143" spans="1:15" hidden="1" x14ac:dyDescent="0.2">
      <c r="A143" s="6" t="str">
        <f t="shared" si="2"/>
        <v>CateringCórdobaComidaAlergias_Sin_Envasar</v>
      </c>
      <c r="B143" s="6" t="s">
        <v>31</v>
      </c>
      <c r="C143" s="6" t="s">
        <v>1187</v>
      </c>
      <c r="D143" s="6" t="s">
        <v>1011</v>
      </c>
      <c r="E143" s="6" t="s">
        <v>2253</v>
      </c>
      <c r="G143" s="522">
        <v>1.2</v>
      </c>
      <c r="I143" s="11"/>
      <c r="L143" s="6">
        <v>0.66</v>
      </c>
      <c r="M143" s="6">
        <v>0.72599999999999998</v>
      </c>
    </row>
    <row r="144" spans="1:15" hidden="1" x14ac:dyDescent="0.2">
      <c r="A144" s="6" t="str">
        <f t="shared" si="2"/>
        <v>CateringCórdobaComidaEscolar</v>
      </c>
      <c r="B144" s="6" t="s">
        <v>31</v>
      </c>
      <c r="C144" s="6" t="s">
        <v>1187</v>
      </c>
      <c r="D144" s="6" t="s">
        <v>1011</v>
      </c>
      <c r="E144" s="6" t="s">
        <v>110</v>
      </c>
      <c r="G144" s="522">
        <v>1.2</v>
      </c>
      <c r="I144" s="11"/>
      <c r="L144" s="6">
        <v>1.03</v>
      </c>
      <c r="M144" s="6">
        <v>1.133</v>
      </c>
      <c r="N144" s="114">
        <v>1.1120000000000001</v>
      </c>
    </row>
    <row r="145" spans="1:13" hidden="1" x14ac:dyDescent="0.2">
      <c r="A145" s="6" t="str">
        <f t="shared" si="2"/>
        <v>CateringCórdobaComidaGratuidades</v>
      </c>
      <c r="B145" s="6" t="s">
        <v>31</v>
      </c>
      <c r="C145" s="6" t="s">
        <v>1187</v>
      </c>
      <c r="D145" s="6" t="s">
        <v>1011</v>
      </c>
      <c r="E145" s="6" t="s">
        <v>1255</v>
      </c>
      <c r="G145" s="522">
        <v>1.2</v>
      </c>
      <c r="I145" s="11"/>
      <c r="L145" s="6">
        <v>0.71</v>
      </c>
      <c r="M145" s="6">
        <v>0.78099999999999992</v>
      </c>
    </row>
    <row r="146" spans="1:13" hidden="1" x14ac:dyDescent="0.2">
      <c r="A146" s="6" t="str">
        <f t="shared" si="2"/>
        <v>CateringCórdobaComidaInfantil</v>
      </c>
      <c r="B146" s="6" t="s">
        <v>31</v>
      </c>
      <c r="C146" s="6" t="s">
        <v>1187</v>
      </c>
      <c r="D146" s="6" t="s">
        <v>1011</v>
      </c>
      <c r="E146" s="6" t="s">
        <v>1275</v>
      </c>
      <c r="G146" s="522">
        <v>1.2</v>
      </c>
      <c r="I146" s="11"/>
      <c r="L146" s="6">
        <v>0.66</v>
      </c>
      <c r="M146" s="6">
        <v>0.72599999999999998</v>
      </c>
    </row>
    <row r="147" spans="1:13" x14ac:dyDescent="0.2">
      <c r="A147" s="6" t="str">
        <f t="shared" si="2"/>
        <v>CateringCórdobaDesayunoAdulto</v>
      </c>
      <c r="B147" s="6" t="s">
        <v>31</v>
      </c>
      <c r="C147" s="6" t="s">
        <v>1187</v>
      </c>
      <c r="D147" s="6" t="s">
        <v>1208</v>
      </c>
      <c r="E147" s="6" t="s">
        <v>1141</v>
      </c>
      <c r="G147" s="522">
        <v>0.72</v>
      </c>
      <c r="I147" s="11"/>
      <c r="L147" s="6">
        <v>0.44</v>
      </c>
      <c r="M147" s="6">
        <v>0.48399999999999999</v>
      </c>
    </row>
    <row r="148" spans="1:13" hidden="1" x14ac:dyDescent="0.2">
      <c r="A148" s="6" t="str">
        <f t="shared" si="2"/>
        <v>CateringCórdobaDesayunoEscolar</v>
      </c>
      <c r="B148" s="6" t="s">
        <v>31</v>
      </c>
      <c r="C148" s="6" t="s">
        <v>1187</v>
      </c>
      <c r="D148" s="6" t="s">
        <v>1208</v>
      </c>
      <c r="E148" s="6" t="s">
        <v>110</v>
      </c>
      <c r="G148" s="522">
        <v>0.54</v>
      </c>
      <c r="I148" s="11"/>
      <c r="L148" s="6">
        <v>0.5</v>
      </c>
      <c r="M148" s="6">
        <v>0.55000000000000004</v>
      </c>
    </row>
    <row r="149" spans="1:13" hidden="1" x14ac:dyDescent="0.2">
      <c r="A149" s="6" t="str">
        <f t="shared" si="2"/>
        <v>CateringCórdobaDesayunoInfantil</v>
      </c>
      <c r="B149" s="6" t="s">
        <v>31</v>
      </c>
      <c r="C149" s="6" t="s">
        <v>1187</v>
      </c>
      <c r="D149" s="6" t="s">
        <v>1208</v>
      </c>
      <c r="E149" s="6" t="s">
        <v>1275</v>
      </c>
      <c r="G149" s="522">
        <v>0.54</v>
      </c>
      <c r="I149" s="11"/>
      <c r="L149" s="6">
        <v>0.5</v>
      </c>
      <c r="M149" s="6">
        <v>0.55000000000000004</v>
      </c>
    </row>
    <row r="150" spans="1:13" x14ac:dyDescent="0.2">
      <c r="A150" s="6" t="str">
        <f t="shared" si="2"/>
        <v>CateringCórdobaMeriendaAdulto</v>
      </c>
      <c r="B150" s="6" t="s">
        <v>31</v>
      </c>
      <c r="C150" s="6" t="s">
        <v>1187</v>
      </c>
      <c r="D150" s="6" t="s">
        <v>1012</v>
      </c>
      <c r="E150" s="6" t="s">
        <v>1141</v>
      </c>
      <c r="G150" s="522">
        <v>0.81</v>
      </c>
      <c r="I150" s="11"/>
      <c r="L150" s="6">
        <v>0.75</v>
      </c>
      <c r="M150" s="6">
        <v>0.82499999999999996</v>
      </c>
    </row>
    <row r="151" spans="1:13" hidden="1" x14ac:dyDescent="0.2">
      <c r="A151" s="6" t="str">
        <f t="shared" si="2"/>
        <v>CateringCórdobaMeriendaEscolar</v>
      </c>
      <c r="B151" s="6" t="s">
        <v>31</v>
      </c>
      <c r="C151" s="6" t="s">
        <v>1187</v>
      </c>
      <c r="D151" s="6" t="s">
        <v>1012</v>
      </c>
      <c r="E151" s="6" t="s">
        <v>110</v>
      </c>
      <c r="G151" s="522">
        <v>0.54</v>
      </c>
      <c r="I151" s="11"/>
      <c r="L151" s="6">
        <v>0.5</v>
      </c>
      <c r="M151" s="6">
        <v>0.55000000000000004</v>
      </c>
    </row>
    <row r="152" spans="1:13" hidden="1" x14ac:dyDescent="0.2">
      <c r="A152" s="6" t="str">
        <f t="shared" si="2"/>
        <v>CateringCórdobaMeriendaInfantil</v>
      </c>
      <c r="B152" s="6" t="s">
        <v>31</v>
      </c>
      <c r="C152" s="6" t="s">
        <v>1187</v>
      </c>
      <c r="D152" s="6" t="s">
        <v>1012</v>
      </c>
      <c r="E152" s="6" t="s">
        <v>1275</v>
      </c>
      <c r="G152" s="522">
        <v>0.54</v>
      </c>
      <c r="I152" s="11"/>
      <c r="L152" s="6">
        <v>0.5</v>
      </c>
      <c r="M152" s="6">
        <v>0.55000000000000004</v>
      </c>
    </row>
    <row r="153" spans="1:13" x14ac:dyDescent="0.2">
      <c r="A153" s="6" t="str">
        <f t="shared" si="2"/>
        <v>AutónomaMálagaAlmuerzoAdulto</v>
      </c>
      <c r="B153" s="6" t="s">
        <v>2251</v>
      </c>
      <c r="C153" s="6" t="s">
        <v>1232</v>
      </c>
      <c r="D153" s="6" t="s">
        <v>1010</v>
      </c>
      <c r="E153" s="6" t="s">
        <v>1141</v>
      </c>
      <c r="G153" s="522">
        <v>0.82</v>
      </c>
      <c r="I153" s="11"/>
      <c r="L153" s="6">
        <v>0.44</v>
      </c>
      <c r="M153" s="6">
        <v>0.48399999999999999</v>
      </c>
    </row>
    <row r="154" spans="1:13" x14ac:dyDescent="0.2">
      <c r="A154" s="6" t="str">
        <f t="shared" si="2"/>
        <v>AutónomaMálagaAlmuerzoAdulto</v>
      </c>
      <c r="B154" s="6" t="s">
        <v>2251</v>
      </c>
      <c r="C154" s="6" t="s">
        <v>1232</v>
      </c>
      <c r="D154" s="6" t="s">
        <v>1010</v>
      </c>
      <c r="E154" s="6" t="s">
        <v>1141</v>
      </c>
      <c r="G154" s="522">
        <v>0.82</v>
      </c>
      <c r="I154" s="11"/>
      <c r="L154" s="6">
        <v>0.44</v>
      </c>
      <c r="M154" s="6">
        <v>0.48399999999999999</v>
      </c>
    </row>
    <row r="155" spans="1:13" hidden="1" x14ac:dyDescent="0.2">
      <c r="A155" s="6" t="str">
        <f t="shared" si="2"/>
        <v>AutónomaMálagaAlmuerzoEscolar</v>
      </c>
      <c r="B155" s="6" t="s">
        <v>2251</v>
      </c>
      <c r="C155" s="6" t="s">
        <v>1232</v>
      </c>
      <c r="D155" s="6" t="s">
        <v>1010</v>
      </c>
      <c r="E155" s="6" t="s">
        <v>110</v>
      </c>
      <c r="G155" s="522">
        <v>0.43200000000000005</v>
      </c>
      <c r="I155" s="11"/>
      <c r="L155" s="6">
        <v>0.4</v>
      </c>
      <c r="M155" s="6">
        <v>0.44000000000000006</v>
      </c>
    </row>
    <row r="156" spans="1:13" hidden="1" x14ac:dyDescent="0.2">
      <c r="A156" s="6" t="str">
        <f t="shared" si="2"/>
        <v>AutónomaMálagaAlmuerzoEscolar</v>
      </c>
      <c r="B156" s="6" t="s">
        <v>2251</v>
      </c>
      <c r="C156" s="6" t="s">
        <v>1232</v>
      </c>
      <c r="D156" s="6" t="s">
        <v>1010</v>
      </c>
      <c r="E156" s="6" t="s">
        <v>110</v>
      </c>
      <c r="G156" s="522">
        <v>0.43200000000000005</v>
      </c>
      <c r="I156" s="11"/>
      <c r="L156" s="6">
        <v>0.4</v>
      </c>
      <c r="M156" s="6">
        <v>0.44000000000000006</v>
      </c>
    </row>
    <row r="157" spans="1:13" hidden="1" x14ac:dyDescent="0.2">
      <c r="A157" s="6" t="str">
        <f t="shared" si="2"/>
        <v>AutónomaMálagaAlmuerzoInfantil</v>
      </c>
      <c r="B157" s="6" t="s">
        <v>2251</v>
      </c>
      <c r="C157" s="6" t="s">
        <v>1232</v>
      </c>
      <c r="D157" s="6" t="s">
        <v>1010</v>
      </c>
      <c r="E157" s="6" t="s">
        <v>1275</v>
      </c>
      <c r="G157" s="522">
        <v>0.43200000000000005</v>
      </c>
      <c r="I157" s="11"/>
      <c r="L157" s="6">
        <v>0.4</v>
      </c>
      <c r="M157" s="6">
        <v>0.44000000000000006</v>
      </c>
    </row>
    <row r="158" spans="1:13" hidden="1" x14ac:dyDescent="0.2">
      <c r="A158" s="6" t="str">
        <f t="shared" si="2"/>
        <v>AutónomaMálagaAlmuerzoInfantil</v>
      </c>
      <c r="B158" s="6" t="s">
        <v>2251</v>
      </c>
      <c r="C158" s="6" t="s">
        <v>1232</v>
      </c>
      <c r="D158" s="6" t="s">
        <v>1010</v>
      </c>
      <c r="E158" s="6" t="s">
        <v>1275</v>
      </c>
      <c r="G158" s="522">
        <v>0.43200000000000005</v>
      </c>
      <c r="I158" s="11"/>
      <c r="L158" s="6">
        <v>0.4</v>
      </c>
      <c r="M158" s="6">
        <v>0.44000000000000006</v>
      </c>
    </row>
    <row r="159" spans="1:13" x14ac:dyDescent="0.2">
      <c r="A159" s="6" t="str">
        <f t="shared" si="2"/>
        <v>AutónomaMálagaCenaAdulto</v>
      </c>
      <c r="B159" s="6" t="s">
        <v>2251</v>
      </c>
      <c r="C159" s="6" t="s">
        <v>1232</v>
      </c>
      <c r="D159" s="6" t="s">
        <v>1162</v>
      </c>
      <c r="E159" s="6" t="s">
        <v>1141</v>
      </c>
      <c r="G159" s="522">
        <v>1.3392000000000002</v>
      </c>
      <c r="I159" s="11"/>
      <c r="L159" s="6">
        <v>1.24</v>
      </c>
      <c r="M159" s="6">
        <v>1.3639999999999999</v>
      </c>
    </row>
    <row r="160" spans="1:13" x14ac:dyDescent="0.2">
      <c r="A160" s="6" t="str">
        <f t="shared" si="2"/>
        <v>AutónomaMálagaCenaAdulto</v>
      </c>
      <c r="B160" s="6" t="s">
        <v>2251</v>
      </c>
      <c r="C160" s="6" t="s">
        <v>1232</v>
      </c>
      <c r="D160" s="6" t="s">
        <v>1162</v>
      </c>
      <c r="E160" s="6" t="s">
        <v>1141</v>
      </c>
      <c r="G160" s="522">
        <v>1.3392000000000002</v>
      </c>
      <c r="I160" s="11"/>
      <c r="L160" s="6">
        <v>1.24</v>
      </c>
      <c r="M160" s="6">
        <v>1.3639999999999999</v>
      </c>
    </row>
    <row r="161" spans="1:14" hidden="1" x14ac:dyDescent="0.2">
      <c r="A161" s="6" t="str">
        <f t="shared" si="2"/>
        <v>AutónomaMálagaCenaEscolar</v>
      </c>
      <c r="B161" s="6" t="s">
        <v>2251</v>
      </c>
      <c r="C161" s="6" t="s">
        <v>1232</v>
      </c>
      <c r="D161" s="6" t="s">
        <v>1162</v>
      </c>
      <c r="E161" s="6" t="s">
        <v>110</v>
      </c>
      <c r="G161" s="522">
        <v>1.296</v>
      </c>
      <c r="I161" s="11"/>
      <c r="L161" s="6">
        <v>1.2</v>
      </c>
      <c r="M161" s="6">
        <v>1.3199999999999998</v>
      </c>
    </row>
    <row r="162" spans="1:14" hidden="1" x14ac:dyDescent="0.2">
      <c r="A162" s="6" t="str">
        <f t="shared" si="2"/>
        <v>AutónomaMálagaCenaEscolar</v>
      </c>
      <c r="B162" s="6" t="s">
        <v>2251</v>
      </c>
      <c r="C162" s="6" t="s">
        <v>1232</v>
      </c>
      <c r="D162" s="6" t="s">
        <v>1162</v>
      </c>
      <c r="E162" s="6" t="s">
        <v>110</v>
      </c>
      <c r="G162" s="522">
        <v>1.296</v>
      </c>
      <c r="I162" s="11"/>
      <c r="L162" s="6">
        <v>1.2</v>
      </c>
      <c r="M162" s="6">
        <v>1.3199999999999998</v>
      </c>
    </row>
    <row r="163" spans="1:14" hidden="1" x14ac:dyDescent="0.2">
      <c r="A163" s="6" t="str">
        <f t="shared" si="2"/>
        <v>AutónomaMálagaCenaInfantil</v>
      </c>
      <c r="B163" s="6" t="s">
        <v>2251</v>
      </c>
      <c r="C163" s="6" t="s">
        <v>1232</v>
      </c>
      <c r="D163" s="6" t="s">
        <v>1162</v>
      </c>
      <c r="E163" s="6" t="s">
        <v>1275</v>
      </c>
      <c r="G163" s="522">
        <v>1.296</v>
      </c>
      <c r="I163" s="11"/>
      <c r="L163" s="6">
        <v>1.2</v>
      </c>
      <c r="M163" s="6">
        <v>1.3199999999999998</v>
      </c>
    </row>
    <row r="164" spans="1:14" hidden="1" x14ac:dyDescent="0.2">
      <c r="A164" s="6" t="str">
        <f t="shared" si="2"/>
        <v>AutónomaMálagaCenaInfantil</v>
      </c>
      <c r="B164" s="6" t="s">
        <v>2251</v>
      </c>
      <c r="C164" s="6" t="s">
        <v>1232</v>
      </c>
      <c r="D164" s="6" t="s">
        <v>1162</v>
      </c>
      <c r="E164" s="6" t="s">
        <v>1275</v>
      </c>
      <c r="G164" s="522">
        <v>1.296</v>
      </c>
      <c r="I164" s="11"/>
      <c r="L164" s="6">
        <v>1.2</v>
      </c>
      <c r="M164" s="6">
        <v>1.3199999999999998</v>
      </c>
    </row>
    <row r="165" spans="1:14" x14ac:dyDescent="0.2">
      <c r="A165" s="6" t="str">
        <f t="shared" si="2"/>
        <v>AutónomaMálagaComidaAdulto</v>
      </c>
      <c r="B165" s="6" t="s">
        <v>2251</v>
      </c>
      <c r="C165" s="6" t="s">
        <v>1232</v>
      </c>
      <c r="D165" s="6" t="s">
        <v>1011</v>
      </c>
      <c r="E165" s="6" t="s">
        <v>1141</v>
      </c>
      <c r="G165" s="522">
        <v>2.2000000000000002</v>
      </c>
      <c r="I165" s="11"/>
      <c r="L165" s="6">
        <v>1.45</v>
      </c>
      <c r="M165" s="6">
        <v>1.595</v>
      </c>
      <c r="N165" s="114">
        <v>1.58</v>
      </c>
    </row>
    <row r="166" spans="1:14" x14ac:dyDescent="0.2">
      <c r="A166" s="6" t="str">
        <f t="shared" si="2"/>
        <v>AutónomaSevillaAlmuerzoAdulto</v>
      </c>
      <c r="B166" s="6" t="s">
        <v>2251</v>
      </c>
      <c r="C166" s="6" t="s">
        <v>2254</v>
      </c>
      <c r="D166" s="6" t="s">
        <v>1010</v>
      </c>
      <c r="E166" s="6" t="s">
        <v>1141</v>
      </c>
      <c r="G166" s="522">
        <v>0.82</v>
      </c>
      <c r="I166" s="11"/>
      <c r="L166" s="6">
        <v>0.44</v>
      </c>
      <c r="M166" s="6">
        <v>0.48399999999999999</v>
      </c>
    </row>
    <row r="167" spans="1:14" hidden="1" x14ac:dyDescent="0.2">
      <c r="A167" s="6" t="str">
        <f t="shared" si="2"/>
        <v>AutónomaSevillaAlmuerzoEscolar</v>
      </c>
      <c r="B167" s="6" t="s">
        <v>2251</v>
      </c>
      <c r="C167" s="6" t="s">
        <v>2254</v>
      </c>
      <c r="D167" s="6" t="s">
        <v>1010</v>
      </c>
      <c r="E167" s="6" t="s">
        <v>110</v>
      </c>
      <c r="G167" s="522">
        <v>0.43200000000000005</v>
      </c>
      <c r="I167" s="11"/>
      <c r="L167" s="6">
        <v>0.4</v>
      </c>
      <c r="M167" s="6">
        <v>0.44000000000000006</v>
      </c>
    </row>
    <row r="168" spans="1:14" hidden="1" x14ac:dyDescent="0.2">
      <c r="A168" s="6" t="str">
        <f t="shared" si="2"/>
        <v>AutónomaSevillaAlmuerzoInfantil</v>
      </c>
      <c r="B168" s="6" t="s">
        <v>2251</v>
      </c>
      <c r="C168" s="6" t="s">
        <v>2254</v>
      </c>
      <c r="D168" s="6" t="s">
        <v>1010</v>
      </c>
      <c r="E168" s="6" t="s">
        <v>1275</v>
      </c>
      <c r="G168" s="522">
        <v>0.43200000000000005</v>
      </c>
      <c r="I168" s="11"/>
      <c r="L168" s="6">
        <v>0.4</v>
      </c>
      <c r="M168" s="6">
        <v>0.44000000000000006</v>
      </c>
    </row>
    <row r="169" spans="1:14" x14ac:dyDescent="0.2">
      <c r="A169" s="6" t="str">
        <f t="shared" si="2"/>
        <v>AutónomaSevillaCenaAdulto</v>
      </c>
      <c r="B169" s="6" t="s">
        <v>2251</v>
      </c>
      <c r="C169" s="6" t="s">
        <v>2254</v>
      </c>
      <c r="D169" s="6" t="s">
        <v>1162</v>
      </c>
      <c r="E169" s="6" t="s">
        <v>1141</v>
      </c>
      <c r="G169" s="522">
        <v>1.3392000000000002</v>
      </c>
      <c r="I169" s="11"/>
      <c r="L169" s="6">
        <v>1.24</v>
      </c>
      <c r="M169" s="6">
        <v>1.3639999999999999</v>
      </c>
    </row>
    <row r="170" spans="1:14" hidden="1" x14ac:dyDescent="0.2">
      <c r="A170" s="6" t="str">
        <f t="shared" si="2"/>
        <v>AutónomaSevillaCenaEscolar</v>
      </c>
      <c r="B170" s="6" t="s">
        <v>2251</v>
      </c>
      <c r="C170" s="6" t="s">
        <v>2254</v>
      </c>
      <c r="D170" s="6" t="s">
        <v>1162</v>
      </c>
      <c r="E170" s="6" t="s">
        <v>110</v>
      </c>
      <c r="G170" s="522">
        <v>1.1880000000000002</v>
      </c>
      <c r="I170" s="11"/>
      <c r="L170" s="6">
        <v>1.1000000000000001</v>
      </c>
      <c r="M170" s="6">
        <v>1.2100000000000002</v>
      </c>
    </row>
    <row r="171" spans="1:14" hidden="1" x14ac:dyDescent="0.2">
      <c r="A171" s="6" t="str">
        <f t="shared" si="2"/>
        <v>AutónomaSevillaCenaInfantil</v>
      </c>
      <c r="B171" s="6" t="s">
        <v>2251</v>
      </c>
      <c r="C171" s="6" t="s">
        <v>2254</v>
      </c>
      <c r="D171" s="6" t="s">
        <v>1162</v>
      </c>
      <c r="E171" s="6" t="s">
        <v>1275</v>
      </c>
      <c r="G171" s="522">
        <v>1.1880000000000002</v>
      </c>
      <c r="I171" s="11"/>
      <c r="L171" s="6">
        <v>1.1000000000000001</v>
      </c>
      <c r="M171" s="6">
        <v>1.2100000000000002</v>
      </c>
    </row>
    <row r="172" spans="1:14" x14ac:dyDescent="0.2">
      <c r="A172" s="6" t="str">
        <f t="shared" si="2"/>
        <v>AutónomaSevillaComidaAdulto</v>
      </c>
      <c r="B172" s="6" t="s">
        <v>2251</v>
      </c>
      <c r="C172" s="6" t="s">
        <v>2254</v>
      </c>
      <c r="D172" s="6" t="s">
        <v>1011</v>
      </c>
      <c r="E172" s="6" t="s">
        <v>1141</v>
      </c>
      <c r="G172" s="522">
        <v>2.2000000000000002</v>
      </c>
      <c r="I172" s="11"/>
      <c r="L172" s="6">
        <v>1.45</v>
      </c>
      <c r="M172" s="6">
        <v>1.595</v>
      </c>
      <c r="N172" s="114">
        <v>1.5660000000000001</v>
      </c>
    </row>
    <row r="173" spans="1:14" hidden="1" x14ac:dyDescent="0.2">
      <c r="A173" s="6" t="str">
        <f t="shared" si="2"/>
        <v>AutónomaSevillaComidaAlergias_Env</v>
      </c>
      <c r="B173" s="6" t="s">
        <v>2251</v>
      </c>
      <c r="C173" s="6" t="s">
        <v>2254</v>
      </c>
      <c r="D173" s="6" t="s">
        <v>1011</v>
      </c>
      <c r="E173" s="6" t="s">
        <v>1186</v>
      </c>
      <c r="G173" s="522">
        <v>1.3</v>
      </c>
      <c r="I173" s="11"/>
      <c r="L173" s="6" t="s">
        <v>2252</v>
      </c>
      <c r="M173" s="6" t="s">
        <v>318</v>
      </c>
    </row>
    <row r="174" spans="1:14" hidden="1" x14ac:dyDescent="0.2">
      <c r="A174" s="6" t="str">
        <f t="shared" si="2"/>
        <v>AutónomaSevillaComidaAlergias_Sin_Envasar</v>
      </c>
      <c r="B174" s="6" t="s">
        <v>2251</v>
      </c>
      <c r="C174" s="6" t="s">
        <v>2254</v>
      </c>
      <c r="D174" s="6" t="s">
        <v>1011</v>
      </c>
      <c r="E174" s="6" t="s">
        <v>2253</v>
      </c>
      <c r="G174" s="522">
        <v>1.3</v>
      </c>
      <c r="I174" s="11"/>
      <c r="L174" s="6" t="s">
        <v>2252</v>
      </c>
      <c r="M174" s="6" t="s">
        <v>318</v>
      </c>
    </row>
    <row r="175" spans="1:14" hidden="1" x14ac:dyDescent="0.2">
      <c r="A175" s="6" t="str">
        <f t="shared" si="2"/>
        <v>AutónomaSevillaComidaEscolar</v>
      </c>
      <c r="B175" s="6" t="s">
        <v>2251</v>
      </c>
      <c r="C175" s="6" t="s">
        <v>2254</v>
      </c>
      <c r="D175" s="6" t="s">
        <v>1011</v>
      </c>
      <c r="E175" s="6" t="s">
        <v>110</v>
      </c>
      <c r="G175" s="523">
        <v>1.19</v>
      </c>
      <c r="I175" s="11"/>
      <c r="L175" s="6">
        <v>1.1299999999999999</v>
      </c>
      <c r="M175" s="6">
        <v>1.2429999999999999</v>
      </c>
      <c r="N175" s="114">
        <v>1.22</v>
      </c>
    </row>
    <row r="176" spans="1:14" hidden="1" x14ac:dyDescent="0.2">
      <c r="A176" s="6" t="str">
        <f t="shared" si="2"/>
        <v>AutónomaSevillaComidaGratuidades</v>
      </c>
      <c r="B176" s="6" t="s">
        <v>2251</v>
      </c>
      <c r="C176" s="6" t="s">
        <v>2254</v>
      </c>
      <c r="D176" s="6" t="s">
        <v>1011</v>
      </c>
      <c r="E176" s="6" t="s">
        <v>1255</v>
      </c>
      <c r="G176" s="522">
        <v>1.0692000000000002</v>
      </c>
      <c r="I176" s="11"/>
      <c r="L176" s="6">
        <v>0.99</v>
      </c>
      <c r="M176" s="6">
        <v>1.089</v>
      </c>
    </row>
    <row r="177" spans="1:15" hidden="1" x14ac:dyDescent="0.2">
      <c r="A177" s="6" t="str">
        <f t="shared" si="2"/>
        <v>AutónomaSevillaComidaInfantil</v>
      </c>
      <c r="B177" s="6" t="s">
        <v>2251</v>
      </c>
      <c r="C177" s="6" t="s">
        <v>2254</v>
      </c>
      <c r="D177" s="6" t="s">
        <v>1011</v>
      </c>
      <c r="E177" s="6" t="s">
        <v>1275</v>
      </c>
      <c r="G177" s="522">
        <v>1.0692000000000002</v>
      </c>
      <c r="I177" s="11"/>
      <c r="L177" s="6">
        <v>0.99</v>
      </c>
      <c r="M177" s="6">
        <v>1.089</v>
      </c>
    </row>
    <row r="178" spans="1:15" x14ac:dyDescent="0.2">
      <c r="A178" s="6" t="str">
        <f t="shared" si="2"/>
        <v>AutónomaSevillaDesayunoAdulto</v>
      </c>
      <c r="B178" s="6" t="s">
        <v>2251</v>
      </c>
      <c r="C178" s="6" t="s">
        <v>2254</v>
      </c>
      <c r="D178" s="6" t="s">
        <v>1208</v>
      </c>
      <c r="E178" s="6" t="s">
        <v>1141</v>
      </c>
      <c r="G178" s="522">
        <v>0.72</v>
      </c>
      <c r="I178" s="11"/>
      <c r="L178" s="6">
        <v>0.44</v>
      </c>
      <c r="M178" s="6">
        <v>0.48399999999999999</v>
      </c>
    </row>
    <row r="179" spans="1:15" hidden="1" x14ac:dyDescent="0.2">
      <c r="A179" s="6" t="str">
        <f t="shared" si="2"/>
        <v>AutónomaSevillaDesayunoEscolar</v>
      </c>
      <c r="B179" s="6" t="s">
        <v>2251</v>
      </c>
      <c r="C179" s="6" t="s">
        <v>2254</v>
      </c>
      <c r="D179" s="6" t="s">
        <v>1208</v>
      </c>
      <c r="E179" s="6" t="s">
        <v>110</v>
      </c>
      <c r="G179" s="522">
        <v>0.43200000000000005</v>
      </c>
      <c r="I179" s="11"/>
      <c r="L179" s="6">
        <v>0.4</v>
      </c>
      <c r="M179" s="6">
        <v>0.44000000000000006</v>
      </c>
    </row>
    <row r="180" spans="1:15" hidden="1" x14ac:dyDescent="0.2">
      <c r="A180" s="6" t="str">
        <f t="shared" si="2"/>
        <v>AutónomaSevillaDesayunoInfantil</v>
      </c>
      <c r="B180" s="6" t="s">
        <v>2251</v>
      </c>
      <c r="C180" s="6" t="s">
        <v>2254</v>
      </c>
      <c r="D180" s="6" t="s">
        <v>1208</v>
      </c>
      <c r="E180" s="6" t="s">
        <v>1275</v>
      </c>
      <c r="G180" s="522">
        <v>0.43200000000000005</v>
      </c>
      <c r="I180" s="11"/>
      <c r="L180" s="6">
        <v>0.4</v>
      </c>
      <c r="M180" s="6">
        <v>0.44000000000000006</v>
      </c>
    </row>
    <row r="181" spans="1:15" x14ac:dyDescent="0.2">
      <c r="A181" s="6" t="str">
        <f t="shared" si="2"/>
        <v>AutónomaSevillaMeriendaAdulto</v>
      </c>
      <c r="B181" s="6" t="s">
        <v>2251</v>
      </c>
      <c r="C181" s="6" t="s">
        <v>2254</v>
      </c>
      <c r="D181" s="6" t="s">
        <v>1012</v>
      </c>
      <c r="E181" s="6" t="s">
        <v>1141</v>
      </c>
      <c r="G181" s="522">
        <v>0.81</v>
      </c>
      <c r="I181" s="11"/>
      <c r="L181" s="6">
        <v>0.75</v>
      </c>
      <c r="M181" s="6">
        <v>0.82499999999999996</v>
      </c>
    </row>
    <row r="182" spans="1:15" hidden="1" x14ac:dyDescent="0.2">
      <c r="A182" s="6" t="str">
        <f t="shared" si="2"/>
        <v>AutónomaSevillaMeriendaEscolar</v>
      </c>
      <c r="B182" s="6" t="s">
        <v>2251</v>
      </c>
      <c r="C182" s="6" t="s">
        <v>2254</v>
      </c>
      <c r="D182" s="6" t="s">
        <v>1012</v>
      </c>
      <c r="E182" s="6" t="s">
        <v>110</v>
      </c>
      <c r="G182" s="522">
        <v>0.54</v>
      </c>
      <c r="I182" s="11"/>
      <c r="L182" s="6">
        <v>0.5</v>
      </c>
      <c r="M182" s="6">
        <v>0.55000000000000004</v>
      </c>
    </row>
    <row r="183" spans="1:15" hidden="1" x14ac:dyDescent="0.2">
      <c r="A183" s="6" t="str">
        <f t="shared" si="2"/>
        <v>AutónomaSevillaMeriendaInfantil</v>
      </c>
      <c r="B183" s="6" t="s">
        <v>2251</v>
      </c>
      <c r="C183" s="6" t="s">
        <v>2254</v>
      </c>
      <c r="D183" s="6" t="s">
        <v>1012</v>
      </c>
      <c r="E183" s="6" t="s">
        <v>1275</v>
      </c>
      <c r="G183" s="522">
        <v>0.54</v>
      </c>
      <c r="I183" s="11"/>
      <c r="L183" s="6">
        <v>0.5</v>
      </c>
      <c r="M183" s="6">
        <v>0.55000000000000004</v>
      </c>
    </row>
    <row r="184" spans="1:15" x14ac:dyDescent="0.2">
      <c r="A184" s="6" t="str">
        <f t="shared" si="2"/>
        <v>AutónomaValenciaAlmuerzoAdulto</v>
      </c>
      <c r="B184" s="6" t="s">
        <v>2251</v>
      </c>
      <c r="C184" s="6" t="s">
        <v>1110</v>
      </c>
      <c r="D184" s="6" t="s">
        <v>1010</v>
      </c>
      <c r="E184" s="6" t="s">
        <v>1141</v>
      </c>
      <c r="G184" s="522">
        <v>0.82</v>
      </c>
      <c r="I184" s="11"/>
      <c r="L184" s="6">
        <v>0.44</v>
      </c>
      <c r="M184" s="6">
        <v>0.48399999999999999</v>
      </c>
    </row>
    <row r="185" spans="1:15" hidden="1" x14ac:dyDescent="0.2">
      <c r="A185" s="6" t="str">
        <f t="shared" si="2"/>
        <v>AutónomaValenciaAlmuerzoAdulto Sanitario</v>
      </c>
      <c r="B185" s="6" t="s">
        <v>2251</v>
      </c>
      <c r="C185" s="6" t="s">
        <v>1110</v>
      </c>
      <c r="D185" s="6" t="s">
        <v>1010</v>
      </c>
      <c r="E185" s="6" t="s">
        <v>1163</v>
      </c>
      <c r="G185" s="522">
        <v>0.51839999999999997</v>
      </c>
      <c r="I185" s="11"/>
      <c r="L185" s="6">
        <v>0.48</v>
      </c>
      <c r="M185" s="6">
        <v>0.52800000000000002</v>
      </c>
    </row>
    <row r="186" spans="1:15" hidden="1" x14ac:dyDescent="0.2">
      <c r="A186" s="6" t="str">
        <f t="shared" si="2"/>
        <v>AutónomaValenciaAlmuerzoEscolar</v>
      </c>
      <c r="B186" s="6" t="s">
        <v>2251</v>
      </c>
      <c r="C186" s="6" t="s">
        <v>1110</v>
      </c>
      <c r="D186" s="6" t="s">
        <v>1010</v>
      </c>
      <c r="E186" s="6" t="s">
        <v>110</v>
      </c>
      <c r="G186" s="522">
        <v>0.43200000000000005</v>
      </c>
      <c r="I186" s="11"/>
      <c r="L186" s="6">
        <v>0.4</v>
      </c>
      <c r="M186" s="6">
        <v>0.44000000000000006</v>
      </c>
    </row>
    <row r="187" spans="1:15" hidden="1" x14ac:dyDescent="0.2">
      <c r="A187" s="6" t="str">
        <f t="shared" si="2"/>
        <v>AutónomaValenciaAlmuerzoInfantil</v>
      </c>
      <c r="B187" s="6" t="s">
        <v>2251</v>
      </c>
      <c r="C187" s="6" t="s">
        <v>1110</v>
      </c>
      <c r="D187" s="6" t="s">
        <v>1010</v>
      </c>
      <c r="E187" s="6" t="s">
        <v>1275</v>
      </c>
      <c r="G187" s="522">
        <v>0.43200000000000005</v>
      </c>
      <c r="I187" s="11"/>
      <c r="L187" s="6">
        <v>0.4</v>
      </c>
      <c r="M187" s="6">
        <v>0.44000000000000006</v>
      </c>
    </row>
    <row r="188" spans="1:15" x14ac:dyDescent="0.2">
      <c r="A188" s="6" t="str">
        <f t="shared" si="2"/>
        <v>AutónomaValenciaCenaAdulto</v>
      </c>
      <c r="B188" s="6" t="s">
        <v>2251</v>
      </c>
      <c r="C188" s="6" t="s">
        <v>1110</v>
      </c>
      <c r="D188" s="6" t="s">
        <v>1162</v>
      </c>
      <c r="E188" s="6" t="s">
        <v>1141</v>
      </c>
      <c r="G188" s="522">
        <v>2.2000000000000002</v>
      </c>
      <c r="I188" s="11"/>
      <c r="L188" s="6">
        <v>1.24</v>
      </c>
      <c r="M188" s="6">
        <v>1.3639999999999999</v>
      </c>
      <c r="O188" s="6">
        <v>1.5</v>
      </c>
    </row>
    <row r="189" spans="1:15" hidden="1" x14ac:dyDescent="0.2">
      <c r="A189" s="6" t="str">
        <f t="shared" si="2"/>
        <v>AutónomaValenciaCenaAdulto Sanitario</v>
      </c>
      <c r="B189" s="6" t="s">
        <v>2251</v>
      </c>
      <c r="C189" s="6" t="s">
        <v>1110</v>
      </c>
      <c r="D189" s="6" t="s">
        <v>1162</v>
      </c>
      <c r="E189" s="6" t="s">
        <v>1163</v>
      </c>
      <c r="G189" s="522">
        <v>0.8640000000000001</v>
      </c>
      <c r="I189" s="11"/>
      <c r="L189" s="6">
        <v>0.8</v>
      </c>
      <c r="M189" s="6">
        <v>0.88000000000000012</v>
      </c>
    </row>
    <row r="190" spans="1:15" hidden="1" x14ac:dyDescent="0.2">
      <c r="A190" s="6" t="str">
        <f t="shared" si="2"/>
        <v>AutónomaValenciaCenaEscolar</v>
      </c>
      <c r="B190" s="6" t="s">
        <v>2251</v>
      </c>
      <c r="C190" s="6" t="s">
        <v>1110</v>
      </c>
      <c r="D190" s="6" t="s">
        <v>1162</v>
      </c>
      <c r="E190" s="6" t="s">
        <v>110</v>
      </c>
      <c r="G190" s="522">
        <v>1.1880000000000002</v>
      </c>
      <c r="I190" s="11"/>
      <c r="L190" s="6">
        <v>1.1000000000000001</v>
      </c>
      <c r="M190" s="6">
        <v>1.2100000000000002</v>
      </c>
    </row>
    <row r="191" spans="1:15" hidden="1" x14ac:dyDescent="0.2">
      <c r="A191" s="6" t="str">
        <f t="shared" si="2"/>
        <v>AutónomaValenciaCenaInfantil</v>
      </c>
      <c r="B191" s="6" t="s">
        <v>2251</v>
      </c>
      <c r="C191" s="6" t="s">
        <v>1110</v>
      </c>
      <c r="D191" s="6" t="s">
        <v>1162</v>
      </c>
      <c r="E191" s="6" t="s">
        <v>1275</v>
      </c>
      <c r="G191" s="522">
        <v>1.1880000000000002</v>
      </c>
      <c r="I191" s="11"/>
      <c r="L191" s="6">
        <v>1.1000000000000001</v>
      </c>
      <c r="M191" s="6">
        <v>1.2100000000000002</v>
      </c>
    </row>
    <row r="192" spans="1:15" x14ac:dyDescent="0.2">
      <c r="A192" s="6" t="str">
        <f t="shared" si="2"/>
        <v>AutónomaValenciaComidaAdulto</v>
      </c>
      <c r="B192" s="6" t="s">
        <v>2251</v>
      </c>
      <c r="C192" s="6" t="s">
        <v>1110</v>
      </c>
      <c r="D192" s="6" t="s">
        <v>1011</v>
      </c>
      <c r="E192" s="6" t="s">
        <v>1141</v>
      </c>
      <c r="G192" s="522" t="str">
        <f ca="1">IFERROR((Presupuesto_Final2!$D$3/Presupuesto_Final2!$L$4)*0.45,"datos")</f>
        <v>datos</v>
      </c>
      <c r="I192" s="11"/>
      <c r="L192" s="6">
        <v>1.45</v>
      </c>
      <c r="M192" s="6">
        <v>1.595</v>
      </c>
      <c r="N192" s="6">
        <v>1.5660000000000001</v>
      </c>
      <c r="O192" s="6">
        <v>1.5</v>
      </c>
    </row>
    <row r="193" spans="1:14" hidden="1" x14ac:dyDescent="0.2">
      <c r="A193" s="6" t="str">
        <f t="shared" si="2"/>
        <v>AutónomaValenciaComidaAdulto Sanitario</v>
      </c>
      <c r="B193" s="6" t="s">
        <v>2251</v>
      </c>
      <c r="C193" s="6" t="s">
        <v>1110</v>
      </c>
      <c r="D193" s="6" t="s">
        <v>1011</v>
      </c>
      <c r="E193" s="6" t="s">
        <v>1163</v>
      </c>
      <c r="G193" s="522">
        <v>2.67</v>
      </c>
      <c r="I193" s="11"/>
      <c r="L193" s="6">
        <v>0.99</v>
      </c>
      <c r="M193" s="6">
        <v>1.089</v>
      </c>
    </row>
    <row r="194" spans="1:14" hidden="1" x14ac:dyDescent="0.2">
      <c r="A194" s="6" t="str">
        <f t="shared" ref="A194:A257" si="3">CONCATENATE(B194,C194,D194,E194)</f>
        <v>AutónomaValenciaComidaAlergias_Env</v>
      </c>
      <c r="B194" s="6" t="s">
        <v>2251</v>
      </c>
      <c r="C194" s="6" t="s">
        <v>1110</v>
      </c>
      <c r="D194" s="6" t="s">
        <v>1011</v>
      </c>
      <c r="E194" s="6" t="s">
        <v>1186</v>
      </c>
      <c r="G194" s="522">
        <v>1.19</v>
      </c>
      <c r="I194" s="11"/>
      <c r="L194" s="6">
        <v>0.85</v>
      </c>
      <c r="M194" s="6">
        <v>0.93499999999999994</v>
      </c>
    </row>
    <row r="195" spans="1:14" hidden="1" x14ac:dyDescent="0.2">
      <c r="A195" s="6" t="str">
        <f t="shared" si="3"/>
        <v>AutónomaValenciaComidaAlergias_Sin_Envasar</v>
      </c>
      <c r="B195" s="6" t="s">
        <v>2251</v>
      </c>
      <c r="C195" s="6" t="s">
        <v>1110</v>
      </c>
      <c r="D195" s="6" t="s">
        <v>1011</v>
      </c>
      <c r="E195" s="6" t="s">
        <v>2253</v>
      </c>
      <c r="G195" s="522">
        <v>1.19</v>
      </c>
      <c r="I195" s="11"/>
      <c r="L195" s="6">
        <v>0.77</v>
      </c>
      <c r="M195" s="6">
        <v>0.84699999999999998</v>
      </c>
    </row>
    <row r="196" spans="1:14" hidden="1" x14ac:dyDescent="0.2">
      <c r="A196" s="6" t="str">
        <f t="shared" si="3"/>
        <v>AutónomaValenciaComidaEscolar</v>
      </c>
      <c r="B196" s="6" t="s">
        <v>2251</v>
      </c>
      <c r="C196" s="6" t="s">
        <v>1110</v>
      </c>
      <c r="D196" s="6" t="s">
        <v>1011</v>
      </c>
      <c r="E196" s="6" t="s">
        <v>110</v>
      </c>
      <c r="G196" s="522">
        <v>1.19</v>
      </c>
      <c r="I196" s="11"/>
      <c r="L196" s="6">
        <v>0.99</v>
      </c>
      <c r="M196" s="6">
        <v>1.089</v>
      </c>
      <c r="N196" s="6">
        <v>1.0691999999999999</v>
      </c>
    </row>
    <row r="197" spans="1:14" hidden="1" x14ac:dyDescent="0.2">
      <c r="A197" s="6" t="str">
        <f t="shared" si="3"/>
        <v>AutónomaValenciaComidaGratuidades</v>
      </c>
      <c r="B197" s="6" t="s">
        <v>2251</v>
      </c>
      <c r="C197" s="6" t="s">
        <v>1110</v>
      </c>
      <c r="D197" s="6" t="s">
        <v>1011</v>
      </c>
      <c r="E197" s="6" t="s">
        <v>1255</v>
      </c>
      <c r="G197" s="522">
        <v>1.19</v>
      </c>
      <c r="I197" s="11"/>
      <c r="L197" s="6">
        <v>0.83</v>
      </c>
      <c r="M197" s="6">
        <v>0.91299999999999992</v>
      </c>
    </row>
    <row r="198" spans="1:14" hidden="1" x14ac:dyDescent="0.2">
      <c r="A198" s="6" t="str">
        <f t="shared" si="3"/>
        <v>AutónomaValenciaComidaInfantil</v>
      </c>
      <c r="B198" s="6" t="s">
        <v>2251</v>
      </c>
      <c r="C198" s="6" t="s">
        <v>1110</v>
      </c>
      <c r="D198" s="6" t="s">
        <v>1011</v>
      </c>
      <c r="E198" s="6" t="s">
        <v>1275</v>
      </c>
      <c r="G198" s="522">
        <v>0.94</v>
      </c>
      <c r="I198" s="11"/>
      <c r="L198" s="6">
        <v>0.77</v>
      </c>
      <c r="M198" s="6">
        <v>0.84699999999999998</v>
      </c>
    </row>
    <row r="199" spans="1:14" x14ac:dyDescent="0.2">
      <c r="A199" s="6" t="str">
        <f t="shared" si="3"/>
        <v>AutónomaValenciaDesayunoAdulto</v>
      </c>
      <c r="B199" s="6" t="s">
        <v>2251</v>
      </c>
      <c r="C199" s="6" t="s">
        <v>1110</v>
      </c>
      <c r="D199" s="6" t="s">
        <v>1208</v>
      </c>
      <c r="E199" s="6" t="s">
        <v>1141</v>
      </c>
      <c r="G199" s="522">
        <v>0.72</v>
      </c>
      <c r="I199" s="11"/>
      <c r="L199" s="6">
        <v>0.44</v>
      </c>
      <c r="M199" s="6">
        <v>0.48399999999999999</v>
      </c>
    </row>
    <row r="200" spans="1:14" hidden="1" x14ac:dyDescent="0.2">
      <c r="A200" s="6" t="str">
        <f t="shared" si="3"/>
        <v>AutónomaValenciaDesayunoAdulto Sanitario</v>
      </c>
      <c r="B200" s="6" t="s">
        <v>2251</v>
      </c>
      <c r="C200" s="6" t="s">
        <v>1110</v>
      </c>
      <c r="D200" s="6" t="s">
        <v>1208</v>
      </c>
      <c r="E200" s="6" t="s">
        <v>1163</v>
      </c>
      <c r="G200" s="522">
        <v>0.72</v>
      </c>
      <c r="I200" s="11"/>
      <c r="L200" s="6">
        <v>0.48</v>
      </c>
      <c r="M200" s="6">
        <v>0.52800000000000002</v>
      </c>
    </row>
    <row r="201" spans="1:14" hidden="1" x14ac:dyDescent="0.2">
      <c r="A201" s="6" t="str">
        <f t="shared" si="3"/>
        <v>AutónomaValenciaDesayunoEscolar</v>
      </c>
      <c r="B201" s="6" t="s">
        <v>2251</v>
      </c>
      <c r="C201" s="6" t="s">
        <v>1110</v>
      </c>
      <c r="D201" s="6" t="s">
        <v>1208</v>
      </c>
      <c r="E201" s="6" t="s">
        <v>110</v>
      </c>
      <c r="G201" s="522">
        <v>0.43200000000000005</v>
      </c>
      <c r="I201" s="11"/>
      <c r="L201" s="6">
        <v>0.4</v>
      </c>
      <c r="M201" s="6">
        <v>0.44000000000000006</v>
      </c>
    </row>
    <row r="202" spans="1:14" hidden="1" x14ac:dyDescent="0.2">
      <c r="A202" s="6" t="str">
        <f t="shared" si="3"/>
        <v>AutónomaValenciaDesayunoInfantil</v>
      </c>
      <c r="B202" s="6" t="s">
        <v>2251</v>
      </c>
      <c r="C202" s="6" t="s">
        <v>1110</v>
      </c>
      <c r="D202" s="6" t="s">
        <v>1208</v>
      </c>
      <c r="E202" s="6" t="s">
        <v>1275</v>
      </c>
      <c r="G202" s="522">
        <v>0.43200000000000005</v>
      </c>
      <c r="I202" s="11"/>
      <c r="L202" s="6">
        <v>0.4</v>
      </c>
      <c r="M202" s="6">
        <v>0.44000000000000006</v>
      </c>
    </row>
    <row r="203" spans="1:14" x14ac:dyDescent="0.2">
      <c r="A203" s="6" t="str">
        <f t="shared" si="3"/>
        <v>AutónomaValenciaMeriendaAdulto</v>
      </c>
      <c r="B203" s="6" t="s">
        <v>2251</v>
      </c>
      <c r="C203" s="6" t="s">
        <v>1110</v>
      </c>
      <c r="D203" s="6" t="s">
        <v>1012</v>
      </c>
      <c r="E203" s="6" t="s">
        <v>1141</v>
      </c>
      <c r="G203" s="522">
        <v>0.81</v>
      </c>
      <c r="I203" s="11"/>
      <c r="L203" s="6">
        <v>0.75</v>
      </c>
      <c r="M203" s="6">
        <v>0.82499999999999996</v>
      </c>
    </row>
    <row r="204" spans="1:14" hidden="1" x14ac:dyDescent="0.2">
      <c r="A204" s="6" t="str">
        <f t="shared" si="3"/>
        <v>AutónomaValenciaMeriendaAdulto Sanitario</v>
      </c>
      <c r="B204" s="6" t="s">
        <v>2251</v>
      </c>
      <c r="C204" s="6" t="s">
        <v>1110</v>
      </c>
      <c r="D204" s="6" t="s">
        <v>1012</v>
      </c>
      <c r="E204" s="6" t="s">
        <v>1163</v>
      </c>
      <c r="G204" s="522">
        <v>0.82</v>
      </c>
      <c r="I204" s="11"/>
      <c r="L204" s="6">
        <v>0.19</v>
      </c>
      <c r="M204" s="6">
        <v>0.20900000000000002</v>
      </c>
    </row>
    <row r="205" spans="1:14" hidden="1" x14ac:dyDescent="0.2">
      <c r="A205" s="6" t="str">
        <f t="shared" si="3"/>
        <v>AutónomaValenciaMeriendaEscolar</v>
      </c>
      <c r="B205" s="6" t="s">
        <v>2251</v>
      </c>
      <c r="C205" s="6" t="s">
        <v>1110</v>
      </c>
      <c r="D205" s="6" t="s">
        <v>1012</v>
      </c>
      <c r="E205" s="6" t="s">
        <v>110</v>
      </c>
      <c r="G205" s="522">
        <v>0.54</v>
      </c>
      <c r="I205" s="11"/>
      <c r="L205" s="6">
        <v>0.5</v>
      </c>
      <c r="M205" s="6">
        <v>0.55000000000000004</v>
      </c>
    </row>
    <row r="206" spans="1:14" hidden="1" x14ac:dyDescent="0.2">
      <c r="A206" s="6" t="str">
        <f t="shared" si="3"/>
        <v>AutónomaValenciaMeriendaInfantil</v>
      </c>
      <c r="B206" s="6" t="s">
        <v>2251</v>
      </c>
      <c r="C206" s="6" t="s">
        <v>1110</v>
      </c>
      <c r="D206" s="6" t="s">
        <v>1012</v>
      </c>
      <c r="E206" s="6" t="s">
        <v>1275</v>
      </c>
      <c r="G206" s="522">
        <v>0.54</v>
      </c>
      <c r="I206" s="11"/>
      <c r="L206" s="6">
        <v>0.5</v>
      </c>
      <c r="M206" s="6">
        <v>0.55000000000000004</v>
      </c>
    </row>
    <row r="207" spans="1:14" x14ac:dyDescent="0.2">
      <c r="A207" s="6" t="str">
        <f t="shared" si="3"/>
        <v>CateringAlicanteAlmuerzoAdulto</v>
      </c>
      <c r="B207" s="6" t="s">
        <v>31</v>
      </c>
      <c r="C207" s="6" t="s">
        <v>1106</v>
      </c>
      <c r="D207" s="6" t="s">
        <v>1010</v>
      </c>
      <c r="E207" s="6" t="s">
        <v>1141</v>
      </c>
      <c r="G207" s="522">
        <v>0.82</v>
      </c>
      <c r="I207" s="11"/>
      <c r="L207" s="6">
        <v>0.44</v>
      </c>
      <c r="M207" s="6">
        <v>0.48399999999999999</v>
      </c>
    </row>
    <row r="208" spans="1:14" hidden="1" x14ac:dyDescent="0.2">
      <c r="A208" s="6" t="str">
        <f t="shared" si="3"/>
        <v>CateringAlicanteAlmuerzoEscolar</v>
      </c>
      <c r="B208" s="6" t="s">
        <v>31</v>
      </c>
      <c r="C208" s="6" t="s">
        <v>1106</v>
      </c>
      <c r="D208" s="6" t="s">
        <v>1010</v>
      </c>
      <c r="E208" s="6" t="s">
        <v>110</v>
      </c>
      <c r="G208" s="522">
        <v>0.43200000000000005</v>
      </c>
      <c r="I208" s="11"/>
      <c r="L208" s="6">
        <v>0.4</v>
      </c>
      <c r="M208" s="6">
        <v>0.44000000000000006</v>
      </c>
    </row>
    <row r="209" spans="1:13" hidden="1" x14ac:dyDescent="0.2">
      <c r="A209" s="6" t="str">
        <f t="shared" si="3"/>
        <v>CateringAlicanteAlmuerzoInfantil</v>
      </c>
      <c r="B209" s="6" t="s">
        <v>31</v>
      </c>
      <c r="C209" s="6" t="s">
        <v>1106</v>
      </c>
      <c r="D209" s="6" t="s">
        <v>1010</v>
      </c>
      <c r="E209" s="6" t="s">
        <v>1275</v>
      </c>
      <c r="G209" s="522">
        <v>0.47520000000000001</v>
      </c>
      <c r="I209" s="11"/>
      <c r="L209" s="6">
        <v>0.44</v>
      </c>
      <c r="M209" s="6">
        <v>0.48399999999999999</v>
      </c>
    </row>
    <row r="210" spans="1:13" x14ac:dyDescent="0.2">
      <c r="A210" s="6" t="str">
        <f t="shared" si="3"/>
        <v>CateringAlicanteCenaAdulto</v>
      </c>
      <c r="B210" s="6" t="s">
        <v>31</v>
      </c>
      <c r="C210" s="6" t="s">
        <v>1106</v>
      </c>
      <c r="D210" s="6" t="s">
        <v>1162</v>
      </c>
      <c r="E210" s="6" t="s">
        <v>1141</v>
      </c>
      <c r="G210" s="522">
        <v>1.3392000000000002</v>
      </c>
      <c r="I210" s="11"/>
      <c r="L210" s="6">
        <v>1.24</v>
      </c>
      <c r="M210" s="6">
        <v>1.3639999999999999</v>
      </c>
    </row>
    <row r="211" spans="1:13" hidden="1" x14ac:dyDescent="0.2">
      <c r="A211" s="6" t="str">
        <f t="shared" si="3"/>
        <v>CateringAlicanteCenaEscolar</v>
      </c>
      <c r="B211" s="6" t="s">
        <v>31</v>
      </c>
      <c r="C211" s="6" t="s">
        <v>1106</v>
      </c>
      <c r="D211" s="6" t="s">
        <v>1162</v>
      </c>
      <c r="E211" s="6" t="s">
        <v>110</v>
      </c>
      <c r="G211" s="522">
        <v>1.296</v>
      </c>
      <c r="I211" s="11"/>
      <c r="L211" s="6">
        <v>1.2</v>
      </c>
      <c r="M211" s="6">
        <v>1.3199999999999998</v>
      </c>
    </row>
    <row r="212" spans="1:13" hidden="1" x14ac:dyDescent="0.2">
      <c r="A212" s="6" t="str">
        <f t="shared" si="3"/>
        <v>CateringAlicanteCenaInfantil</v>
      </c>
      <c r="B212" s="6" t="s">
        <v>31</v>
      </c>
      <c r="C212" s="6" t="s">
        <v>1106</v>
      </c>
      <c r="D212" s="6" t="s">
        <v>1162</v>
      </c>
      <c r="E212" s="6" t="s">
        <v>1275</v>
      </c>
      <c r="G212" s="522">
        <v>0.9396000000000001</v>
      </c>
      <c r="I212" s="11"/>
      <c r="L212" s="6">
        <v>0.87</v>
      </c>
      <c r="M212" s="6">
        <v>0.95699999999999996</v>
      </c>
    </row>
    <row r="213" spans="1:13" x14ac:dyDescent="0.2">
      <c r="A213" s="6" t="str">
        <f t="shared" si="3"/>
        <v>CateringAlicanteComidaAdulto</v>
      </c>
      <c r="B213" s="6" t="s">
        <v>31</v>
      </c>
      <c r="C213" s="6" t="s">
        <v>1106</v>
      </c>
      <c r="D213" s="6" t="s">
        <v>1011</v>
      </c>
      <c r="E213" s="6" t="s">
        <v>1141</v>
      </c>
      <c r="G213" s="522">
        <v>2.2000000000000002</v>
      </c>
      <c r="I213" s="11"/>
      <c r="L213" s="631">
        <v>1.55</v>
      </c>
      <c r="M213" s="6">
        <v>1.7050000000000001</v>
      </c>
    </row>
    <row r="214" spans="1:13" hidden="1" x14ac:dyDescent="0.2">
      <c r="A214" s="6" t="str">
        <f t="shared" si="3"/>
        <v>CateringAlicanteComidaAlergias_Env</v>
      </c>
      <c r="B214" s="6" t="s">
        <v>31</v>
      </c>
      <c r="C214" s="6" t="s">
        <v>1106</v>
      </c>
      <c r="D214" s="6" t="s">
        <v>1011</v>
      </c>
      <c r="E214" s="6" t="s">
        <v>1186</v>
      </c>
      <c r="G214" s="522">
        <v>1.2</v>
      </c>
      <c r="I214" s="11"/>
      <c r="L214" s="631">
        <v>0.86</v>
      </c>
      <c r="M214" s="6">
        <v>0.94599999999999995</v>
      </c>
    </row>
    <row r="215" spans="1:13" hidden="1" x14ac:dyDescent="0.2">
      <c r="A215" s="6" t="str">
        <f t="shared" si="3"/>
        <v>CateringAlicanteComidaAlergias_Sin_Envasar</v>
      </c>
      <c r="B215" s="6" t="s">
        <v>31</v>
      </c>
      <c r="C215" s="6" t="s">
        <v>1106</v>
      </c>
      <c r="D215" s="6" t="s">
        <v>1011</v>
      </c>
      <c r="E215" s="6" t="s">
        <v>2253</v>
      </c>
      <c r="G215" s="522">
        <v>1.2</v>
      </c>
      <c r="I215" s="11"/>
      <c r="L215" s="631" t="s">
        <v>2252</v>
      </c>
      <c r="M215" s="6" t="s">
        <v>318</v>
      </c>
    </row>
    <row r="216" spans="1:13" hidden="1" x14ac:dyDescent="0.2">
      <c r="A216" s="6" t="str">
        <f t="shared" si="3"/>
        <v>CateringAlicanteComidaEscolar</v>
      </c>
      <c r="B216" s="6" t="s">
        <v>31</v>
      </c>
      <c r="C216" s="6" t="s">
        <v>1106</v>
      </c>
      <c r="D216" s="6" t="s">
        <v>1011</v>
      </c>
      <c r="E216" s="6" t="s">
        <v>110</v>
      </c>
      <c r="G216" s="522">
        <v>1.2</v>
      </c>
      <c r="I216" s="11"/>
      <c r="L216" s="631">
        <v>0.99</v>
      </c>
      <c r="M216" s="6">
        <v>1.089</v>
      </c>
    </row>
    <row r="217" spans="1:13" hidden="1" x14ac:dyDescent="0.2">
      <c r="A217" s="6" t="str">
        <f t="shared" si="3"/>
        <v>CateringAlicanteComidaGratuidades</v>
      </c>
      <c r="B217" s="6" t="s">
        <v>31</v>
      </c>
      <c r="C217" s="6" t="s">
        <v>1106</v>
      </c>
      <c r="D217" s="6" t="s">
        <v>1011</v>
      </c>
      <c r="E217" s="6" t="s">
        <v>1255</v>
      </c>
      <c r="G217" s="522">
        <v>1.2</v>
      </c>
      <c r="I217" s="11"/>
      <c r="L217" s="631">
        <v>0.84</v>
      </c>
      <c r="M217" s="6">
        <v>0.92399999999999993</v>
      </c>
    </row>
    <row r="218" spans="1:13" hidden="1" x14ac:dyDescent="0.2">
      <c r="A218" s="6" t="str">
        <f t="shared" si="3"/>
        <v>CateringAlicanteComidaInfantil</v>
      </c>
      <c r="B218" s="6" t="s">
        <v>31</v>
      </c>
      <c r="C218" s="6" t="s">
        <v>1106</v>
      </c>
      <c r="D218" s="6" t="s">
        <v>1011</v>
      </c>
      <c r="E218" s="6" t="s">
        <v>1275</v>
      </c>
      <c r="G218" s="522">
        <v>1.2</v>
      </c>
      <c r="I218" s="11"/>
      <c r="L218" s="631">
        <v>0.78</v>
      </c>
      <c r="M218" s="6">
        <v>0.8580000000000001</v>
      </c>
    </row>
    <row r="219" spans="1:13" x14ac:dyDescent="0.2">
      <c r="A219" s="6" t="str">
        <f t="shared" si="3"/>
        <v>CateringAlicanteDesayunoAdulto</v>
      </c>
      <c r="B219" s="6" t="s">
        <v>31</v>
      </c>
      <c r="C219" s="6" t="s">
        <v>1106</v>
      </c>
      <c r="D219" s="6" t="s">
        <v>1208</v>
      </c>
      <c r="E219" s="6" t="s">
        <v>1141</v>
      </c>
      <c r="G219" s="522">
        <v>0.72</v>
      </c>
      <c r="I219" s="11"/>
      <c r="L219" s="6">
        <v>0.44</v>
      </c>
      <c r="M219" s="6">
        <v>0.48399999999999999</v>
      </c>
    </row>
    <row r="220" spans="1:13" hidden="1" x14ac:dyDescent="0.2">
      <c r="A220" s="6" t="str">
        <f t="shared" si="3"/>
        <v>CateringAlicanteDesayunoEscolar</v>
      </c>
      <c r="B220" s="6" t="s">
        <v>31</v>
      </c>
      <c r="C220" s="6" t="s">
        <v>1106</v>
      </c>
      <c r="D220" s="6" t="s">
        <v>1208</v>
      </c>
      <c r="E220" s="6" t="s">
        <v>110</v>
      </c>
      <c r="G220" s="522">
        <v>0.54</v>
      </c>
      <c r="I220" s="11"/>
      <c r="L220" s="6">
        <v>0.5</v>
      </c>
      <c r="M220" s="6">
        <v>0.55000000000000004</v>
      </c>
    </row>
    <row r="221" spans="1:13" hidden="1" x14ac:dyDescent="0.2">
      <c r="A221" s="6" t="str">
        <f t="shared" si="3"/>
        <v>CateringAlicanteDesayunoInfantil</v>
      </c>
      <c r="B221" s="6" t="s">
        <v>31</v>
      </c>
      <c r="C221" s="6" t="s">
        <v>1106</v>
      </c>
      <c r="D221" s="6" t="s">
        <v>1208</v>
      </c>
      <c r="E221" s="6" t="s">
        <v>1275</v>
      </c>
      <c r="G221" s="522">
        <v>0.54</v>
      </c>
      <c r="I221" s="11"/>
      <c r="L221" s="6">
        <v>0.5</v>
      </c>
      <c r="M221" s="6">
        <v>0.55000000000000004</v>
      </c>
    </row>
    <row r="222" spans="1:13" x14ac:dyDescent="0.2">
      <c r="A222" s="6" t="str">
        <f t="shared" si="3"/>
        <v>CateringAlicanteMeriendaAdulto</v>
      </c>
      <c r="B222" s="6" t="s">
        <v>31</v>
      </c>
      <c r="C222" s="6" t="s">
        <v>1106</v>
      </c>
      <c r="D222" s="6" t="s">
        <v>1012</v>
      </c>
      <c r="E222" s="6" t="s">
        <v>1141</v>
      </c>
      <c r="G222" s="522">
        <v>0.81</v>
      </c>
      <c r="I222" s="11"/>
      <c r="L222" s="6">
        <v>0.75</v>
      </c>
      <c r="M222" s="6">
        <v>0.82499999999999996</v>
      </c>
    </row>
    <row r="223" spans="1:13" hidden="1" x14ac:dyDescent="0.2">
      <c r="A223" s="6" t="str">
        <f t="shared" si="3"/>
        <v>CateringAlicanteMeriendaEscolar</v>
      </c>
      <c r="B223" s="6" t="s">
        <v>31</v>
      </c>
      <c r="C223" s="6" t="s">
        <v>1106</v>
      </c>
      <c r="D223" s="6" t="s">
        <v>1012</v>
      </c>
      <c r="E223" s="6" t="s">
        <v>110</v>
      </c>
      <c r="G223" s="522">
        <v>0.54</v>
      </c>
      <c r="I223" s="11"/>
      <c r="L223" s="6">
        <v>0.5</v>
      </c>
      <c r="M223" s="6">
        <v>0.55000000000000004</v>
      </c>
    </row>
    <row r="224" spans="1:13" hidden="1" x14ac:dyDescent="0.2">
      <c r="A224" s="6" t="str">
        <f t="shared" si="3"/>
        <v>CateringAlicanteMeriendaInfantil</v>
      </c>
      <c r="B224" s="6" t="s">
        <v>31</v>
      </c>
      <c r="C224" s="6" t="s">
        <v>1106</v>
      </c>
      <c r="D224" s="6" t="s">
        <v>1012</v>
      </c>
      <c r="E224" s="6" t="s">
        <v>1275</v>
      </c>
      <c r="G224" s="522">
        <v>0.54</v>
      </c>
      <c r="I224" s="11"/>
      <c r="L224" s="6">
        <v>0.5</v>
      </c>
      <c r="M224" s="6">
        <v>0.55000000000000004</v>
      </c>
    </row>
    <row r="225" spans="1:14" x14ac:dyDescent="0.2">
      <c r="A225" s="6" t="str">
        <f t="shared" si="3"/>
        <v>AutónomaMálagaComidaAdulto</v>
      </c>
      <c r="B225" s="6" t="s">
        <v>2251</v>
      </c>
      <c r="C225" s="6" t="s">
        <v>1232</v>
      </c>
      <c r="D225" s="6" t="s">
        <v>1011</v>
      </c>
      <c r="E225" s="6" t="s">
        <v>1141</v>
      </c>
      <c r="G225" s="522">
        <v>2.2000000000000002</v>
      </c>
      <c r="I225" s="11"/>
      <c r="L225" s="6">
        <v>1.45</v>
      </c>
      <c r="M225" s="6">
        <v>1.595</v>
      </c>
      <c r="N225" s="114">
        <v>1.58</v>
      </c>
    </row>
    <row r="226" spans="1:14" hidden="1" x14ac:dyDescent="0.2">
      <c r="A226" s="6" t="str">
        <f t="shared" si="3"/>
        <v>AutónomaMálagaComidaAlergias_Env</v>
      </c>
      <c r="B226" s="6" t="s">
        <v>2251</v>
      </c>
      <c r="C226" s="6" t="s">
        <v>1232</v>
      </c>
      <c r="D226" s="6" t="s">
        <v>1011</v>
      </c>
      <c r="E226" s="6" t="s">
        <v>1186</v>
      </c>
      <c r="G226" s="522">
        <v>1.3</v>
      </c>
      <c r="I226" s="11"/>
      <c r="L226" s="6" t="s">
        <v>2252</v>
      </c>
      <c r="M226" s="6" t="s">
        <v>318</v>
      </c>
    </row>
    <row r="227" spans="1:14" hidden="1" x14ac:dyDescent="0.2">
      <c r="A227" s="6" t="str">
        <f t="shared" si="3"/>
        <v>AutónomaMálagaComidaAlergias_Env</v>
      </c>
      <c r="B227" s="6" t="s">
        <v>2251</v>
      </c>
      <c r="C227" s="6" t="s">
        <v>1232</v>
      </c>
      <c r="D227" s="6" t="s">
        <v>1011</v>
      </c>
      <c r="E227" s="6" t="s">
        <v>1186</v>
      </c>
      <c r="G227" s="522">
        <v>1.3</v>
      </c>
      <c r="I227" s="11"/>
      <c r="L227" s="6" t="s">
        <v>2252</v>
      </c>
      <c r="M227" s="6" t="s">
        <v>318</v>
      </c>
    </row>
    <row r="228" spans="1:14" hidden="1" x14ac:dyDescent="0.2">
      <c r="A228" s="6" t="str">
        <f t="shared" si="3"/>
        <v>AutónomaMálagaComidaAlergias_Sin_Envasar</v>
      </c>
      <c r="B228" s="6" t="s">
        <v>2251</v>
      </c>
      <c r="C228" s="6" t="s">
        <v>1232</v>
      </c>
      <c r="D228" s="6" t="s">
        <v>1011</v>
      </c>
      <c r="E228" s="6" t="s">
        <v>2253</v>
      </c>
      <c r="G228" s="522">
        <v>1.3</v>
      </c>
      <c r="I228" s="11"/>
      <c r="L228" s="6" t="s">
        <v>2252</v>
      </c>
      <c r="M228" s="6" t="s">
        <v>318</v>
      </c>
    </row>
    <row r="229" spans="1:14" hidden="1" x14ac:dyDescent="0.2">
      <c r="A229" s="6" t="str">
        <f t="shared" si="3"/>
        <v>AutónomaMálagaComidaAlergias_Sin_Envasar</v>
      </c>
      <c r="B229" s="6" t="s">
        <v>2251</v>
      </c>
      <c r="C229" s="6" t="s">
        <v>1232</v>
      </c>
      <c r="D229" s="6" t="s">
        <v>1011</v>
      </c>
      <c r="E229" s="6" t="s">
        <v>2253</v>
      </c>
      <c r="G229" s="522">
        <v>1.3</v>
      </c>
      <c r="I229" s="11"/>
      <c r="L229" s="6" t="s">
        <v>2252</v>
      </c>
      <c r="M229" s="6" t="s">
        <v>318</v>
      </c>
    </row>
    <row r="230" spans="1:14" hidden="1" x14ac:dyDescent="0.2">
      <c r="A230" s="6" t="str">
        <f t="shared" si="3"/>
        <v>AutónomaMálagaComidaEscolar</v>
      </c>
      <c r="B230" s="6" t="s">
        <v>2251</v>
      </c>
      <c r="C230" s="6" t="s">
        <v>1232</v>
      </c>
      <c r="D230" s="6" t="s">
        <v>1011</v>
      </c>
      <c r="E230" s="6" t="s">
        <v>110</v>
      </c>
      <c r="G230" s="523">
        <v>1.19</v>
      </c>
      <c r="I230" s="11"/>
      <c r="L230" s="6">
        <v>1.1299999999999999</v>
      </c>
      <c r="M230" s="6">
        <v>1.2429999999999999</v>
      </c>
      <c r="N230" s="114">
        <v>1.05</v>
      </c>
    </row>
    <row r="231" spans="1:14" hidden="1" x14ac:dyDescent="0.2">
      <c r="A231" s="6" t="str">
        <f t="shared" si="3"/>
        <v>AutónomaMálagaComidaEscolar</v>
      </c>
      <c r="B231" s="6" t="s">
        <v>2251</v>
      </c>
      <c r="C231" s="6" t="s">
        <v>1232</v>
      </c>
      <c r="D231" s="6" t="s">
        <v>1011</v>
      </c>
      <c r="E231" s="6" t="s">
        <v>110</v>
      </c>
      <c r="G231" s="523">
        <v>1.19</v>
      </c>
      <c r="I231" s="11"/>
      <c r="L231" s="6">
        <v>1.1299999999999999</v>
      </c>
      <c r="M231" s="6">
        <v>1.2429999999999999</v>
      </c>
      <c r="N231" s="114">
        <v>1.05</v>
      </c>
    </row>
    <row r="232" spans="1:14" hidden="1" x14ac:dyDescent="0.2">
      <c r="A232" s="6" t="str">
        <f t="shared" si="3"/>
        <v>AutónomaMálagaComidaGratuidades</v>
      </c>
      <c r="B232" s="6" t="s">
        <v>2251</v>
      </c>
      <c r="C232" s="6" t="s">
        <v>1232</v>
      </c>
      <c r="D232" s="6" t="s">
        <v>1011</v>
      </c>
      <c r="E232" s="6" t="s">
        <v>1255</v>
      </c>
      <c r="G232" s="522">
        <v>1.0692000000000002</v>
      </c>
      <c r="I232" s="11"/>
      <c r="L232" s="6">
        <v>0.99</v>
      </c>
      <c r="M232" s="6">
        <v>1.089</v>
      </c>
    </row>
    <row r="233" spans="1:14" hidden="1" x14ac:dyDescent="0.2">
      <c r="A233" s="6" t="str">
        <f t="shared" si="3"/>
        <v>AutónomaMálagaComidaGratuidades</v>
      </c>
      <c r="B233" s="6" t="s">
        <v>2251</v>
      </c>
      <c r="C233" s="6" t="s">
        <v>1232</v>
      </c>
      <c r="D233" s="6" t="s">
        <v>1011</v>
      </c>
      <c r="E233" s="6" t="s">
        <v>1255</v>
      </c>
      <c r="G233" s="522">
        <v>1.0692000000000002</v>
      </c>
      <c r="I233" s="11"/>
      <c r="L233" s="6">
        <v>0.99</v>
      </c>
      <c r="M233" s="6">
        <v>1.089</v>
      </c>
    </row>
    <row r="234" spans="1:14" hidden="1" x14ac:dyDescent="0.2">
      <c r="A234" s="6" t="str">
        <f t="shared" si="3"/>
        <v>AutónomaMálagaComidaInfantil</v>
      </c>
      <c r="B234" s="6" t="s">
        <v>2251</v>
      </c>
      <c r="C234" s="6" t="s">
        <v>1232</v>
      </c>
      <c r="D234" s="6" t="s">
        <v>1011</v>
      </c>
      <c r="E234" s="6" t="s">
        <v>1275</v>
      </c>
      <c r="G234" s="522">
        <v>1.0692000000000002</v>
      </c>
      <c r="I234" s="11"/>
      <c r="L234" s="6">
        <v>0.99</v>
      </c>
      <c r="M234" s="6">
        <v>1.089</v>
      </c>
    </row>
    <row r="235" spans="1:14" hidden="1" x14ac:dyDescent="0.2">
      <c r="A235" s="6" t="str">
        <f t="shared" si="3"/>
        <v>AutónomaMálagaComidaInfantil</v>
      </c>
      <c r="B235" s="6" t="s">
        <v>2251</v>
      </c>
      <c r="C235" s="6" t="s">
        <v>1232</v>
      </c>
      <c r="D235" s="6" t="s">
        <v>1011</v>
      </c>
      <c r="E235" s="6" t="s">
        <v>1275</v>
      </c>
      <c r="G235" s="522">
        <v>1.0692000000000002</v>
      </c>
      <c r="I235" s="11"/>
      <c r="L235" s="6">
        <v>0.99</v>
      </c>
      <c r="M235" s="6">
        <v>1.089</v>
      </c>
    </row>
    <row r="236" spans="1:14" x14ac:dyDescent="0.2">
      <c r="A236" s="6" t="str">
        <f t="shared" si="3"/>
        <v>AutónomaMálagaDesayunoAdulto</v>
      </c>
      <c r="B236" s="6" t="s">
        <v>2251</v>
      </c>
      <c r="C236" s="6" t="s">
        <v>1232</v>
      </c>
      <c r="D236" s="6" t="s">
        <v>1208</v>
      </c>
      <c r="E236" s="6" t="s">
        <v>1141</v>
      </c>
      <c r="G236" s="522">
        <v>0.72</v>
      </c>
      <c r="I236" s="11"/>
      <c r="L236" s="6">
        <v>0.44</v>
      </c>
      <c r="M236" s="6">
        <v>0.48399999999999999</v>
      </c>
    </row>
    <row r="237" spans="1:14" x14ac:dyDescent="0.2">
      <c r="A237" s="6" t="str">
        <f t="shared" si="3"/>
        <v>AutónomaMálagaDesayunoAdulto</v>
      </c>
      <c r="B237" s="6" t="s">
        <v>2251</v>
      </c>
      <c r="C237" s="6" t="s">
        <v>1232</v>
      </c>
      <c r="D237" s="6" t="s">
        <v>1208</v>
      </c>
      <c r="E237" s="6" t="s">
        <v>1141</v>
      </c>
      <c r="G237" s="522">
        <v>0.72</v>
      </c>
      <c r="I237" s="11"/>
      <c r="L237" s="6">
        <v>0.44</v>
      </c>
      <c r="M237" s="6">
        <v>0.48399999999999999</v>
      </c>
    </row>
    <row r="238" spans="1:14" hidden="1" x14ac:dyDescent="0.2">
      <c r="A238" s="6" t="str">
        <f t="shared" si="3"/>
        <v>AutónomaMálagaDesayunoEscolar</v>
      </c>
      <c r="B238" s="6" t="s">
        <v>2251</v>
      </c>
      <c r="C238" s="6" t="s">
        <v>1232</v>
      </c>
      <c r="D238" s="6" t="s">
        <v>1208</v>
      </c>
      <c r="E238" s="6" t="s">
        <v>110</v>
      </c>
      <c r="G238" s="522">
        <v>0.43200000000000005</v>
      </c>
      <c r="I238" s="11"/>
      <c r="L238" s="6">
        <v>0.4</v>
      </c>
      <c r="M238" s="6">
        <v>0.44000000000000006</v>
      </c>
    </row>
    <row r="239" spans="1:14" hidden="1" x14ac:dyDescent="0.2">
      <c r="A239" s="6" t="str">
        <f t="shared" si="3"/>
        <v>AutónomaMálagaDesayunoInfantil</v>
      </c>
      <c r="B239" s="6" t="s">
        <v>2251</v>
      </c>
      <c r="C239" s="6" t="s">
        <v>1232</v>
      </c>
      <c r="D239" s="6" t="s">
        <v>1208</v>
      </c>
      <c r="E239" s="6" t="s">
        <v>1275</v>
      </c>
      <c r="G239" s="522">
        <v>0.43200000000000005</v>
      </c>
      <c r="I239" s="11"/>
      <c r="L239" s="6">
        <v>0.4</v>
      </c>
      <c r="M239" s="6">
        <v>0.44000000000000006</v>
      </c>
    </row>
    <row r="240" spans="1:14" x14ac:dyDescent="0.2">
      <c r="A240" s="6" t="str">
        <f t="shared" si="3"/>
        <v>AutónomaMálagaMeriendaAdulto</v>
      </c>
      <c r="B240" s="6" t="s">
        <v>2251</v>
      </c>
      <c r="C240" s="6" t="s">
        <v>1232</v>
      </c>
      <c r="D240" s="6" t="s">
        <v>1012</v>
      </c>
      <c r="E240" s="6" t="s">
        <v>1141</v>
      </c>
      <c r="G240" s="522">
        <v>0.81</v>
      </c>
      <c r="I240" s="11"/>
      <c r="L240" s="6">
        <v>0.75</v>
      </c>
      <c r="M240" s="6">
        <v>0.82499999999999996</v>
      </c>
    </row>
    <row r="241" spans="1:14" hidden="1" x14ac:dyDescent="0.2">
      <c r="A241" s="6" t="str">
        <f t="shared" si="3"/>
        <v>AutónomaMálagaMeriendaEscolar</v>
      </c>
      <c r="B241" s="6" t="s">
        <v>2251</v>
      </c>
      <c r="C241" s="6" t="s">
        <v>1232</v>
      </c>
      <c r="D241" s="6" t="s">
        <v>1012</v>
      </c>
      <c r="E241" s="6" t="s">
        <v>110</v>
      </c>
      <c r="G241" s="522">
        <v>0.54</v>
      </c>
      <c r="I241" s="11"/>
      <c r="L241" s="6">
        <v>0.5</v>
      </c>
      <c r="M241" s="6">
        <v>0.55000000000000004</v>
      </c>
    </row>
    <row r="242" spans="1:14" hidden="1" x14ac:dyDescent="0.2">
      <c r="A242" s="6" t="str">
        <f t="shared" si="3"/>
        <v>AutónomaMálagaMeriendaInfantil</v>
      </c>
      <c r="B242" s="6" t="s">
        <v>2251</v>
      </c>
      <c r="C242" s="6" t="s">
        <v>1232</v>
      </c>
      <c r="D242" s="6" t="s">
        <v>1012</v>
      </c>
      <c r="E242" s="6" t="s">
        <v>1275</v>
      </c>
      <c r="G242" s="522">
        <v>0.54</v>
      </c>
      <c r="I242" s="11"/>
      <c r="L242" s="6">
        <v>0.5</v>
      </c>
      <c r="M242" s="6">
        <v>0.55000000000000004</v>
      </c>
    </row>
    <row r="243" spans="1:14" x14ac:dyDescent="0.2">
      <c r="A243" s="6" t="str">
        <f t="shared" si="3"/>
        <v>CateringMálagaAlmuerzoAdulto</v>
      </c>
      <c r="B243" s="6" t="s">
        <v>31</v>
      </c>
      <c r="C243" s="6" t="s">
        <v>1232</v>
      </c>
      <c r="D243" s="6" t="s">
        <v>1010</v>
      </c>
      <c r="E243" s="6" t="s">
        <v>1141</v>
      </c>
      <c r="G243" s="522">
        <v>0.72</v>
      </c>
      <c r="I243" s="11"/>
      <c r="L243" s="6">
        <v>0.44</v>
      </c>
      <c r="M243" s="6">
        <v>0.48399999999999999</v>
      </c>
    </row>
    <row r="244" spans="1:14" x14ac:dyDescent="0.2">
      <c r="A244" s="6" t="str">
        <f t="shared" si="3"/>
        <v>CateringMálagaAlmuerzoAdulto</v>
      </c>
      <c r="B244" s="6" t="s">
        <v>31</v>
      </c>
      <c r="C244" s="6" t="s">
        <v>1232</v>
      </c>
      <c r="D244" s="6" t="s">
        <v>1010</v>
      </c>
      <c r="E244" s="6" t="s">
        <v>1141</v>
      </c>
      <c r="G244" s="522">
        <v>0.72</v>
      </c>
      <c r="I244" s="11"/>
      <c r="L244" s="6">
        <v>0.44</v>
      </c>
      <c r="M244" s="6">
        <v>0.48399999999999999</v>
      </c>
    </row>
    <row r="245" spans="1:14" hidden="1" x14ac:dyDescent="0.2">
      <c r="A245" s="6" t="str">
        <f t="shared" si="3"/>
        <v>CateringMálagaAlmuerzoEscolar</v>
      </c>
      <c r="B245" s="6" t="s">
        <v>31</v>
      </c>
      <c r="C245" s="6" t="s">
        <v>1232</v>
      </c>
      <c r="D245" s="6" t="s">
        <v>1010</v>
      </c>
      <c r="E245" s="6" t="s">
        <v>110</v>
      </c>
      <c r="G245" s="522">
        <v>0.43200000000000005</v>
      </c>
      <c r="I245" s="11"/>
      <c r="L245" s="6">
        <v>0.4</v>
      </c>
      <c r="M245" s="6">
        <v>0.44000000000000006</v>
      </c>
    </row>
    <row r="246" spans="1:14" hidden="1" x14ac:dyDescent="0.2">
      <c r="A246" s="6" t="str">
        <f t="shared" si="3"/>
        <v>CateringMálagaAlmuerzoEscolar</v>
      </c>
      <c r="B246" s="6" t="s">
        <v>31</v>
      </c>
      <c r="C246" s="6" t="s">
        <v>1232</v>
      </c>
      <c r="D246" s="6" t="s">
        <v>1010</v>
      </c>
      <c r="E246" s="6" t="s">
        <v>110</v>
      </c>
      <c r="G246" s="522">
        <v>0.43200000000000005</v>
      </c>
      <c r="I246" s="11"/>
      <c r="L246" s="6">
        <v>0.4</v>
      </c>
      <c r="M246" s="6">
        <v>0.44000000000000006</v>
      </c>
    </row>
    <row r="247" spans="1:14" hidden="1" x14ac:dyDescent="0.2">
      <c r="A247" s="6" t="str">
        <f t="shared" si="3"/>
        <v>CateringMálagaAlmuerzoInfantil</v>
      </c>
      <c r="B247" s="6" t="s">
        <v>31</v>
      </c>
      <c r="C247" s="6" t="s">
        <v>1232</v>
      </c>
      <c r="D247" s="6" t="s">
        <v>1010</v>
      </c>
      <c r="E247" s="6" t="s">
        <v>1275</v>
      </c>
      <c r="G247" s="522">
        <v>0.43200000000000005</v>
      </c>
      <c r="I247" s="11"/>
      <c r="L247" s="6">
        <v>0.4</v>
      </c>
      <c r="M247" s="6">
        <v>0.44000000000000006</v>
      </c>
    </row>
    <row r="248" spans="1:14" x14ac:dyDescent="0.2">
      <c r="A248" s="6" t="str">
        <f t="shared" si="3"/>
        <v>CateringMálagaCenaAdulto</v>
      </c>
      <c r="B248" s="6" t="s">
        <v>31</v>
      </c>
      <c r="C248" s="6" t="s">
        <v>1232</v>
      </c>
      <c r="D248" s="6" t="s">
        <v>1162</v>
      </c>
      <c r="E248" s="6" t="s">
        <v>1141</v>
      </c>
      <c r="G248" s="522">
        <v>1.3392000000000002</v>
      </c>
      <c r="I248" s="11"/>
      <c r="L248" s="6">
        <v>1.24</v>
      </c>
      <c r="M248" s="6">
        <v>1.3639999999999999</v>
      </c>
    </row>
    <row r="249" spans="1:14" x14ac:dyDescent="0.2">
      <c r="A249" s="6" t="str">
        <f t="shared" si="3"/>
        <v>CateringMálagaCenaAdulto</v>
      </c>
      <c r="B249" s="6" t="s">
        <v>31</v>
      </c>
      <c r="C249" s="6" t="s">
        <v>1232</v>
      </c>
      <c r="D249" s="6" t="s">
        <v>1162</v>
      </c>
      <c r="E249" s="6" t="s">
        <v>1141</v>
      </c>
      <c r="G249" s="522">
        <v>1.3392000000000002</v>
      </c>
      <c r="I249" s="11"/>
      <c r="L249" s="6">
        <v>1.24</v>
      </c>
      <c r="M249" s="6">
        <v>1.3639999999999999</v>
      </c>
    </row>
    <row r="250" spans="1:14" hidden="1" x14ac:dyDescent="0.2">
      <c r="A250" s="6" t="str">
        <f t="shared" si="3"/>
        <v>CateringMálagaCenaEscolar</v>
      </c>
      <c r="B250" s="6" t="s">
        <v>31</v>
      </c>
      <c r="C250" s="6" t="s">
        <v>1232</v>
      </c>
      <c r="D250" s="6" t="s">
        <v>1162</v>
      </c>
      <c r="E250" s="6" t="s">
        <v>110</v>
      </c>
      <c r="G250" s="522">
        <v>1.296</v>
      </c>
      <c r="I250" s="11"/>
      <c r="L250" s="6">
        <v>1.2</v>
      </c>
      <c r="M250" s="6">
        <v>1.3199999999999998</v>
      </c>
    </row>
    <row r="251" spans="1:14" hidden="1" x14ac:dyDescent="0.2">
      <c r="A251" s="6" t="str">
        <f t="shared" si="3"/>
        <v>CateringMálagaCenaInfantil</v>
      </c>
      <c r="B251" s="6" t="s">
        <v>31</v>
      </c>
      <c r="C251" s="6" t="s">
        <v>1232</v>
      </c>
      <c r="D251" s="6" t="s">
        <v>1162</v>
      </c>
      <c r="E251" s="6" t="s">
        <v>1275</v>
      </c>
      <c r="G251" s="522">
        <v>0.9396000000000001</v>
      </c>
      <c r="I251" s="11"/>
      <c r="L251" s="6">
        <v>0.87</v>
      </c>
      <c r="M251" s="6">
        <v>0.95699999999999996</v>
      </c>
    </row>
    <row r="252" spans="1:14" x14ac:dyDescent="0.2">
      <c r="A252" s="6" t="str">
        <f t="shared" si="3"/>
        <v>CateringMálagaComidaAdulto</v>
      </c>
      <c r="B252" s="6" t="s">
        <v>31</v>
      </c>
      <c r="C252" s="6" t="s">
        <v>1232</v>
      </c>
      <c r="D252" s="6" t="s">
        <v>1011</v>
      </c>
      <c r="E252" s="6" t="s">
        <v>1141</v>
      </c>
      <c r="G252" s="522">
        <v>2.2000000000000002</v>
      </c>
      <c r="I252" s="11"/>
      <c r="L252" s="6">
        <v>1.55</v>
      </c>
      <c r="M252" s="6">
        <v>1.7050000000000001</v>
      </c>
      <c r="N252" s="114">
        <v>1.6739999999999999</v>
      </c>
    </row>
    <row r="253" spans="1:14" hidden="1" x14ac:dyDescent="0.2">
      <c r="A253" s="6" t="str">
        <f t="shared" si="3"/>
        <v>CateringMálagaComidaAlergias_Env</v>
      </c>
      <c r="B253" s="6" t="s">
        <v>31</v>
      </c>
      <c r="C253" s="6" t="s">
        <v>1232</v>
      </c>
      <c r="D253" s="6" t="s">
        <v>1011</v>
      </c>
      <c r="E253" s="6" t="s">
        <v>1186</v>
      </c>
      <c r="G253" s="522">
        <v>1.2</v>
      </c>
      <c r="I253" s="11"/>
      <c r="L253" s="6" t="s">
        <v>2252</v>
      </c>
      <c r="M253" s="6" t="s">
        <v>318</v>
      </c>
    </row>
    <row r="254" spans="1:14" hidden="1" x14ac:dyDescent="0.2">
      <c r="A254" s="6" t="str">
        <f t="shared" si="3"/>
        <v>CateringMálagaComidaAlergias_Env</v>
      </c>
      <c r="B254" s="6" t="s">
        <v>31</v>
      </c>
      <c r="C254" s="6" t="s">
        <v>1232</v>
      </c>
      <c r="D254" s="6" t="s">
        <v>1011</v>
      </c>
      <c r="E254" s="6" t="s">
        <v>1186</v>
      </c>
      <c r="G254" s="522">
        <v>1.2</v>
      </c>
      <c r="I254" s="11"/>
      <c r="L254" s="6">
        <v>0.73</v>
      </c>
      <c r="M254" s="6">
        <v>0.80299999999999994</v>
      </c>
    </row>
    <row r="255" spans="1:14" hidden="1" x14ac:dyDescent="0.2">
      <c r="A255" s="6" t="str">
        <f t="shared" si="3"/>
        <v>CateringMálagaComidaAlergias_Sin_Envasar</v>
      </c>
      <c r="B255" s="6" t="s">
        <v>31</v>
      </c>
      <c r="C255" s="6" t="s">
        <v>1232</v>
      </c>
      <c r="D255" s="6" t="s">
        <v>1011</v>
      </c>
      <c r="E255" s="6" t="s">
        <v>2253</v>
      </c>
      <c r="G255" s="522">
        <v>1.2</v>
      </c>
      <c r="I255" s="11"/>
      <c r="L255" s="6" t="s">
        <v>2252</v>
      </c>
      <c r="M255" s="6" t="s">
        <v>318</v>
      </c>
    </row>
    <row r="256" spans="1:14" hidden="1" x14ac:dyDescent="0.2">
      <c r="A256" s="6" t="str">
        <f t="shared" si="3"/>
        <v>CateringMálagaComidaAlergias_Sin_Envasar</v>
      </c>
      <c r="B256" s="6" t="s">
        <v>31</v>
      </c>
      <c r="C256" s="6" t="s">
        <v>1232</v>
      </c>
      <c r="D256" s="6" t="s">
        <v>1011</v>
      </c>
      <c r="E256" s="6" t="s">
        <v>2253</v>
      </c>
      <c r="G256" s="522">
        <v>1.2</v>
      </c>
      <c r="I256" s="11"/>
      <c r="L256" s="6">
        <v>0.66</v>
      </c>
      <c r="M256" s="6">
        <v>0.72599999999999998</v>
      </c>
    </row>
    <row r="257" spans="1:14" hidden="1" x14ac:dyDescent="0.2">
      <c r="A257" s="6" t="str">
        <f t="shared" si="3"/>
        <v>CateringMálagaComidaEscolar</v>
      </c>
      <c r="B257" s="6" t="s">
        <v>31</v>
      </c>
      <c r="C257" s="6" t="s">
        <v>1232</v>
      </c>
      <c r="D257" s="6" t="s">
        <v>1011</v>
      </c>
      <c r="E257" s="6" t="s">
        <v>110</v>
      </c>
      <c r="G257" s="522">
        <v>1.2</v>
      </c>
      <c r="I257" s="11"/>
      <c r="L257" s="6">
        <v>1.03</v>
      </c>
      <c r="M257" s="6">
        <v>1.133</v>
      </c>
      <c r="N257" s="114">
        <v>1.1120000000000001</v>
      </c>
    </row>
    <row r="258" spans="1:14" hidden="1" x14ac:dyDescent="0.2">
      <c r="A258" s="6" t="str">
        <f t="shared" ref="A258:A321" si="4">CONCATENATE(B258,C258,D258,E258)</f>
        <v>CateringMálagaComidaEscolar</v>
      </c>
      <c r="B258" s="6" t="s">
        <v>31</v>
      </c>
      <c r="C258" s="6" t="s">
        <v>1232</v>
      </c>
      <c r="D258" s="6" t="s">
        <v>1011</v>
      </c>
      <c r="E258" s="6" t="s">
        <v>110</v>
      </c>
      <c r="G258" s="522">
        <v>1.2</v>
      </c>
      <c r="I258" s="11"/>
      <c r="L258" s="6">
        <v>1.03</v>
      </c>
      <c r="M258" s="6">
        <v>1.133</v>
      </c>
      <c r="N258" s="114">
        <f>+G258</f>
        <v>1.2</v>
      </c>
    </row>
    <row r="259" spans="1:14" hidden="1" x14ac:dyDescent="0.2">
      <c r="A259" s="6" t="str">
        <f t="shared" si="4"/>
        <v>CateringMálagaComidaGratuidades</v>
      </c>
      <c r="B259" s="6" t="s">
        <v>31</v>
      </c>
      <c r="C259" s="6" t="s">
        <v>1232</v>
      </c>
      <c r="D259" s="6" t="s">
        <v>1011</v>
      </c>
      <c r="E259" s="6" t="s">
        <v>1255</v>
      </c>
      <c r="G259" s="522">
        <v>1.2</v>
      </c>
      <c r="I259" s="11"/>
      <c r="L259" s="6">
        <v>0.73</v>
      </c>
      <c r="M259" s="6">
        <v>0.80299999999999994</v>
      </c>
    </row>
    <row r="260" spans="1:14" hidden="1" x14ac:dyDescent="0.2">
      <c r="A260" s="6" t="str">
        <f t="shared" si="4"/>
        <v>CateringMálagaComidaGratuidades</v>
      </c>
      <c r="B260" s="6" t="s">
        <v>31</v>
      </c>
      <c r="C260" s="6" t="s">
        <v>1232</v>
      </c>
      <c r="D260" s="6" t="s">
        <v>1011</v>
      </c>
      <c r="E260" s="6" t="s">
        <v>1255</v>
      </c>
      <c r="G260" s="522">
        <v>1.2</v>
      </c>
      <c r="I260" s="11"/>
      <c r="L260" s="6">
        <v>0.71</v>
      </c>
      <c r="M260" s="6">
        <v>0.78099999999999992</v>
      </c>
    </row>
    <row r="261" spans="1:14" hidden="1" x14ac:dyDescent="0.2">
      <c r="A261" s="6" t="str">
        <f t="shared" si="4"/>
        <v>CateringMálagaComidaInfantil</v>
      </c>
      <c r="B261" s="6" t="s">
        <v>31</v>
      </c>
      <c r="C261" s="6" t="s">
        <v>1232</v>
      </c>
      <c r="D261" s="6" t="s">
        <v>1011</v>
      </c>
      <c r="E261" s="6" t="s">
        <v>1275</v>
      </c>
      <c r="G261" s="522">
        <v>1.2</v>
      </c>
      <c r="I261" s="11"/>
      <c r="L261" s="6">
        <v>0.66</v>
      </c>
      <c r="M261" s="6">
        <v>0.72599999999999998</v>
      </c>
    </row>
    <row r="262" spans="1:14" x14ac:dyDescent="0.2">
      <c r="A262" s="6" t="str">
        <f t="shared" si="4"/>
        <v>CateringMálagaDesayunoAdulto</v>
      </c>
      <c r="B262" s="6" t="s">
        <v>31</v>
      </c>
      <c r="C262" s="6" t="s">
        <v>1232</v>
      </c>
      <c r="D262" s="6" t="s">
        <v>1208</v>
      </c>
      <c r="E262" s="6" t="s">
        <v>1141</v>
      </c>
      <c r="G262" s="522">
        <v>0.72</v>
      </c>
      <c r="I262" s="11"/>
      <c r="L262" s="6">
        <v>0.44</v>
      </c>
      <c r="M262" s="6">
        <v>0.48399999999999999</v>
      </c>
    </row>
    <row r="263" spans="1:14" x14ac:dyDescent="0.2">
      <c r="A263" s="6" t="str">
        <f t="shared" si="4"/>
        <v>CateringMálagaDesayunoAdulto</v>
      </c>
      <c r="B263" s="6" t="s">
        <v>31</v>
      </c>
      <c r="C263" s="6" t="s">
        <v>1232</v>
      </c>
      <c r="D263" s="6" t="s">
        <v>1208</v>
      </c>
      <c r="E263" s="6" t="s">
        <v>1141</v>
      </c>
      <c r="G263" s="522">
        <v>0.72</v>
      </c>
      <c r="I263" s="11"/>
      <c r="L263" s="6">
        <v>0.44</v>
      </c>
      <c r="M263" s="6">
        <v>0.48399999999999999</v>
      </c>
    </row>
    <row r="264" spans="1:14" hidden="1" x14ac:dyDescent="0.2">
      <c r="A264" s="6" t="str">
        <f t="shared" si="4"/>
        <v>CateringMálagaDesayunoEscolar</v>
      </c>
      <c r="B264" s="6" t="s">
        <v>31</v>
      </c>
      <c r="C264" s="6" t="s">
        <v>1232</v>
      </c>
      <c r="D264" s="6" t="s">
        <v>1208</v>
      </c>
      <c r="E264" s="6" t="s">
        <v>110</v>
      </c>
      <c r="G264" s="522">
        <v>0.54</v>
      </c>
      <c r="I264" s="11"/>
      <c r="L264" s="6">
        <v>0.5</v>
      </c>
      <c r="M264" s="6">
        <v>0.55000000000000004</v>
      </c>
    </row>
    <row r="265" spans="1:14" hidden="1" x14ac:dyDescent="0.2">
      <c r="A265" s="6" t="str">
        <f t="shared" si="4"/>
        <v>CateringMálagaDesayunoInfantil</v>
      </c>
      <c r="B265" s="6" t="s">
        <v>31</v>
      </c>
      <c r="C265" s="6" t="s">
        <v>1232</v>
      </c>
      <c r="D265" s="6" t="s">
        <v>1208</v>
      </c>
      <c r="E265" s="6" t="s">
        <v>1275</v>
      </c>
      <c r="G265" s="522">
        <v>0.54</v>
      </c>
      <c r="I265" s="11"/>
      <c r="L265" s="6">
        <v>0.5</v>
      </c>
      <c r="M265" s="6">
        <v>0.55000000000000004</v>
      </c>
    </row>
    <row r="266" spans="1:14" x14ac:dyDescent="0.2">
      <c r="A266" s="6" t="str">
        <f t="shared" si="4"/>
        <v>CateringMálagaMeriendaAdulto</v>
      </c>
      <c r="B266" s="6" t="s">
        <v>31</v>
      </c>
      <c r="C266" s="6" t="s">
        <v>1232</v>
      </c>
      <c r="D266" s="6" t="s">
        <v>1012</v>
      </c>
      <c r="E266" s="6" t="s">
        <v>1141</v>
      </c>
      <c r="G266" s="522">
        <v>0.81</v>
      </c>
      <c r="I266" s="11"/>
      <c r="L266" s="6">
        <v>0.75</v>
      </c>
      <c r="M266" s="6">
        <v>0.82499999999999996</v>
      </c>
    </row>
    <row r="267" spans="1:14" x14ac:dyDescent="0.2">
      <c r="A267" s="6" t="str">
        <f t="shared" si="4"/>
        <v>CateringMálagaMeriendaAdulto</v>
      </c>
      <c r="B267" s="6" t="s">
        <v>31</v>
      </c>
      <c r="C267" s="6" t="s">
        <v>1232</v>
      </c>
      <c r="D267" s="6" t="s">
        <v>1012</v>
      </c>
      <c r="E267" s="6" t="s">
        <v>1141</v>
      </c>
      <c r="G267" s="522">
        <v>0.81</v>
      </c>
      <c r="I267" s="11"/>
      <c r="L267" s="6">
        <v>0.75</v>
      </c>
      <c r="M267" s="6">
        <v>0.82499999999999996</v>
      </c>
    </row>
    <row r="268" spans="1:14" hidden="1" x14ac:dyDescent="0.2">
      <c r="A268" s="6" t="str">
        <f t="shared" si="4"/>
        <v>CateringMálagaMeriendaEscolar</v>
      </c>
      <c r="B268" s="6" t="s">
        <v>31</v>
      </c>
      <c r="C268" s="6" t="s">
        <v>1232</v>
      </c>
      <c r="D268" s="6" t="s">
        <v>1012</v>
      </c>
      <c r="E268" s="6" t="s">
        <v>110</v>
      </c>
      <c r="G268" s="522">
        <v>0.54</v>
      </c>
      <c r="I268" s="11"/>
      <c r="L268" s="6">
        <v>0.5</v>
      </c>
      <c r="M268" s="6">
        <v>0.55000000000000004</v>
      </c>
    </row>
    <row r="269" spans="1:14" hidden="1" x14ac:dyDescent="0.2">
      <c r="A269" s="6" t="str">
        <f t="shared" si="4"/>
        <v>CateringMálagaMeriendaInfantil</v>
      </c>
      <c r="B269" s="6" t="s">
        <v>31</v>
      </c>
      <c r="C269" s="6" t="s">
        <v>1232</v>
      </c>
      <c r="D269" s="6" t="s">
        <v>1012</v>
      </c>
      <c r="E269" s="6" t="s">
        <v>1275</v>
      </c>
      <c r="G269" s="522">
        <v>0.54</v>
      </c>
      <c r="I269" s="11"/>
      <c r="L269" s="6">
        <v>0.5</v>
      </c>
      <c r="M269" s="6">
        <v>0.55000000000000004</v>
      </c>
    </row>
    <row r="270" spans="1:14" x14ac:dyDescent="0.2">
      <c r="A270" s="6" t="str">
        <f t="shared" si="4"/>
        <v>CateringSevillaAlmuerzoAdulto</v>
      </c>
      <c r="B270" s="6" t="s">
        <v>31</v>
      </c>
      <c r="C270" s="6" t="s">
        <v>2254</v>
      </c>
      <c r="D270" s="6" t="s">
        <v>1010</v>
      </c>
      <c r="E270" s="6" t="s">
        <v>1141</v>
      </c>
      <c r="G270" s="522">
        <v>0.82</v>
      </c>
      <c r="I270" s="11"/>
      <c r="L270" s="6">
        <v>0.44</v>
      </c>
      <c r="M270" s="6">
        <v>0.48399999999999999</v>
      </c>
    </row>
    <row r="271" spans="1:14" hidden="1" x14ac:dyDescent="0.2">
      <c r="A271" s="6" t="str">
        <f t="shared" si="4"/>
        <v>CateringSevillaAlmuerzoEscolar</v>
      </c>
      <c r="B271" s="6" t="s">
        <v>31</v>
      </c>
      <c r="C271" s="6" t="s">
        <v>2254</v>
      </c>
      <c r="D271" s="6" t="s">
        <v>1010</v>
      </c>
      <c r="E271" s="6" t="s">
        <v>110</v>
      </c>
      <c r="G271" s="522">
        <v>0.54</v>
      </c>
      <c r="I271" s="11"/>
      <c r="L271" s="6">
        <v>0.5</v>
      </c>
      <c r="M271" s="6">
        <v>0.55000000000000004</v>
      </c>
    </row>
    <row r="272" spans="1:14" hidden="1" x14ac:dyDescent="0.2">
      <c r="A272" s="6" t="str">
        <f t="shared" si="4"/>
        <v>CateringSevillaAlmuerzoInfantil</v>
      </c>
      <c r="B272" s="6" t="s">
        <v>31</v>
      </c>
      <c r="C272" s="6" t="s">
        <v>2254</v>
      </c>
      <c r="D272" s="6" t="s">
        <v>1010</v>
      </c>
      <c r="E272" s="6" t="s">
        <v>1275</v>
      </c>
      <c r="G272" s="522">
        <v>0.47520000000000001</v>
      </c>
      <c r="I272" s="11"/>
      <c r="L272" s="6">
        <v>0.44</v>
      </c>
      <c r="M272" s="6">
        <v>0.48399999999999999</v>
      </c>
    </row>
    <row r="273" spans="1:14" x14ac:dyDescent="0.2">
      <c r="A273" s="6" t="str">
        <f t="shared" si="4"/>
        <v>CateringSevillaCenaAdulto</v>
      </c>
      <c r="B273" s="6" t="s">
        <v>31</v>
      </c>
      <c r="C273" s="6" t="s">
        <v>2254</v>
      </c>
      <c r="D273" s="6" t="s">
        <v>1162</v>
      </c>
      <c r="E273" s="6" t="s">
        <v>1141</v>
      </c>
      <c r="G273" s="522">
        <v>1.3392000000000002</v>
      </c>
      <c r="I273" s="11"/>
      <c r="L273" s="6">
        <v>1.24</v>
      </c>
      <c r="M273" s="6">
        <v>1.3639999999999999</v>
      </c>
    </row>
    <row r="274" spans="1:14" hidden="1" x14ac:dyDescent="0.2">
      <c r="A274" s="6" t="str">
        <f t="shared" si="4"/>
        <v>CateringSevillaCenaEscolar</v>
      </c>
      <c r="B274" s="6" t="s">
        <v>31</v>
      </c>
      <c r="C274" s="6" t="s">
        <v>2254</v>
      </c>
      <c r="D274" s="6" t="s">
        <v>1162</v>
      </c>
      <c r="E274" s="6" t="s">
        <v>110</v>
      </c>
      <c r="G274" s="522">
        <v>1.296</v>
      </c>
      <c r="I274" s="11"/>
      <c r="L274" s="6">
        <v>1.2</v>
      </c>
      <c r="M274" s="6">
        <v>1.3199999999999998</v>
      </c>
    </row>
    <row r="275" spans="1:14" hidden="1" x14ac:dyDescent="0.2">
      <c r="A275" s="6" t="str">
        <f t="shared" si="4"/>
        <v>CateringSevillaCenaInfantil</v>
      </c>
      <c r="B275" s="6" t="s">
        <v>31</v>
      </c>
      <c r="C275" s="6" t="s">
        <v>2254</v>
      </c>
      <c r="D275" s="6" t="s">
        <v>1162</v>
      </c>
      <c r="E275" s="6" t="s">
        <v>1275</v>
      </c>
      <c r="G275" s="522">
        <v>0.9396000000000001</v>
      </c>
      <c r="I275" s="11"/>
      <c r="L275" s="6">
        <v>0.87</v>
      </c>
      <c r="M275" s="6">
        <v>0.95699999999999996</v>
      </c>
    </row>
    <row r="276" spans="1:14" x14ac:dyDescent="0.2">
      <c r="A276" s="6" t="str">
        <f t="shared" si="4"/>
        <v>CateringSevillaComidaAdulto</v>
      </c>
      <c r="B276" s="6" t="s">
        <v>31</v>
      </c>
      <c r="C276" s="6" t="s">
        <v>2254</v>
      </c>
      <c r="D276" s="6" t="s">
        <v>1011</v>
      </c>
      <c r="E276" s="6" t="s">
        <v>1141</v>
      </c>
      <c r="G276" s="522">
        <v>2.2000000000000002</v>
      </c>
      <c r="I276" s="11"/>
      <c r="L276" s="6">
        <v>1.55</v>
      </c>
      <c r="M276" s="6">
        <v>1.7050000000000001</v>
      </c>
      <c r="N276" s="114">
        <v>1.6739999999999999</v>
      </c>
    </row>
    <row r="277" spans="1:14" hidden="1" x14ac:dyDescent="0.2">
      <c r="A277" s="6" t="str">
        <f t="shared" si="4"/>
        <v>CateringSevillaComidaAlergias_Env</v>
      </c>
      <c r="B277" s="6" t="s">
        <v>31</v>
      </c>
      <c r="C277" s="6" t="s">
        <v>2254</v>
      </c>
      <c r="D277" s="6" t="s">
        <v>1011</v>
      </c>
      <c r="E277" s="6" t="s">
        <v>1186</v>
      </c>
      <c r="G277" s="522">
        <v>1.2</v>
      </c>
      <c r="I277" s="11"/>
      <c r="L277" s="6">
        <v>0.73</v>
      </c>
      <c r="M277" s="6">
        <v>0.80299999999999994</v>
      </c>
    </row>
    <row r="278" spans="1:14" hidden="1" x14ac:dyDescent="0.2">
      <c r="A278" s="6" t="str">
        <f t="shared" si="4"/>
        <v>CateringSevillaComidaAlergias_Sin_Envasar</v>
      </c>
      <c r="B278" s="6" t="s">
        <v>31</v>
      </c>
      <c r="C278" s="6" t="s">
        <v>2254</v>
      </c>
      <c r="D278" s="6" t="s">
        <v>1011</v>
      </c>
      <c r="E278" s="6" t="s">
        <v>2253</v>
      </c>
      <c r="G278" s="522">
        <v>1.2</v>
      </c>
      <c r="I278" s="11"/>
      <c r="L278" s="6">
        <v>0.66</v>
      </c>
      <c r="M278" s="6">
        <v>0.72599999999999998</v>
      </c>
    </row>
    <row r="279" spans="1:14" hidden="1" x14ac:dyDescent="0.2">
      <c r="A279" s="6" t="str">
        <f t="shared" si="4"/>
        <v>CateringSevillaComidaEscolar</v>
      </c>
      <c r="B279" s="6" t="s">
        <v>31</v>
      </c>
      <c r="C279" s="6" t="s">
        <v>2254</v>
      </c>
      <c r="D279" s="6" t="s">
        <v>1011</v>
      </c>
      <c r="E279" s="6" t="s">
        <v>110</v>
      </c>
      <c r="G279" s="522">
        <v>1.2</v>
      </c>
      <c r="I279" s="11"/>
      <c r="L279" s="6">
        <v>1.03</v>
      </c>
      <c r="M279" s="6">
        <v>1.133</v>
      </c>
      <c r="N279" s="114">
        <v>1.1120000000000001</v>
      </c>
    </row>
    <row r="280" spans="1:14" hidden="1" x14ac:dyDescent="0.2">
      <c r="A280" s="6" t="str">
        <f t="shared" si="4"/>
        <v>CateringSevillaComidaGratuidades</v>
      </c>
      <c r="B280" s="6" t="s">
        <v>31</v>
      </c>
      <c r="C280" s="6" t="s">
        <v>2254</v>
      </c>
      <c r="D280" s="6" t="s">
        <v>1011</v>
      </c>
      <c r="E280" s="6" t="s">
        <v>1255</v>
      </c>
      <c r="G280" s="522">
        <v>1.2</v>
      </c>
      <c r="I280" s="11"/>
      <c r="L280" s="6">
        <v>0.71</v>
      </c>
      <c r="M280" s="6">
        <v>0.78099999999999992</v>
      </c>
    </row>
    <row r="281" spans="1:14" hidden="1" x14ac:dyDescent="0.2">
      <c r="A281" s="6" t="str">
        <f t="shared" si="4"/>
        <v>CateringSevillaComidaInfantil</v>
      </c>
      <c r="B281" s="6" t="s">
        <v>31</v>
      </c>
      <c r="C281" s="6" t="s">
        <v>2254</v>
      </c>
      <c r="D281" s="6" t="s">
        <v>1011</v>
      </c>
      <c r="E281" s="6" t="s">
        <v>1275</v>
      </c>
      <c r="G281" s="522">
        <v>1.2</v>
      </c>
      <c r="I281" s="11"/>
      <c r="L281" s="6">
        <v>0.66</v>
      </c>
      <c r="M281" s="6">
        <v>0.72599999999999998</v>
      </c>
    </row>
    <row r="282" spans="1:14" x14ac:dyDescent="0.2">
      <c r="A282" s="6" t="str">
        <f t="shared" si="4"/>
        <v>CateringSevillaDesayunoAdulto</v>
      </c>
      <c r="B282" s="6" t="s">
        <v>31</v>
      </c>
      <c r="C282" s="6" t="s">
        <v>2254</v>
      </c>
      <c r="D282" s="6" t="s">
        <v>1208</v>
      </c>
      <c r="E282" s="6" t="s">
        <v>1141</v>
      </c>
      <c r="G282" s="522">
        <v>0.47520000000000001</v>
      </c>
      <c r="I282" s="11"/>
      <c r="L282" s="6">
        <v>0.44</v>
      </c>
      <c r="M282" s="6">
        <v>0.48399999999999999</v>
      </c>
    </row>
    <row r="283" spans="1:14" hidden="1" x14ac:dyDescent="0.2">
      <c r="A283" s="6" t="str">
        <f t="shared" si="4"/>
        <v>CateringSevillaDesayunoEscolar</v>
      </c>
      <c r="B283" s="6" t="s">
        <v>31</v>
      </c>
      <c r="C283" s="6" t="s">
        <v>2254</v>
      </c>
      <c r="D283" s="6" t="s">
        <v>1208</v>
      </c>
      <c r="E283" s="6" t="s">
        <v>110</v>
      </c>
      <c r="G283" s="522">
        <v>0.54</v>
      </c>
      <c r="I283" s="11"/>
      <c r="L283" s="6">
        <v>0.5</v>
      </c>
      <c r="M283" s="6">
        <v>0.55000000000000004</v>
      </c>
    </row>
    <row r="284" spans="1:14" hidden="1" x14ac:dyDescent="0.2">
      <c r="A284" s="6" t="str">
        <f t="shared" si="4"/>
        <v>CateringSevillaDesayunoInfantil</v>
      </c>
      <c r="B284" s="6" t="s">
        <v>31</v>
      </c>
      <c r="C284" s="6" t="s">
        <v>2254</v>
      </c>
      <c r="D284" s="6" t="s">
        <v>1208</v>
      </c>
      <c r="E284" s="6" t="s">
        <v>1275</v>
      </c>
      <c r="G284" s="522">
        <v>0.54</v>
      </c>
      <c r="I284" s="11"/>
      <c r="L284" s="6">
        <v>0.5</v>
      </c>
      <c r="M284" s="6">
        <v>0.55000000000000004</v>
      </c>
    </row>
    <row r="285" spans="1:14" x14ac:dyDescent="0.2">
      <c r="A285" s="6" t="str">
        <f t="shared" si="4"/>
        <v>CateringSevillaMeriendaAdulto</v>
      </c>
      <c r="B285" s="6" t="s">
        <v>31</v>
      </c>
      <c r="C285" s="6" t="s">
        <v>2254</v>
      </c>
      <c r="D285" s="6" t="s">
        <v>1012</v>
      </c>
      <c r="E285" s="6" t="s">
        <v>1141</v>
      </c>
      <c r="G285" s="522">
        <v>0.81</v>
      </c>
      <c r="I285" s="11"/>
      <c r="L285" s="6">
        <v>0.75</v>
      </c>
      <c r="M285" s="6">
        <v>0.82499999999999996</v>
      </c>
    </row>
    <row r="286" spans="1:14" hidden="1" x14ac:dyDescent="0.2">
      <c r="A286" s="6" t="str">
        <f t="shared" si="4"/>
        <v>CateringSevillaMeriendaEscolar</v>
      </c>
      <c r="B286" s="6" t="s">
        <v>31</v>
      </c>
      <c r="C286" s="6" t="s">
        <v>2254</v>
      </c>
      <c r="D286" s="6" t="s">
        <v>1012</v>
      </c>
      <c r="E286" s="6" t="s">
        <v>110</v>
      </c>
      <c r="G286" s="522">
        <v>0.54</v>
      </c>
      <c r="I286" s="11"/>
      <c r="L286" s="6">
        <v>0.5</v>
      </c>
      <c r="M286" s="6">
        <v>0.55000000000000004</v>
      </c>
    </row>
    <row r="287" spans="1:14" hidden="1" x14ac:dyDescent="0.2">
      <c r="A287" s="6" t="str">
        <f t="shared" si="4"/>
        <v>CateringSevillaMeriendaInfantil</v>
      </c>
      <c r="B287" s="6" t="s">
        <v>31</v>
      </c>
      <c r="C287" s="6" t="s">
        <v>2254</v>
      </c>
      <c r="D287" s="6" t="s">
        <v>1012</v>
      </c>
      <c r="E287" s="6" t="s">
        <v>1275</v>
      </c>
      <c r="G287" s="522">
        <v>0.54</v>
      </c>
      <c r="I287" s="11"/>
      <c r="L287" s="6">
        <v>0.5</v>
      </c>
      <c r="M287" s="6">
        <v>0.55000000000000004</v>
      </c>
    </row>
    <row r="288" spans="1:14" x14ac:dyDescent="0.2">
      <c r="A288" s="6" t="str">
        <f t="shared" si="4"/>
        <v>CateringValenciaAlmuerzoAdulto</v>
      </c>
      <c r="B288" s="6" t="s">
        <v>31</v>
      </c>
      <c r="C288" s="6" t="s">
        <v>1110</v>
      </c>
      <c r="D288" s="6" t="s">
        <v>1010</v>
      </c>
      <c r="E288" s="6" t="s">
        <v>1141</v>
      </c>
      <c r="G288" s="522">
        <v>0.82</v>
      </c>
      <c r="I288" s="11"/>
      <c r="L288" s="6">
        <v>0.44</v>
      </c>
      <c r="M288" s="6">
        <v>0.48399999999999999</v>
      </c>
    </row>
    <row r="289" spans="1:15" hidden="1" x14ac:dyDescent="0.2">
      <c r="A289" s="6" t="str">
        <f t="shared" si="4"/>
        <v>CateringValenciaAlmuerzoEscolar</v>
      </c>
      <c r="B289" s="6" t="s">
        <v>31</v>
      </c>
      <c r="C289" s="6" t="s">
        <v>1110</v>
      </c>
      <c r="D289" s="6" t="s">
        <v>1010</v>
      </c>
      <c r="E289" s="6" t="s">
        <v>110</v>
      </c>
      <c r="G289" s="522">
        <v>0.54</v>
      </c>
      <c r="I289" s="11"/>
      <c r="L289" s="6">
        <v>0.5</v>
      </c>
      <c r="M289" s="6">
        <v>0.55000000000000004</v>
      </c>
    </row>
    <row r="290" spans="1:15" hidden="1" x14ac:dyDescent="0.2">
      <c r="A290" s="6" t="str">
        <f t="shared" si="4"/>
        <v>CateringValenciaAlmuerzoInfantil</v>
      </c>
      <c r="B290" s="6" t="s">
        <v>31</v>
      </c>
      <c r="C290" s="6" t="s">
        <v>1110</v>
      </c>
      <c r="D290" s="6" t="s">
        <v>1010</v>
      </c>
      <c r="E290" s="6" t="s">
        <v>1275</v>
      </c>
      <c r="G290" s="522">
        <v>0.47520000000000001</v>
      </c>
      <c r="I290" s="11"/>
      <c r="L290" s="6">
        <v>0.44</v>
      </c>
      <c r="M290" s="6">
        <v>0.48399999999999999</v>
      </c>
    </row>
    <row r="291" spans="1:15" x14ac:dyDescent="0.2">
      <c r="A291" s="6" t="str">
        <f t="shared" si="4"/>
        <v>CateringValenciaCenaAdulto</v>
      </c>
      <c r="B291" s="6" t="s">
        <v>31</v>
      </c>
      <c r="C291" s="6" t="s">
        <v>1110</v>
      </c>
      <c r="D291" s="6" t="s">
        <v>1162</v>
      </c>
      <c r="E291" s="6" t="s">
        <v>1141</v>
      </c>
      <c r="G291" s="522">
        <v>2.2000000000000002</v>
      </c>
      <c r="I291" s="11"/>
      <c r="L291" s="6">
        <v>1.24</v>
      </c>
      <c r="M291" s="6">
        <v>1.3639999999999999</v>
      </c>
      <c r="O291" s="6">
        <v>1.5</v>
      </c>
    </row>
    <row r="292" spans="1:15" hidden="1" x14ac:dyDescent="0.2">
      <c r="A292" s="6" t="str">
        <f t="shared" si="4"/>
        <v>CateringValenciaCenaEscolar</v>
      </c>
      <c r="B292" s="6" t="s">
        <v>31</v>
      </c>
      <c r="C292" s="6" t="s">
        <v>1110</v>
      </c>
      <c r="D292" s="6" t="s">
        <v>1162</v>
      </c>
      <c r="E292" s="6" t="s">
        <v>110</v>
      </c>
      <c r="G292" s="522">
        <v>1.296</v>
      </c>
      <c r="I292" s="11"/>
      <c r="L292" s="6">
        <v>1.2</v>
      </c>
      <c r="M292" s="6">
        <v>1.3199999999999998</v>
      </c>
    </row>
    <row r="293" spans="1:15" hidden="1" x14ac:dyDescent="0.2">
      <c r="A293" s="6" t="str">
        <f t="shared" si="4"/>
        <v>CateringValenciaCenaInfantil</v>
      </c>
      <c r="B293" s="6" t="s">
        <v>31</v>
      </c>
      <c r="C293" s="6" t="s">
        <v>1110</v>
      </c>
      <c r="D293" s="6" t="s">
        <v>1162</v>
      </c>
      <c r="E293" s="6" t="s">
        <v>1275</v>
      </c>
      <c r="G293" s="522">
        <v>0.9396000000000001</v>
      </c>
      <c r="I293" s="11"/>
      <c r="L293" s="6">
        <v>0.87</v>
      </c>
      <c r="M293" s="6">
        <v>0.95699999999999996</v>
      </c>
    </row>
    <row r="294" spans="1:15" x14ac:dyDescent="0.2">
      <c r="A294" s="6" t="str">
        <f t="shared" si="4"/>
        <v>CateringValenciaComidaAdulto</v>
      </c>
      <c r="B294" s="6" t="s">
        <v>31</v>
      </c>
      <c r="C294" s="6" t="s">
        <v>1110</v>
      </c>
      <c r="D294" s="6" t="s">
        <v>1011</v>
      </c>
      <c r="E294" s="6" t="s">
        <v>1141</v>
      </c>
      <c r="G294" s="522">
        <v>2.2000000000000002</v>
      </c>
      <c r="I294" s="11"/>
      <c r="L294" s="6">
        <v>1.55</v>
      </c>
      <c r="M294" s="6">
        <v>1.7050000000000001</v>
      </c>
      <c r="N294" s="6">
        <v>1.6739999999999999</v>
      </c>
      <c r="O294" s="6">
        <v>1.5</v>
      </c>
    </row>
    <row r="295" spans="1:15" hidden="1" x14ac:dyDescent="0.2">
      <c r="A295" s="6" t="str">
        <f t="shared" si="4"/>
        <v>CateringValenciaComidaAlergias_Env</v>
      </c>
      <c r="B295" s="6" t="s">
        <v>31</v>
      </c>
      <c r="C295" s="6" t="s">
        <v>1110</v>
      </c>
      <c r="D295" s="6" t="s">
        <v>1011</v>
      </c>
      <c r="E295" s="6" t="s">
        <v>1186</v>
      </c>
      <c r="G295" s="522">
        <v>1.2</v>
      </c>
      <c r="I295" s="11"/>
      <c r="L295" s="6">
        <v>0.96</v>
      </c>
      <c r="M295" s="6">
        <v>1.056</v>
      </c>
    </row>
    <row r="296" spans="1:15" hidden="1" x14ac:dyDescent="0.2">
      <c r="A296" s="6" t="str">
        <f t="shared" si="4"/>
        <v>CateringValenciaComidaAlergias_Sin_Envasar</v>
      </c>
      <c r="B296" s="6" t="s">
        <v>31</v>
      </c>
      <c r="C296" s="6" t="s">
        <v>1110</v>
      </c>
      <c r="D296" s="6" t="s">
        <v>1011</v>
      </c>
      <c r="E296" s="6" t="s">
        <v>2253</v>
      </c>
      <c r="G296" s="522">
        <v>1.2</v>
      </c>
      <c r="I296" s="11"/>
      <c r="L296" s="6">
        <v>0.87</v>
      </c>
      <c r="M296" s="6">
        <v>0.95699999999999996</v>
      </c>
    </row>
    <row r="297" spans="1:15" hidden="1" x14ac:dyDescent="0.2">
      <c r="A297" s="6" t="str">
        <f t="shared" si="4"/>
        <v>CateringValenciaComidaEscolar</v>
      </c>
      <c r="B297" s="6" t="s">
        <v>31</v>
      </c>
      <c r="C297" s="6" t="s">
        <v>1110</v>
      </c>
      <c r="D297" s="6" t="s">
        <v>1011</v>
      </c>
      <c r="E297" s="6" t="s">
        <v>110</v>
      </c>
      <c r="G297" s="522">
        <v>1.2</v>
      </c>
      <c r="I297" s="11"/>
      <c r="L297" s="6">
        <v>1.2</v>
      </c>
      <c r="M297" s="6">
        <v>1.3199999999999998</v>
      </c>
      <c r="N297" s="6">
        <v>1.29</v>
      </c>
    </row>
    <row r="298" spans="1:15" hidden="1" x14ac:dyDescent="0.2">
      <c r="A298" s="6" t="str">
        <f t="shared" si="4"/>
        <v>CateringValenciaComidaGratuidades</v>
      </c>
      <c r="B298" s="6" t="s">
        <v>31</v>
      </c>
      <c r="C298" s="6" t="s">
        <v>1110</v>
      </c>
      <c r="D298" s="6" t="s">
        <v>1011</v>
      </c>
      <c r="E298" s="6" t="s">
        <v>1255</v>
      </c>
      <c r="G298" s="522">
        <v>1.2</v>
      </c>
      <c r="I298" s="11"/>
      <c r="L298" s="6">
        <v>0.93</v>
      </c>
      <c r="M298" s="6">
        <v>1.0230000000000001</v>
      </c>
    </row>
    <row r="299" spans="1:15" hidden="1" x14ac:dyDescent="0.2">
      <c r="A299" s="6" t="str">
        <f t="shared" si="4"/>
        <v>CateringValenciaComidaInfantil</v>
      </c>
      <c r="B299" s="6" t="s">
        <v>31</v>
      </c>
      <c r="C299" s="6" t="s">
        <v>1110</v>
      </c>
      <c r="D299" s="6" t="s">
        <v>1011</v>
      </c>
      <c r="E299" s="6" t="s">
        <v>1275</v>
      </c>
      <c r="G299" s="522">
        <v>1.2</v>
      </c>
      <c r="I299" s="11"/>
      <c r="L299" s="6">
        <v>0.87</v>
      </c>
      <c r="M299" s="6">
        <v>0.95699999999999996</v>
      </c>
    </row>
    <row r="300" spans="1:15" x14ac:dyDescent="0.2">
      <c r="A300" s="6" t="str">
        <f t="shared" si="4"/>
        <v>CateringValenciaDesayunoAdulto</v>
      </c>
      <c r="B300" s="6" t="s">
        <v>31</v>
      </c>
      <c r="C300" s="6" t="s">
        <v>1110</v>
      </c>
      <c r="D300" s="6" t="s">
        <v>1208</v>
      </c>
      <c r="E300" s="6" t="s">
        <v>1141</v>
      </c>
      <c r="G300" s="522">
        <v>0.77200000000000002</v>
      </c>
      <c r="I300" s="11"/>
      <c r="L300" s="6">
        <v>0.44</v>
      </c>
      <c r="M300" s="6">
        <v>0.48399999999999999</v>
      </c>
    </row>
    <row r="301" spans="1:15" hidden="1" x14ac:dyDescent="0.2">
      <c r="A301" s="6" t="str">
        <f t="shared" si="4"/>
        <v>CateringValenciaDesayunoEscolar</v>
      </c>
      <c r="B301" s="6" t="s">
        <v>31</v>
      </c>
      <c r="C301" s="6" t="s">
        <v>1110</v>
      </c>
      <c r="D301" s="6" t="s">
        <v>1208</v>
      </c>
      <c r="E301" s="6" t="s">
        <v>110</v>
      </c>
      <c r="G301" s="522">
        <v>0.54</v>
      </c>
      <c r="I301" s="11"/>
      <c r="L301" s="6">
        <v>0.5</v>
      </c>
      <c r="M301" s="6">
        <v>0.55000000000000004</v>
      </c>
    </row>
    <row r="302" spans="1:15" hidden="1" x14ac:dyDescent="0.2">
      <c r="A302" s="6" t="str">
        <f t="shared" si="4"/>
        <v>CateringValenciaDesayunoInfantil</v>
      </c>
      <c r="B302" s="6" t="s">
        <v>31</v>
      </c>
      <c r="C302" s="6" t="s">
        <v>1110</v>
      </c>
      <c r="D302" s="6" t="s">
        <v>1208</v>
      </c>
      <c r="E302" s="6" t="s">
        <v>1275</v>
      </c>
      <c r="G302" s="522">
        <v>0.54</v>
      </c>
      <c r="I302" s="11"/>
      <c r="L302" s="6">
        <v>0.5</v>
      </c>
      <c r="M302" s="6">
        <v>0.55000000000000004</v>
      </c>
    </row>
    <row r="303" spans="1:15" x14ac:dyDescent="0.2">
      <c r="A303" s="6" t="str">
        <f t="shared" si="4"/>
        <v>CateringValenciaMeriendaAdulto</v>
      </c>
      <c r="B303" s="6" t="s">
        <v>31</v>
      </c>
      <c r="C303" s="6" t="s">
        <v>1110</v>
      </c>
      <c r="D303" s="6" t="s">
        <v>1012</v>
      </c>
      <c r="E303" s="6" t="s">
        <v>1141</v>
      </c>
      <c r="G303" s="522">
        <v>0.81</v>
      </c>
      <c r="I303" s="11"/>
      <c r="L303" s="6">
        <v>0.75</v>
      </c>
      <c r="M303" s="6">
        <v>0.82499999999999996</v>
      </c>
    </row>
    <row r="304" spans="1:15" hidden="1" x14ac:dyDescent="0.2">
      <c r="A304" s="6" t="str">
        <f t="shared" si="4"/>
        <v>CateringValenciaMeriendaEscolar</v>
      </c>
      <c r="B304" s="6" t="s">
        <v>31</v>
      </c>
      <c r="C304" s="6" t="s">
        <v>1110</v>
      </c>
      <c r="D304" s="6" t="s">
        <v>1012</v>
      </c>
      <c r="E304" s="6" t="s">
        <v>110</v>
      </c>
      <c r="G304" s="522">
        <v>0.54</v>
      </c>
      <c r="I304" s="11"/>
      <c r="L304" s="6">
        <v>0.5</v>
      </c>
      <c r="M304" s="6">
        <v>0.55000000000000004</v>
      </c>
    </row>
    <row r="305" spans="1:13" hidden="1" x14ac:dyDescent="0.2">
      <c r="A305" s="6" t="str">
        <f t="shared" si="4"/>
        <v>CateringValenciaMeriendaInfantil</v>
      </c>
      <c r="B305" s="6" t="s">
        <v>31</v>
      </c>
      <c r="C305" s="6" t="s">
        <v>1110</v>
      </c>
      <c r="D305" s="6" t="s">
        <v>1012</v>
      </c>
      <c r="E305" s="6" t="s">
        <v>1275</v>
      </c>
      <c r="G305" s="522">
        <v>0.54</v>
      </c>
      <c r="I305" s="11"/>
      <c r="L305" s="6">
        <v>0.5</v>
      </c>
      <c r="M305" s="6">
        <v>0.55000000000000004</v>
      </c>
    </row>
    <row r="306" spans="1:13" hidden="1" x14ac:dyDescent="0.2">
      <c r="A306" s="6" t="str">
        <f t="shared" si="4"/>
        <v>AmbosMálagaExtraTodos</v>
      </c>
      <c r="B306" s="6" t="s">
        <v>2237</v>
      </c>
      <c r="C306" s="6" t="s">
        <v>1232</v>
      </c>
      <c r="D306" s="6" t="s">
        <v>153</v>
      </c>
      <c r="E306" s="6" t="s">
        <v>2239</v>
      </c>
      <c r="F306" s="6" t="s">
        <v>1320</v>
      </c>
      <c r="G306" s="522">
        <v>0.15120000000000003</v>
      </c>
      <c r="I306" s="11"/>
      <c r="L306" s="6">
        <v>0.14000000000000001</v>
      </c>
      <c r="M306" s="6">
        <v>0.15400000000000003</v>
      </c>
    </row>
    <row r="307" spans="1:13" hidden="1" x14ac:dyDescent="0.2">
      <c r="A307" s="6" t="str">
        <f t="shared" si="4"/>
        <v>AmbosMálagaExtraTodos</v>
      </c>
      <c r="B307" s="6" t="s">
        <v>2237</v>
      </c>
      <c r="C307" s="6" t="s">
        <v>1232</v>
      </c>
      <c r="D307" s="6" t="s">
        <v>153</v>
      </c>
      <c r="E307" s="6" t="s">
        <v>2239</v>
      </c>
      <c r="F307" s="6" t="s">
        <v>2240</v>
      </c>
      <c r="G307" s="522">
        <v>0.2268</v>
      </c>
      <c r="I307" s="11"/>
      <c r="L307" s="6">
        <v>0.21</v>
      </c>
      <c r="M307" s="6">
        <v>0.23099999999999998</v>
      </c>
    </row>
    <row r="308" spans="1:13" hidden="1" x14ac:dyDescent="0.2">
      <c r="A308" s="6" t="str">
        <f t="shared" si="4"/>
        <v>AmbosMálagaExtraTodos</v>
      </c>
      <c r="B308" s="6" t="s">
        <v>2237</v>
      </c>
      <c r="C308" s="6" t="s">
        <v>1232</v>
      </c>
      <c r="D308" s="6" t="s">
        <v>153</v>
      </c>
      <c r="E308" s="6" t="s">
        <v>2239</v>
      </c>
      <c r="F308" s="6" t="s">
        <v>1401</v>
      </c>
      <c r="G308" s="522">
        <v>0.25919999999999999</v>
      </c>
      <c r="I308" s="11"/>
      <c r="L308" s="6">
        <v>0.24</v>
      </c>
      <c r="M308" s="6">
        <v>0.26400000000000001</v>
      </c>
    </row>
    <row r="309" spans="1:13" hidden="1" x14ac:dyDescent="0.2">
      <c r="A309" s="6" t="str">
        <f t="shared" si="4"/>
        <v>AmbosMálagaExtraTodos</v>
      </c>
      <c r="B309" s="6" t="s">
        <v>2237</v>
      </c>
      <c r="C309" s="6" t="s">
        <v>1232</v>
      </c>
      <c r="D309" s="6" t="s">
        <v>153</v>
      </c>
      <c r="E309" s="6" t="s">
        <v>2239</v>
      </c>
      <c r="F309" s="6" t="s">
        <v>202</v>
      </c>
      <c r="G309" s="522">
        <v>0.15120000000000003</v>
      </c>
      <c r="I309" s="11"/>
      <c r="L309" s="6">
        <v>0.14000000000000001</v>
      </c>
      <c r="M309" s="6">
        <v>0.15400000000000003</v>
      </c>
    </row>
    <row r="310" spans="1:13" hidden="1" x14ac:dyDescent="0.2">
      <c r="A310" s="6" t="str">
        <f t="shared" si="4"/>
        <v>AmbosMálagaExtraTodos</v>
      </c>
      <c r="B310" s="6" t="s">
        <v>2237</v>
      </c>
      <c r="C310" s="6" t="s">
        <v>1232</v>
      </c>
      <c r="D310" s="6" t="s">
        <v>153</v>
      </c>
      <c r="E310" s="6" t="s">
        <v>2239</v>
      </c>
      <c r="F310" s="6" t="s">
        <v>2241</v>
      </c>
      <c r="G310" s="522">
        <v>0.48600000000000004</v>
      </c>
      <c r="I310" s="11"/>
      <c r="L310" s="6">
        <v>0.45</v>
      </c>
      <c r="M310" s="6">
        <v>0.495</v>
      </c>
    </row>
    <row r="311" spans="1:13" hidden="1" x14ac:dyDescent="0.2">
      <c r="A311" s="6" t="str">
        <f t="shared" si="4"/>
        <v>AmbosMálagaExtraTodos</v>
      </c>
      <c r="B311" s="6" t="s">
        <v>2237</v>
      </c>
      <c r="C311" s="6" t="s">
        <v>1232</v>
      </c>
      <c r="D311" s="6" t="s">
        <v>153</v>
      </c>
      <c r="E311" s="6" t="s">
        <v>2239</v>
      </c>
      <c r="F311" s="6" t="s">
        <v>2242</v>
      </c>
      <c r="G311" s="522">
        <v>0.32400000000000001</v>
      </c>
      <c r="I311" s="11"/>
      <c r="L311" s="6">
        <v>0.3</v>
      </c>
      <c r="M311" s="6">
        <v>0.32999999999999996</v>
      </c>
    </row>
    <row r="312" spans="1:13" hidden="1" x14ac:dyDescent="0.2">
      <c r="A312" s="6" t="str">
        <f t="shared" si="4"/>
        <v>AmbosMálagaExtraTodos</v>
      </c>
      <c r="B312" s="6" t="s">
        <v>2237</v>
      </c>
      <c r="C312" s="6" t="s">
        <v>1232</v>
      </c>
      <c r="D312" s="6" t="s">
        <v>153</v>
      </c>
      <c r="E312" s="6" t="s">
        <v>2239</v>
      </c>
      <c r="F312" s="6" t="s">
        <v>2243</v>
      </c>
      <c r="G312" s="522">
        <v>1.1340000000000001</v>
      </c>
      <c r="I312" s="11"/>
      <c r="L312" s="6">
        <v>1.05</v>
      </c>
      <c r="M312" s="6">
        <v>1.155</v>
      </c>
    </row>
    <row r="313" spans="1:13" hidden="1" x14ac:dyDescent="0.2">
      <c r="A313" s="6" t="str">
        <f t="shared" si="4"/>
        <v>AmbosMálagaExtraTodos</v>
      </c>
      <c r="B313" s="6" t="s">
        <v>2237</v>
      </c>
      <c r="C313" s="6" t="s">
        <v>1232</v>
      </c>
      <c r="D313" s="6" t="s">
        <v>153</v>
      </c>
      <c r="E313" s="6" t="s">
        <v>2239</v>
      </c>
      <c r="F313" s="6" t="s">
        <v>2244</v>
      </c>
      <c r="G313" s="522">
        <v>6.1668000000000003</v>
      </c>
      <c r="I313" s="11"/>
      <c r="L313" s="6">
        <v>5.71</v>
      </c>
      <c r="M313" s="6">
        <v>6.2809999999999997</v>
      </c>
    </row>
    <row r="314" spans="1:13" hidden="1" x14ac:dyDescent="0.2">
      <c r="A314" s="6" t="str">
        <f t="shared" si="4"/>
        <v>AmbosMálagaExtraTodos</v>
      </c>
      <c r="B314" s="6" t="s">
        <v>2237</v>
      </c>
      <c r="C314" s="6" t="s">
        <v>1232</v>
      </c>
      <c r="D314" s="6" t="s">
        <v>153</v>
      </c>
      <c r="E314" s="6" t="s">
        <v>2239</v>
      </c>
      <c r="F314" s="6" t="s">
        <v>203</v>
      </c>
      <c r="G314" s="522">
        <v>0.72360000000000013</v>
      </c>
      <c r="I314" s="11"/>
      <c r="L314" s="6">
        <v>0.67</v>
      </c>
      <c r="M314" s="6">
        <v>0.7370000000000001</v>
      </c>
    </row>
    <row r="315" spans="1:13" hidden="1" x14ac:dyDescent="0.2">
      <c r="A315" s="6" t="str">
        <f t="shared" si="4"/>
        <v>AmbosMálagaExtraTodos</v>
      </c>
      <c r="B315" s="6" t="s">
        <v>2237</v>
      </c>
      <c r="C315" s="6" t="s">
        <v>1232</v>
      </c>
      <c r="D315" s="6" t="s">
        <v>153</v>
      </c>
      <c r="E315" s="6" t="s">
        <v>2239</v>
      </c>
      <c r="F315" s="6" t="s">
        <v>2245</v>
      </c>
      <c r="G315" s="522">
        <v>0.9396000000000001</v>
      </c>
      <c r="I315" s="11"/>
      <c r="L315" s="6">
        <v>0.87</v>
      </c>
      <c r="M315" s="6">
        <v>0.95699999999999996</v>
      </c>
    </row>
    <row r="316" spans="1:13" hidden="1" x14ac:dyDescent="0.2">
      <c r="A316" s="6" t="str">
        <f t="shared" si="4"/>
        <v>AmbosMálagaExtraTodos</v>
      </c>
      <c r="B316" s="6" t="s">
        <v>2237</v>
      </c>
      <c r="C316" s="6" t="s">
        <v>1232</v>
      </c>
      <c r="D316" s="6" t="s">
        <v>153</v>
      </c>
      <c r="E316" s="6" t="s">
        <v>2239</v>
      </c>
      <c r="F316" s="6" t="s">
        <v>2246</v>
      </c>
      <c r="G316" s="522">
        <v>0.16200000000000001</v>
      </c>
      <c r="I316" s="11"/>
      <c r="L316" s="6">
        <v>0.15</v>
      </c>
      <c r="M316" s="6">
        <v>0.16499999999999998</v>
      </c>
    </row>
    <row r="317" spans="1:13" hidden="1" x14ac:dyDescent="0.2">
      <c r="A317" s="6" t="str">
        <f t="shared" si="4"/>
        <v>AmbosMálagaExtraTodos</v>
      </c>
      <c r="B317" s="6" t="s">
        <v>2237</v>
      </c>
      <c r="C317" s="6" t="s">
        <v>1232</v>
      </c>
      <c r="D317" s="6" t="s">
        <v>153</v>
      </c>
      <c r="E317" s="6" t="s">
        <v>2239</v>
      </c>
      <c r="F317" s="6" t="s">
        <v>2247</v>
      </c>
      <c r="G317" s="522">
        <v>0.1188</v>
      </c>
      <c r="I317" s="11"/>
      <c r="L317" s="6">
        <v>0.11</v>
      </c>
      <c r="M317" s="6">
        <v>0.121</v>
      </c>
    </row>
    <row r="318" spans="1:13" hidden="1" x14ac:dyDescent="0.2">
      <c r="A318" s="6" t="str">
        <f t="shared" si="4"/>
        <v>AmbosMálagaExtraTodos</v>
      </c>
      <c r="B318" s="6" t="s">
        <v>2237</v>
      </c>
      <c r="C318" s="6" t="s">
        <v>1232</v>
      </c>
      <c r="D318" s="6" t="s">
        <v>153</v>
      </c>
      <c r="E318" s="6" t="s">
        <v>2239</v>
      </c>
      <c r="F318" s="6" t="s">
        <v>2248</v>
      </c>
      <c r="G318" s="522">
        <v>0.23760000000000001</v>
      </c>
      <c r="I318" s="11"/>
      <c r="L318" s="6">
        <v>0.22</v>
      </c>
      <c r="M318" s="6">
        <v>0.24199999999999999</v>
      </c>
    </row>
    <row r="319" spans="1:13" x14ac:dyDescent="0.2">
      <c r="A319" s="6" t="str">
        <f t="shared" si="4"/>
        <v>CateringCastellónAlmuerzoAdulto</v>
      </c>
      <c r="B319" s="6" t="s">
        <v>31</v>
      </c>
      <c r="C319" s="6" t="s">
        <v>2250</v>
      </c>
      <c r="D319" s="6" t="s">
        <v>1010</v>
      </c>
      <c r="E319" s="6" t="s">
        <v>1141</v>
      </c>
      <c r="G319" s="522">
        <v>0.82</v>
      </c>
      <c r="I319" s="11"/>
      <c r="L319" s="6">
        <v>0.44</v>
      </c>
      <c r="M319" s="6">
        <v>0.48399999999999999</v>
      </c>
    </row>
    <row r="320" spans="1:13" hidden="1" x14ac:dyDescent="0.2">
      <c r="A320" s="6" t="str">
        <f t="shared" si="4"/>
        <v>CateringCastellonAlmuerzoEscolar</v>
      </c>
      <c r="B320" s="6" t="s">
        <v>31</v>
      </c>
      <c r="C320" s="6" t="s">
        <v>1107</v>
      </c>
      <c r="D320" s="6" t="s">
        <v>1010</v>
      </c>
      <c r="E320" s="6" t="s">
        <v>110</v>
      </c>
      <c r="G320" s="522">
        <v>0.54</v>
      </c>
      <c r="I320" s="11"/>
      <c r="L320" s="6">
        <v>0.5</v>
      </c>
      <c r="M320" s="6">
        <v>0.55000000000000004</v>
      </c>
    </row>
    <row r="321" spans="1:14" hidden="1" x14ac:dyDescent="0.2">
      <c r="A321" s="6" t="str">
        <f t="shared" si="4"/>
        <v>CateringCastellónAlmuerzoInfantil</v>
      </c>
      <c r="B321" s="6" t="s">
        <v>31</v>
      </c>
      <c r="C321" s="6" t="s">
        <v>2250</v>
      </c>
      <c r="D321" s="6" t="s">
        <v>1010</v>
      </c>
      <c r="E321" s="6" t="s">
        <v>1275</v>
      </c>
      <c r="G321" s="522">
        <v>0.47520000000000001</v>
      </c>
      <c r="I321" s="11"/>
      <c r="L321" s="6">
        <v>0.44</v>
      </c>
      <c r="M321" s="6">
        <v>0.48399999999999999</v>
      </c>
    </row>
    <row r="322" spans="1:14" x14ac:dyDescent="0.2">
      <c r="A322" s="6" t="str">
        <f t="shared" ref="A322:A338" si="5">CONCATENATE(B322,C322,D322,E322)</f>
        <v>CateringCastellónCenaAdulto</v>
      </c>
      <c r="B322" s="6" t="s">
        <v>31</v>
      </c>
      <c r="C322" s="6" t="s">
        <v>2250</v>
      </c>
      <c r="D322" s="6" t="s">
        <v>1162</v>
      </c>
      <c r="E322" s="6" t="s">
        <v>1141</v>
      </c>
      <c r="G322" s="522">
        <v>1.3392000000000002</v>
      </c>
      <c r="I322" s="11"/>
      <c r="L322" s="6">
        <v>1.24</v>
      </c>
      <c r="M322" s="6">
        <v>1.3639999999999999</v>
      </c>
    </row>
    <row r="323" spans="1:14" hidden="1" x14ac:dyDescent="0.2">
      <c r="A323" s="6" t="str">
        <f t="shared" si="5"/>
        <v>CateringCastellonCenaEscolar</v>
      </c>
      <c r="B323" s="6" t="s">
        <v>31</v>
      </c>
      <c r="C323" s="6" t="s">
        <v>1107</v>
      </c>
      <c r="D323" s="6" t="s">
        <v>1162</v>
      </c>
      <c r="E323" s="6" t="s">
        <v>110</v>
      </c>
      <c r="G323" s="522">
        <v>1.296</v>
      </c>
      <c r="I323" s="11"/>
      <c r="L323" s="6">
        <v>1.2</v>
      </c>
      <c r="M323" s="6">
        <v>1.3199999999999998</v>
      </c>
    </row>
    <row r="324" spans="1:14" hidden="1" x14ac:dyDescent="0.2">
      <c r="A324" s="6" t="str">
        <f t="shared" si="5"/>
        <v>CateringCastellónCenaInfantil</v>
      </c>
      <c r="B324" s="6" t="s">
        <v>31</v>
      </c>
      <c r="C324" s="6" t="s">
        <v>2250</v>
      </c>
      <c r="D324" s="6" t="s">
        <v>1162</v>
      </c>
      <c r="E324" s="6" t="s">
        <v>1275</v>
      </c>
      <c r="G324" s="522">
        <v>0.9396000000000001</v>
      </c>
      <c r="I324" s="11"/>
      <c r="L324" s="6">
        <v>0.87</v>
      </c>
      <c r="M324" s="6">
        <v>0.95699999999999996</v>
      </c>
    </row>
    <row r="325" spans="1:14" x14ac:dyDescent="0.2">
      <c r="A325" s="6" t="str">
        <f t="shared" si="5"/>
        <v>CateringCastellonComidaAdulto</v>
      </c>
      <c r="B325" s="6" t="s">
        <v>31</v>
      </c>
      <c r="C325" s="6" t="s">
        <v>1107</v>
      </c>
      <c r="D325" s="6" t="s">
        <v>1011</v>
      </c>
      <c r="E325" s="6" t="s">
        <v>1141</v>
      </c>
      <c r="G325" s="522">
        <v>2.2000000000000002</v>
      </c>
      <c r="I325" s="11"/>
      <c r="L325" s="6">
        <v>1.55</v>
      </c>
      <c r="M325" s="6">
        <v>1.7050000000000001</v>
      </c>
      <c r="N325" s="6">
        <v>1.6739999999999999</v>
      </c>
    </row>
    <row r="326" spans="1:14" hidden="1" x14ac:dyDescent="0.2">
      <c r="A326" s="6" t="str">
        <f t="shared" si="5"/>
        <v>CateringCastellonComidaAlergias_Env</v>
      </c>
      <c r="B326" s="6" t="s">
        <v>31</v>
      </c>
      <c r="C326" s="6" t="s">
        <v>1107</v>
      </c>
      <c r="D326" s="6" t="s">
        <v>1011</v>
      </c>
      <c r="E326" s="6" t="s">
        <v>1186</v>
      </c>
      <c r="G326" s="522">
        <v>1.2</v>
      </c>
      <c r="I326" s="11"/>
      <c r="L326" s="6">
        <v>0.96</v>
      </c>
      <c r="M326" s="6">
        <v>1.056</v>
      </c>
    </row>
    <row r="327" spans="1:14" hidden="1" x14ac:dyDescent="0.2">
      <c r="A327" s="6" t="str">
        <f t="shared" si="5"/>
        <v>CateringCastellonComidaAlergias_Sin_Envasar</v>
      </c>
      <c r="B327" s="6" t="s">
        <v>31</v>
      </c>
      <c r="C327" s="6" t="s">
        <v>1107</v>
      </c>
      <c r="D327" s="6" t="s">
        <v>1011</v>
      </c>
      <c r="E327" s="6" t="s">
        <v>2253</v>
      </c>
      <c r="G327" s="522">
        <v>1.2</v>
      </c>
      <c r="I327" s="11"/>
      <c r="L327" s="6">
        <v>0.87</v>
      </c>
      <c r="M327" s="6">
        <v>0.95699999999999996</v>
      </c>
    </row>
    <row r="328" spans="1:14" hidden="1" x14ac:dyDescent="0.2">
      <c r="A328" s="6" t="str">
        <f t="shared" si="5"/>
        <v>CateringCastellonComidaEscolar</v>
      </c>
      <c r="B328" s="6" t="s">
        <v>31</v>
      </c>
      <c r="C328" s="6" t="s">
        <v>1107</v>
      </c>
      <c r="D328" s="6" t="s">
        <v>1011</v>
      </c>
      <c r="E328" s="6" t="s">
        <v>110</v>
      </c>
      <c r="G328" s="522">
        <v>1.2</v>
      </c>
      <c r="I328" s="11"/>
      <c r="L328" s="6">
        <v>1.2</v>
      </c>
      <c r="M328" s="6">
        <v>1.3199999999999998</v>
      </c>
      <c r="N328" s="6">
        <v>1.296</v>
      </c>
    </row>
    <row r="329" spans="1:14" hidden="1" x14ac:dyDescent="0.2">
      <c r="A329" s="6" t="str">
        <f t="shared" si="5"/>
        <v>CateringCastellonComidaGratuidades</v>
      </c>
      <c r="B329" s="6" t="s">
        <v>31</v>
      </c>
      <c r="C329" s="6" t="s">
        <v>1107</v>
      </c>
      <c r="D329" s="6" t="s">
        <v>1011</v>
      </c>
      <c r="E329" s="6" t="s">
        <v>1255</v>
      </c>
      <c r="G329" s="522">
        <v>1.2</v>
      </c>
      <c r="I329" s="11"/>
      <c r="L329" s="6">
        <v>0.93</v>
      </c>
      <c r="M329" s="6">
        <v>1.0230000000000001</v>
      </c>
    </row>
    <row r="330" spans="1:14" hidden="1" x14ac:dyDescent="0.2">
      <c r="A330" s="6" t="str">
        <f t="shared" si="5"/>
        <v>CateringCastellonComidaInfantil</v>
      </c>
      <c r="B330" s="6" t="s">
        <v>31</v>
      </c>
      <c r="C330" s="6" t="s">
        <v>1107</v>
      </c>
      <c r="D330" s="6" t="s">
        <v>1011</v>
      </c>
      <c r="E330" s="6" t="s">
        <v>1275</v>
      </c>
      <c r="G330" s="522">
        <v>1.2</v>
      </c>
      <c r="I330" s="11"/>
      <c r="L330" s="6">
        <v>0.87</v>
      </c>
      <c r="M330" s="6">
        <v>0.95699999999999996</v>
      </c>
    </row>
    <row r="331" spans="1:14" x14ac:dyDescent="0.2">
      <c r="A331" s="6" t="str">
        <f t="shared" si="5"/>
        <v>CateringCastellónDesayunoAdulto</v>
      </c>
      <c r="B331" s="6" t="s">
        <v>31</v>
      </c>
      <c r="C331" s="6" t="s">
        <v>2250</v>
      </c>
      <c r="D331" s="6" t="s">
        <v>1208</v>
      </c>
      <c r="E331" s="6" t="s">
        <v>1141</v>
      </c>
      <c r="G331" s="522">
        <v>0.72</v>
      </c>
      <c r="I331" s="11"/>
      <c r="L331" s="6">
        <v>0.44</v>
      </c>
      <c r="M331" s="6">
        <v>0.48399999999999999</v>
      </c>
    </row>
    <row r="332" spans="1:14" hidden="1" x14ac:dyDescent="0.2">
      <c r="A332" s="6" t="str">
        <f t="shared" si="5"/>
        <v>CateringCastellonDesayunoEscolar</v>
      </c>
      <c r="B332" s="6" t="s">
        <v>31</v>
      </c>
      <c r="C332" s="6" t="s">
        <v>1107</v>
      </c>
      <c r="D332" s="6" t="s">
        <v>1208</v>
      </c>
      <c r="E332" s="6" t="s">
        <v>110</v>
      </c>
      <c r="G332" s="522">
        <v>0.54</v>
      </c>
      <c r="I332" s="11"/>
      <c r="L332" s="6">
        <v>0.5</v>
      </c>
      <c r="M332" s="6">
        <v>0.55000000000000004</v>
      </c>
    </row>
    <row r="333" spans="1:14" hidden="1" x14ac:dyDescent="0.2">
      <c r="A333" s="6" t="str">
        <f t="shared" si="5"/>
        <v>CateringCastellónDesayunoInfantil</v>
      </c>
      <c r="B333" s="6" t="s">
        <v>31</v>
      </c>
      <c r="C333" s="6" t="s">
        <v>2250</v>
      </c>
      <c r="D333" s="6" t="s">
        <v>1208</v>
      </c>
      <c r="E333" s="6" t="s">
        <v>1275</v>
      </c>
      <c r="G333" s="522">
        <v>0.54</v>
      </c>
      <c r="I333" s="11"/>
      <c r="L333" s="6">
        <v>0.5</v>
      </c>
      <c r="M333" s="6">
        <v>0.55000000000000004</v>
      </c>
    </row>
    <row r="334" spans="1:14" x14ac:dyDescent="0.2">
      <c r="A334" s="6" t="str">
        <f t="shared" si="5"/>
        <v>CateringCastellónMeriendaAdulto</v>
      </c>
      <c r="B334" s="6" t="s">
        <v>31</v>
      </c>
      <c r="C334" s="6" t="s">
        <v>2250</v>
      </c>
      <c r="D334" s="6" t="s">
        <v>1012</v>
      </c>
      <c r="E334" s="6" t="s">
        <v>1141</v>
      </c>
      <c r="G334" s="522">
        <v>0.81</v>
      </c>
      <c r="I334" s="11"/>
      <c r="L334" s="6">
        <v>0.75</v>
      </c>
      <c r="M334" s="6">
        <v>0.82499999999999996</v>
      </c>
    </row>
    <row r="335" spans="1:14" hidden="1" x14ac:dyDescent="0.2">
      <c r="A335" s="6" t="str">
        <f t="shared" si="5"/>
        <v>CateringCastellonMeriendaEscolar</v>
      </c>
      <c r="B335" s="6" t="s">
        <v>31</v>
      </c>
      <c r="C335" s="6" t="s">
        <v>1107</v>
      </c>
      <c r="D335" s="6" t="s">
        <v>1012</v>
      </c>
      <c r="E335" s="6" t="s">
        <v>110</v>
      </c>
      <c r="G335" s="522">
        <v>0.54</v>
      </c>
      <c r="I335" s="11"/>
      <c r="L335" s="6">
        <v>0.5</v>
      </c>
      <c r="M335" s="6">
        <v>0.55000000000000004</v>
      </c>
    </row>
    <row r="336" spans="1:14" hidden="1" x14ac:dyDescent="0.2">
      <c r="A336" s="6" t="str">
        <f t="shared" si="5"/>
        <v>CateringCastellónMeriendaInfantil</v>
      </c>
      <c r="B336" s="6" t="s">
        <v>31</v>
      </c>
      <c r="C336" s="6" t="s">
        <v>2250</v>
      </c>
      <c r="D336" s="6" t="s">
        <v>1012</v>
      </c>
      <c r="E336" s="6" t="s">
        <v>1275</v>
      </c>
      <c r="G336" s="522">
        <v>0.54</v>
      </c>
      <c r="I336" s="11"/>
      <c r="L336" s="6">
        <v>0.5</v>
      </c>
      <c r="M336" s="6">
        <v>0.55000000000000004</v>
      </c>
    </row>
    <row r="337" spans="1:13" hidden="1" x14ac:dyDescent="0.2">
      <c r="A337" s="6" t="str">
        <f t="shared" si="5"/>
        <v>AmbosMálagaExtraInfantil</v>
      </c>
      <c r="B337" s="6" t="s">
        <v>2237</v>
      </c>
      <c r="C337" s="6" t="s">
        <v>1232</v>
      </c>
      <c r="D337" s="6" t="s">
        <v>153</v>
      </c>
      <c r="E337" s="6" t="s">
        <v>1275</v>
      </c>
      <c r="F337" s="6" t="s">
        <v>2238</v>
      </c>
      <c r="G337" s="522">
        <v>5.4000000000000006E-2</v>
      </c>
      <c r="I337" s="11"/>
      <c r="L337" s="6">
        <v>0.05</v>
      </c>
      <c r="M337" s="6">
        <v>5.5000000000000007E-2</v>
      </c>
    </row>
    <row r="338" spans="1:13" hidden="1" x14ac:dyDescent="0.2">
      <c r="A338" s="6" t="str">
        <f t="shared" si="5"/>
        <v>AmbosMálagaExtraEscolar</v>
      </c>
      <c r="B338" s="6" t="s">
        <v>2237</v>
      </c>
      <c r="C338" s="6" t="s">
        <v>1232</v>
      </c>
      <c r="D338" s="6" t="s">
        <v>153</v>
      </c>
      <c r="E338" s="6" t="s">
        <v>110</v>
      </c>
      <c r="F338" s="6" t="s">
        <v>2238</v>
      </c>
      <c r="G338" s="522">
        <v>8.6400000000000005E-2</v>
      </c>
      <c r="I338" s="11"/>
      <c r="L338" s="6">
        <v>0.08</v>
      </c>
      <c r="M338" s="6">
        <v>8.7999999999999995E-2</v>
      </c>
    </row>
    <row r="339" spans="1:13" hidden="1" x14ac:dyDescent="0.2">
      <c r="A339" s="6" t="str">
        <f t="shared" ref="A339:A353" si="6">CONCATENATE(B339,C339,D339,E339)</f>
        <v>Catering_FrioCórdobaComidaEscolar</v>
      </c>
      <c r="B339" s="6" t="s">
        <v>1205</v>
      </c>
      <c r="C339" s="6" t="s">
        <v>1187</v>
      </c>
      <c r="D339" s="6" t="s">
        <v>1011</v>
      </c>
      <c r="E339" s="6" t="s">
        <v>110</v>
      </c>
      <c r="G339" s="522">
        <v>0.92</v>
      </c>
      <c r="I339" s="11"/>
      <c r="L339" s="6"/>
    </row>
    <row r="340" spans="1:13" hidden="1" x14ac:dyDescent="0.2">
      <c r="A340" s="6" t="str">
        <f t="shared" si="6"/>
        <v>Catering_FrioCórdobaComidaInfantil</v>
      </c>
      <c r="B340" s="6" t="s">
        <v>1205</v>
      </c>
      <c r="C340" s="6" t="s">
        <v>1187</v>
      </c>
      <c r="D340" s="6" t="s">
        <v>1011</v>
      </c>
      <c r="E340" s="6" t="s">
        <v>1275</v>
      </c>
      <c r="G340" s="522">
        <v>0.92</v>
      </c>
      <c r="I340" s="11"/>
      <c r="L340" s="6"/>
    </row>
    <row r="341" spans="1:13" hidden="1" x14ac:dyDescent="0.2">
      <c r="A341" s="6" t="str">
        <f t="shared" si="6"/>
        <v>Catering_FrioCórdobaComidaEscolar</v>
      </c>
      <c r="B341" s="6" t="s">
        <v>1205</v>
      </c>
      <c r="C341" s="6" t="s">
        <v>1187</v>
      </c>
      <c r="D341" s="6" t="s">
        <v>1011</v>
      </c>
      <c r="E341" s="6" t="s">
        <v>110</v>
      </c>
      <c r="G341" s="522">
        <v>0.92</v>
      </c>
      <c r="I341" s="11"/>
      <c r="L341" s="6"/>
    </row>
    <row r="342" spans="1:13" hidden="1" x14ac:dyDescent="0.2">
      <c r="A342" s="6" t="str">
        <f t="shared" si="6"/>
        <v>Catering_FrioCórdobaComidaInfantil</v>
      </c>
      <c r="B342" s="6" t="s">
        <v>1205</v>
      </c>
      <c r="C342" s="6" t="s">
        <v>1187</v>
      </c>
      <c r="D342" s="6" t="s">
        <v>1011</v>
      </c>
      <c r="E342" s="6" t="s">
        <v>1275</v>
      </c>
      <c r="G342" s="522">
        <v>0.92</v>
      </c>
      <c r="I342" s="11"/>
      <c r="L342" s="6"/>
    </row>
    <row r="343" spans="1:13" hidden="1" x14ac:dyDescent="0.2">
      <c r="A343" s="6" t="str">
        <f t="shared" si="6"/>
        <v>Catering_FrioSevillaComidaEscolar</v>
      </c>
      <c r="B343" s="6" t="s">
        <v>1205</v>
      </c>
      <c r="C343" s="6" t="s">
        <v>2254</v>
      </c>
      <c r="D343" s="6" t="s">
        <v>1011</v>
      </c>
      <c r="E343" s="6" t="s">
        <v>110</v>
      </c>
      <c r="G343" s="522">
        <v>0.92</v>
      </c>
      <c r="I343" s="11"/>
      <c r="L343" s="6"/>
    </row>
    <row r="344" spans="1:13" hidden="1" x14ac:dyDescent="0.2">
      <c r="A344" s="6" t="str">
        <f t="shared" si="6"/>
        <v>Catering_FrioSevillaComidaInfantil</v>
      </c>
      <c r="B344" s="6" t="s">
        <v>1205</v>
      </c>
      <c r="C344" s="6" t="s">
        <v>2254</v>
      </c>
      <c r="D344" s="6" t="s">
        <v>1011</v>
      </c>
      <c r="E344" s="6" t="s">
        <v>1275</v>
      </c>
      <c r="G344" s="522">
        <v>0.92</v>
      </c>
      <c r="I344" s="11"/>
      <c r="L344" s="6"/>
    </row>
    <row r="345" spans="1:13" hidden="1" x14ac:dyDescent="0.2">
      <c r="A345" s="6" t="str">
        <f t="shared" si="6"/>
        <v>Catering_FrioMálagaComidaEscolar</v>
      </c>
      <c r="B345" s="6" t="s">
        <v>1205</v>
      </c>
      <c r="C345" s="6" t="s">
        <v>1232</v>
      </c>
      <c r="D345" s="6" t="s">
        <v>1011</v>
      </c>
      <c r="E345" s="6" t="s">
        <v>110</v>
      </c>
      <c r="G345" s="522">
        <v>0.92</v>
      </c>
      <c r="I345" s="11"/>
      <c r="L345" s="6"/>
    </row>
    <row r="346" spans="1:13" hidden="1" x14ac:dyDescent="0.2">
      <c r="A346" s="6" t="str">
        <f t="shared" si="6"/>
        <v>Catering_FrioMálagaComidaEscolar</v>
      </c>
      <c r="B346" s="6" t="s">
        <v>1205</v>
      </c>
      <c r="C346" s="6" t="s">
        <v>1232</v>
      </c>
      <c r="D346" s="6" t="s">
        <v>1011</v>
      </c>
      <c r="E346" s="6" t="s">
        <v>110</v>
      </c>
      <c r="G346" s="522">
        <v>0.92</v>
      </c>
      <c r="I346" s="11"/>
      <c r="L346" s="6"/>
    </row>
    <row r="347" spans="1:13" hidden="1" x14ac:dyDescent="0.2">
      <c r="A347" s="6" t="str">
        <f t="shared" si="6"/>
        <v>Catering_FrioMálagaComidaInfantil</v>
      </c>
      <c r="B347" s="6" t="s">
        <v>1205</v>
      </c>
      <c r="C347" s="6" t="s">
        <v>1232</v>
      </c>
      <c r="D347" s="6" t="s">
        <v>1011</v>
      </c>
      <c r="E347" s="6" t="s">
        <v>1275</v>
      </c>
      <c r="G347" s="522">
        <v>0.92</v>
      </c>
      <c r="I347" s="11"/>
      <c r="L347" s="6"/>
    </row>
    <row r="348" spans="1:13" hidden="1" x14ac:dyDescent="0.2">
      <c r="A348" s="6" t="str">
        <f t="shared" si="6"/>
        <v>Catering_FrioMálagaComidaInfantil</v>
      </c>
      <c r="B348" s="6" t="s">
        <v>1205</v>
      </c>
      <c r="C348" s="6" t="s">
        <v>1232</v>
      </c>
      <c r="D348" s="6" t="s">
        <v>1011</v>
      </c>
      <c r="E348" s="6" t="s">
        <v>1275</v>
      </c>
      <c r="G348" s="522">
        <v>0.92</v>
      </c>
      <c r="I348" s="11"/>
      <c r="L348" s="6"/>
    </row>
    <row r="349" spans="1:13" hidden="1" x14ac:dyDescent="0.2">
      <c r="A349" s="6" t="str">
        <f t="shared" si="6"/>
        <v>Catering_FrioMálagaComidaEscolar</v>
      </c>
      <c r="B349" s="6" t="s">
        <v>1205</v>
      </c>
      <c r="C349" s="6" t="s">
        <v>1232</v>
      </c>
      <c r="D349" s="6" t="s">
        <v>1011</v>
      </c>
      <c r="E349" s="6" t="s">
        <v>110</v>
      </c>
      <c r="G349" s="522">
        <v>0.92</v>
      </c>
      <c r="I349" s="11"/>
      <c r="L349" s="6"/>
    </row>
    <row r="350" spans="1:13" hidden="1" x14ac:dyDescent="0.2">
      <c r="A350" s="6" t="str">
        <f t="shared" si="6"/>
        <v>Catering_FrioMálagaComidaEscolar</v>
      </c>
      <c r="B350" s="6" t="s">
        <v>1205</v>
      </c>
      <c r="C350" s="6" t="s">
        <v>1232</v>
      </c>
      <c r="D350" s="6" t="s">
        <v>1011</v>
      </c>
      <c r="E350" s="6" t="s">
        <v>110</v>
      </c>
      <c r="G350" s="522">
        <v>0.92</v>
      </c>
      <c r="I350" s="11"/>
      <c r="L350" s="6"/>
    </row>
    <row r="351" spans="1:13" hidden="1" x14ac:dyDescent="0.2">
      <c r="A351" s="6" t="str">
        <f t="shared" si="6"/>
        <v>Catering_FrioMálagaComidaInfantil</v>
      </c>
      <c r="B351" s="6" t="s">
        <v>1205</v>
      </c>
      <c r="C351" s="6" t="s">
        <v>1232</v>
      </c>
      <c r="D351" s="6" t="s">
        <v>1011</v>
      </c>
      <c r="E351" s="6" t="s">
        <v>1275</v>
      </c>
      <c r="G351" s="522">
        <v>0.92</v>
      </c>
      <c r="I351" s="11"/>
      <c r="L351" s="6"/>
    </row>
    <row r="352" spans="1:13" hidden="1" x14ac:dyDescent="0.2">
      <c r="A352" s="6" t="str">
        <f t="shared" si="6"/>
        <v>Catering_FrioSevillaComidaEscolar</v>
      </c>
      <c r="B352" s="6" t="s">
        <v>1205</v>
      </c>
      <c r="C352" s="6" t="s">
        <v>2254</v>
      </c>
      <c r="D352" s="6" t="s">
        <v>1011</v>
      </c>
      <c r="E352" s="6" t="s">
        <v>110</v>
      </c>
      <c r="G352" s="522">
        <v>0.92</v>
      </c>
      <c r="I352" s="11"/>
      <c r="L352" s="6"/>
    </row>
    <row r="353" spans="1:14" hidden="1" x14ac:dyDescent="0.2">
      <c r="A353" s="6" t="str">
        <f t="shared" si="6"/>
        <v>Catering_FrioSevillaComidaInfantil</v>
      </c>
      <c r="B353" s="6" t="s">
        <v>1205</v>
      </c>
      <c r="C353" s="6" t="s">
        <v>2254</v>
      </c>
      <c r="D353" s="6" t="s">
        <v>1011</v>
      </c>
      <c r="E353" s="6" t="s">
        <v>1275</v>
      </c>
      <c r="G353" s="522">
        <v>0.92</v>
      </c>
      <c r="I353" s="11"/>
      <c r="L353" s="6"/>
    </row>
    <row r="354" spans="1:14" hidden="1" x14ac:dyDescent="0.2">
      <c r="A354" s="6" t="str">
        <f>CONCATENATE(B354,C354,D354,E354)</f>
        <v>Catering_FrioJaénComidaEscolar</v>
      </c>
      <c r="B354" s="6" t="s">
        <v>1205</v>
      </c>
      <c r="C354" s="6" t="s">
        <v>2255</v>
      </c>
      <c r="D354" s="6" t="s">
        <v>1011</v>
      </c>
      <c r="E354" s="6" t="s">
        <v>110</v>
      </c>
      <c r="G354" s="522">
        <v>0.92</v>
      </c>
      <c r="I354" s="6"/>
      <c r="L354" s="6"/>
      <c r="M354" s="11"/>
    </row>
    <row r="355" spans="1:14" hidden="1" x14ac:dyDescent="0.2">
      <c r="A355" s="6" t="str">
        <f>CONCATENATE(B355,C355,D355,E355)</f>
        <v>Catering_FrioJaénComidaInfantil</v>
      </c>
      <c r="B355" s="6" t="s">
        <v>1205</v>
      </c>
      <c r="C355" s="6" t="s">
        <v>2255</v>
      </c>
      <c r="D355" s="6" t="s">
        <v>1011</v>
      </c>
      <c r="E355" s="6" t="s">
        <v>1275</v>
      </c>
      <c r="G355" s="522">
        <v>0.92</v>
      </c>
      <c r="I355" s="6"/>
      <c r="L355" s="6"/>
      <c r="M355" s="11"/>
    </row>
    <row r="356" spans="1:14" x14ac:dyDescent="0.2">
      <c r="A356" s="6" t="str">
        <f>CONCATENATE(B356,C356,D356,E356)</f>
        <v>AutónomaJaénAlmuerzoAdulto</v>
      </c>
      <c r="B356" s="6" t="s">
        <v>2251</v>
      </c>
      <c r="C356" s="6" t="s">
        <v>2255</v>
      </c>
      <c r="D356" s="6" t="s">
        <v>1010</v>
      </c>
      <c r="E356" s="6" t="s">
        <v>1141</v>
      </c>
      <c r="G356" s="522">
        <v>0.82</v>
      </c>
      <c r="I356" s="11"/>
      <c r="L356" s="6">
        <v>0.44</v>
      </c>
    </row>
    <row r="357" spans="1:14" x14ac:dyDescent="0.2">
      <c r="A357" s="6" t="str">
        <f t="shared" ref="A357:A420" si="7">CONCATENATE(B357,C357,D357,E357)</f>
        <v>AutónomaJaénAlmuerzoAdulto</v>
      </c>
      <c r="B357" s="6" t="s">
        <v>2251</v>
      </c>
      <c r="C357" s="6" t="s">
        <v>2255</v>
      </c>
      <c r="D357" s="6" t="s">
        <v>1010</v>
      </c>
      <c r="E357" s="6" t="s">
        <v>1141</v>
      </c>
      <c r="G357" s="522">
        <v>0.82</v>
      </c>
      <c r="I357" s="11"/>
      <c r="L357" s="6">
        <v>0.44</v>
      </c>
    </row>
    <row r="358" spans="1:14" hidden="1" x14ac:dyDescent="0.2">
      <c r="A358" s="6" t="str">
        <f t="shared" si="7"/>
        <v>AutónomaJaénAlmuerzoEscolar</v>
      </c>
      <c r="B358" s="6" t="s">
        <v>2251</v>
      </c>
      <c r="C358" s="6" t="s">
        <v>2255</v>
      </c>
      <c r="D358" s="6" t="s">
        <v>1010</v>
      </c>
      <c r="E358" s="6" t="s">
        <v>110</v>
      </c>
      <c r="G358" s="522">
        <v>0.43200000000000005</v>
      </c>
      <c r="I358" s="11"/>
      <c r="L358" s="6">
        <v>0.4</v>
      </c>
    </row>
    <row r="359" spans="1:14" hidden="1" x14ac:dyDescent="0.2">
      <c r="A359" s="6" t="str">
        <f t="shared" si="7"/>
        <v>AutónomaJaénAlmuerzoEscolar</v>
      </c>
      <c r="B359" s="6" t="s">
        <v>2251</v>
      </c>
      <c r="C359" s="6" t="s">
        <v>2255</v>
      </c>
      <c r="D359" s="6" t="s">
        <v>1010</v>
      </c>
      <c r="E359" s="6" t="s">
        <v>110</v>
      </c>
      <c r="G359" s="522">
        <v>0.43200000000000005</v>
      </c>
      <c r="I359" s="11"/>
      <c r="L359" s="6">
        <v>0.4</v>
      </c>
    </row>
    <row r="360" spans="1:14" hidden="1" x14ac:dyDescent="0.2">
      <c r="A360" s="6" t="str">
        <f t="shared" si="7"/>
        <v>AutónomaJaénAlmuerzoInfantil</v>
      </c>
      <c r="B360" s="6" t="s">
        <v>2251</v>
      </c>
      <c r="C360" s="6" t="s">
        <v>2255</v>
      </c>
      <c r="D360" s="6" t="s">
        <v>1010</v>
      </c>
      <c r="E360" s="6" t="s">
        <v>1275</v>
      </c>
      <c r="G360" s="522">
        <v>0.43200000000000005</v>
      </c>
      <c r="I360" s="11"/>
      <c r="L360" s="6">
        <v>0.4</v>
      </c>
    </row>
    <row r="361" spans="1:14" hidden="1" x14ac:dyDescent="0.2">
      <c r="A361" s="6" t="str">
        <f t="shared" si="7"/>
        <v>AutónomaJaénAlmuerzoInfantil</v>
      </c>
      <c r="B361" s="6" t="s">
        <v>2251</v>
      </c>
      <c r="C361" s="6" t="s">
        <v>2255</v>
      </c>
      <c r="D361" s="6" t="s">
        <v>1010</v>
      </c>
      <c r="E361" s="6" t="s">
        <v>1275</v>
      </c>
      <c r="G361" s="522">
        <v>0.43200000000000005</v>
      </c>
      <c r="I361" s="11"/>
      <c r="L361" s="6">
        <v>0.4</v>
      </c>
    </row>
    <row r="362" spans="1:14" x14ac:dyDescent="0.2">
      <c r="A362" s="6" t="str">
        <f t="shared" si="7"/>
        <v>AutónomaJaénCenaAdulto</v>
      </c>
      <c r="B362" s="6" t="s">
        <v>2251</v>
      </c>
      <c r="C362" s="6" t="s">
        <v>2255</v>
      </c>
      <c r="D362" s="6" t="s">
        <v>1162</v>
      </c>
      <c r="E362" s="6" t="s">
        <v>1141</v>
      </c>
      <c r="G362" s="522">
        <v>1.3392000000000002</v>
      </c>
      <c r="I362" s="11"/>
      <c r="L362" s="6">
        <v>1.24</v>
      </c>
    </row>
    <row r="363" spans="1:14" x14ac:dyDescent="0.2">
      <c r="A363" s="6" t="str">
        <f t="shared" si="7"/>
        <v>AutónomaJaénCenaAdulto</v>
      </c>
      <c r="B363" s="6" t="s">
        <v>2251</v>
      </c>
      <c r="C363" s="6" t="s">
        <v>2255</v>
      </c>
      <c r="D363" s="6" t="s">
        <v>1162</v>
      </c>
      <c r="E363" s="6" t="s">
        <v>1141</v>
      </c>
      <c r="G363" s="522">
        <v>1.3392000000000002</v>
      </c>
      <c r="I363" s="11"/>
      <c r="L363" s="6">
        <v>1.24</v>
      </c>
    </row>
    <row r="364" spans="1:14" hidden="1" x14ac:dyDescent="0.2">
      <c r="A364" s="6" t="str">
        <f t="shared" si="7"/>
        <v>AutónomaJaénCenaEscolar</v>
      </c>
      <c r="B364" s="6" t="s">
        <v>2251</v>
      </c>
      <c r="C364" s="6" t="s">
        <v>2255</v>
      </c>
      <c r="D364" s="6" t="s">
        <v>1162</v>
      </c>
      <c r="E364" s="6" t="s">
        <v>110</v>
      </c>
      <c r="G364" s="522">
        <v>1.296</v>
      </c>
      <c r="I364" s="11"/>
      <c r="L364" s="6">
        <v>1.2</v>
      </c>
    </row>
    <row r="365" spans="1:14" hidden="1" x14ac:dyDescent="0.2">
      <c r="A365" s="6" t="str">
        <f t="shared" si="7"/>
        <v>AutónomaJaénCenaEscolar</v>
      </c>
      <c r="B365" s="6" t="s">
        <v>2251</v>
      </c>
      <c r="C365" s="6" t="s">
        <v>2255</v>
      </c>
      <c r="D365" s="6" t="s">
        <v>1162</v>
      </c>
      <c r="E365" s="6" t="s">
        <v>110</v>
      </c>
      <c r="G365" s="522">
        <v>1.296</v>
      </c>
      <c r="I365" s="11"/>
      <c r="L365" s="6">
        <v>1.2</v>
      </c>
    </row>
    <row r="366" spans="1:14" hidden="1" x14ac:dyDescent="0.2">
      <c r="A366" s="6" t="str">
        <f t="shared" si="7"/>
        <v>AutónomaJaénCenaInfantil</v>
      </c>
      <c r="B366" s="6" t="s">
        <v>2251</v>
      </c>
      <c r="C366" s="6" t="s">
        <v>2255</v>
      </c>
      <c r="D366" s="6" t="s">
        <v>1162</v>
      </c>
      <c r="E366" s="6" t="s">
        <v>1275</v>
      </c>
      <c r="G366" s="522">
        <v>1.296</v>
      </c>
      <c r="I366" s="11"/>
      <c r="L366" s="6">
        <v>1.2</v>
      </c>
    </row>
    <row r="367" spans="1:14" hidden="1" x14ac:dyDescent="0.2">
      <c r="A367" s="6" t="str">
        <f t="shared" si="7"/>
        <v>AutónomaJaénCenaInfantil</v>
      </c>
      <c r="B367" s="6" t="s">
        <v>2251</v>
      </c>
      <c r="C367" s="6" t="s">
        <v>2255</v>
      </c>
      <c r="D367" s="6" t="s">
        <v>1162</v>
      </c>
      <c r="E367" s="6" t="s">
        <v>1275</v>
      </c>
      <c r="G367" s="522">
        <v>1.296</v>
      </c>
      <c r="I367" s="11"/>
      <c r="L367" s="6">
        <v>1.2</v>
      </c>
    </row>
    <row r="368" spans="1:14" x14ac:dyDescent="0.2">
      <c r="A368" s="6" t="str">
        <f t="shared" si="7"/>
        <v>AutónomaJaénComidaAdulto</v>
      </c>
      <c r="B368" s="6" t="s">
        <v>2251</v>
      </c>
      <c r="C368" s="6" t="s">
        <v>2255</v>
      </c>
      <c r="D368" s="6" t="s">
        <v>1011</v>
      </c>
      <c r="E368" s="6" t="s">
        <v>1141</v>
      </c>
      <c r="G368" s="522">
        <v>2.2000000000000002</v>
      </c>
      <c r="I368" s="11"/>
      <c r="L368" s="6">
        <v>1.45</v>
      </c>
      <c r="N368" s="114">
        <v>1.58</v>
      </c>
    </row>
    <row r="369" spans="1:14" x14ac:dyDescent="0.2">
      <c r="A369" s="6" t="str">
        <f t="shared" si="7"/>
        <v>AutónomaJaénComidaAdulto</v>
      </c>
      <c r="B369" s="6" t="s">
        <v>2251</v>
      </c>
      <c r="C369" s="6" t="s">
        <v>2255</v>
      </c>
      <c r="D369" s="6" t="s">
        <v>1011</v>
      </c>
      <c r="E369" s="6" t="s">
        <v>1141</v>
      </c>
      <c r="G369" s="522">
        <v>2.2000000000000002</v>
      </c>
      <c r="I369" s="11"/>
      <c r="L369" s="6">
        <v>1.45</v>
      </c>
      <c r="N369" s="114">
        <v>1.58</v>
      </c>
    </row>
    <row r="370" spans="1:14" hidden="1" x14ac:dyDescent="0.2">
      <c r="A370" s="6" t="str">
        <f t="shared" si="7"/>
        <v>AutónomaJaénComidaAlergias_Env</v>
      </c>
      <c r="B370" s="6" t="s">
        <v>2251</v>
      </c>
      <c r="C370" s="6" t="s">
        <v>2255</v>
      </c>
      <c r="D370" s="6" t="s">
        <v>1011</v>
      </c>
      <c r="E370" s="6" t="s">
        <v>1186</v>
      </c>
      <c r="G370" s="522">
        <v>1.3</v>
      </c>
      <c r="I370" s="11"/>
      <c r="L370" s="6" t="s">
        <v>2252</v>
      </c>
    </row>
    <row r="371" spans="1:14" hidden="1" x14ac:dyDescent="0.2">
      <c r="A371" s="6" t="str">
        <f t="shared" si="7"/>
        <v>AutónomaJaénComidaAlergias_Env</v>
      </c>
      <c r="B371" s="6" t="s">
        <v>2251</v>
      </c>
      <c r="C371" s="6" t="s">
        <v>2255</v>
      </c>
      <c r="D371" s="6" t="s">
        <v>1011</v>
      </c>
      <c r="E371" s="6" t="s">
        <v>1186</v>
      </c>
      <c r="G371" s="522">
        <v>1.3</v>
      </c>
      <c r="I371" s="11"/>
      <c r="L371" s="6" t="s">
        <v>2252</v>
      </c>
    </row>
    <row r="372" spans="1:14" hidden="1" x14ac:dyDescent="0.2">
      <c r="A372" s="6" t="str">
        <f t="shared" si="7"/>
        <v>AutónomaJaénComidaAlergias_Sin_Envasar</v>
      </c>
      <c r="B372" s="6" t="s">
        <v>2251</v>
      </c>
      <c r="C372" s="6" t="s">
        <v>2255</v>
      </c>
      <c r="D372" s="6" t="s">
        <v>1011</v>
      </c>
      <c r="E372" s="6" t="s">
        <v>2253</v>
      </c>
      <c r="G372" s="522">
        <v>1.3</v>
      </c>
      <c r="I372" s="11"/>
      <c r="L372" s="6" t="s">
        <v>2252</v>
      </c>
    </row>
    <row r="373" spans="1:14" hidden="1" x14ac:dyDescent="0.2">
      <c r="A373" s="6" t="str">
        <f t="shared" si="7"/>
        <v>AutónomaJaénComidaAlergias_Sin_Envasar</v>
      </c>
      <c r="B373" s="6" t="s">
        <v>2251</v>
      </c>
      <c r="C373" s="6" t="s">
        <v>2255</v>
      </c>
      <c r="D373" s="6" t="s">
        <v>1011</v>
      </c>
      <c r="E373" s="6" t="s">
        <v>2253</v>
      </c>
      <c r="G373" s="522">
        <v>1.3</v>
      </c>
      <c r="I373" s="11"/>
      <c r="L373" s="6" t="s">
        <v>2252</v>
      </c>
    </row>
    <row r="374" spans="1:14" hidden="1" x14ac:dyDescent="0.2">
      <c r="A374" s="6" t="str">
        <f t="shared" si="7"/>
        <v>AutónomaJaénComidaEscolar</v>
      </c>
      <c r="B374" s="6" t="s">
        <v>2251</v>
      </c>
      <c r="C374" s="6" t="s">
        <v>2255</v>
      </c>
      <c r="D374" s="6" t="s">
        <v>1011</v>
      </c>
      <c r="E374" s="6" t="s">
        <v>110</v>
      </c>
      <c r="G374" s="523">
        <v>1.19</v>
      </c>
      <c r="I374" s="11"/>
      <c r="L374" s="6">
        <v>1.1299999999999999</v>
      </c>
      <c r="N374" s="114">
        <v>1.05</v>
      </c>
    </row>
    <row r="375" spans="1:14" hidden="1" x14ac:dyDescent="0.2">
      <c r="A375" s="6" t="str">
        <f t="shared" si="7"/>
        <v>AutónomaJaénComidaEscolar</v>
      </c>
      <c r="B375" s="6" t="s">
        <v>2251</v>
      </c>
      <c r="C375" s="6" t="s">
        <v>2255</v>
      </c>
      <c r="D375" s="6" t="s">
        <v>1011</v>
      </c>
      <c r="E375" s="6" t="s">
        <v>110</v>
      </c>
      <c r="G375" s="523">
        <v>1.19</v>
      </c>
      <c r="I375" s="11"/>
      <c r="L375" s="6">
        <v>1.1299999999999999</v>
      </c>
      <c r="N375" s="114">
        <v>1.05</v>
      </c>
    </row>
    <row r="376" spans="1:14" hidden="1" x14ac:dyDescent="0.2">
      <c r="A376" s="6" t="str">
        <f t="shared" si="7"/>
        <v>AutónomaJaénComidaGratuidades</v>
      </c>
      <c r="B376" s="6" t="s">
        <v>2251</v>
      </c>
      <c r="C376" s="6" t="s">
        <v>2255</v>
      </c>
      <c r="D376" s="6" t="s">
        <v>1011</v>
      </c>
      <c r="E376" s="6" t="s">
        <v>1255</v>
      </c>
      <c r="G376" s="522">
        <v>1.0692000000000002</v>
      </c>
      <c r="I376" s="11"/>
      <c r="L376" s="6">
        <v>0.99</v>
      </c>
    </row>
    <row r="377" spans="1:14" hidden="1" x14ac:dyDescent="0.2">
      <c r="A377" s="6" t="str">
        <f t="shared" si="7"/>
        <v>AutónomaJaénComidaGratuidades</v>
      </c>
      <c r="B377" s="6" t="s">
        <v>2251</v>
      </c>
      <c r="C377" s="6" t="s">
        <v>2255</v>
      </c>
      <c r="D377" s="6" t="s">
        <v>1011</v>
      </c>
      <c r="E377" s="6" t="s">
        <v>1255</v>
      </c>
      <c r="G377" s="522">
        <v>1.0692000000000002</v>
      </c>
      <c r="I377" s="11"/>
      <c r="L377" s="6">
        <v>0.99</v>
      </c>
    </row>
    <row r="378" spans="1:14" hidden="1" x14ac:dyDescent="0.2">
      <c r="A378" s="6" t="str">
        <f t="shared" si="7"/>
        <v>AutónomaJaénComidaInfantil</v>
      </c>
      <c r="B378" s="6" t="s">
        <v>2251</v>
      </c>
      <c r="C378" s="6" t="s">
        <v>2255</v>
      </c>
      <c r="D378" s="6" t="s">
        <v>1011</v>
      </c>
      <c r="E378" s="6" t="s">
        <v>1275</v>
      </c>
      <c r="G378" s="522">
        <v>1.0692000000000002</v>
      </c>
      <c r="I378" s="11"/>
      <c r="L378" s="6">
        <v>0.99</v>
      </c>
    </row>
    <row r="379" spans="1:14" hidden="1" x14ac:dyDescent="0.2">
      <c r="A379" s="6" t="str">
        <f t="shared" si="7"/>
        <v>AutónomaJaénComidaInfantil</v>
      </c>
      <c r="B379" s="6" t="s">
        <v>2251</v>
      </c>
      <c r="C379" s="6" t="s">
        <v>2255</v>
      </c>
      <c r="D379" s="6" t="s">
        <v>1011</v>
      </c>
      <c r="E379" s="6" t="s">
        <v>1275</v>
      </c>
      <c r="G379" s="522">
        <v>1.0692000000000002</v>
      </c>
      <c r="I379" s="11"/>
      <c r="L379" s="6">
        <v>0.99</v>
      </c>
    </row>
    <row r="380" spans="1:14" x14ac:dyDescent="0.2">
      <c r="A380" s="6" t="str">
        <f t="shared" si="7"/>
        <v>AutónomaJaénDesayunoAdulto</v>
      </c>
      <c r="B380" s="6" t="s">
        <v>2251</v>
      </c>
      <c r="C380" s="6" t="s">
        <v>2255</v>
      </c>
      <c r="D380" s="6" t="s">
        <v>1208</v>
      </c>
      <c r="E380" s="6" t="s">
        <v>1141</v>
      </c>
      <c r="G380" s="522">
        <v>0.72</v>
      </c>
      <c r="I380" s="11"/>
      <c r="L380" s="6">
        <v>0.44</v>
      </c>
    </row>
    <row r="381" spans="1:14" x14ac:dyDescent="0.2">
      <c r="A381" s="6" t="str">
        <f t="shared" si="7"/>
        <v>AutónomaJaénDesayunoAdulto</v>
      </c>
      <c r="B381" s="6" t="s">
        <v>2251</v>
      </c>
      <c r="C381" s="6" t="s">
        <v>2255</v>
      </c>
      <c r="D381" s="6" t="s">
        <v>1208</v>
      </c>
      <c r="E381" s="6" t="s">
        <v>1141</v>
      </c>
      <c r="G381" s="522">
        <v>0.72</v>
      </c>
      <c r="I381" s="11"/>
      <c r="L381" s="6">
        <v>0.44</v>
      </c>
    </row>
    <row r="382" spans="1:14" hidden="1" x14ac:dyDescent="0.2">
      <c r="A382" s="6" t="str">
        <f t="shared" si="7"/>
        <v>AutónomaJaénDesayunoEscolar</v>
      </c>
      <c r="B382" s="6" t="s">
        <v>2251</v>
      </c>
      <c r="C382" s="6" t="s">
        <v>2255</v>
      </c>
      <c r="D382" s="6" t="s">
        <v>1208</v>
      </c>
      <c r="E382" s="6" t="s">
        <v>110</v>
      </c>
      <c r="G382" s="522">
        <v>0.43200000000000005</v>
      </c>
      <c r="I382" s="11"/>
      <c r="L382" s="6">
        <v>0.4</v>
      </c>
    </row>
    <row r="383" spans="1:14" hidden="1" x14ac:dyDescent="0.2">
      <c r="A383" s="6" t="str">
        <f t="shared" si="7"/>
        <v>AutónomaJaénDesayunoInfantil</v>
      </c>
      <c r="B383" s="6" t="s">
        <v>2251</v>
      </c>
      <c r="C383" s="6" t="s">
        <v>2255</v>
      </c>
      <c r="D383" s="6" t="s">
        <v>1208</v>
      </c>
      <c r="E383" s="6" t="s">
        <v>1275</v>
      </c>
      <c r="G383" s="522">
        <v>0.43200000000000005</v>
      </c>
      <c r="I383" s="11"/>
      <c r="L383" s="6">
        <v>0.4</v>
      </c>
    </row>
    <row r="384" spans="1:14" x14ac:dyDescent="0.2">
      <c r="A384" s="6" t="str">
        <f t="shared" si="7"/>
        <v>AutónomaJaénMeriendaAdulto</v>
      </c>
      <c r="B384" s="6" t="s">
        <v>2251</v>
      </c>
      <c r="C384" s="6" t="s">
        <v>2255</v>
      </c>
      <c r="D384" s="6" t="s">
        <v>1012</v>
      </c>
      <c r="E384" s="6" t="s">
        <v>1141</v>
      </c>
      <c r="G384" s="522">
        <v>0.81</v>
      </c>
      <c r="I384" s="11"/>
      <c r="L384" s="6">
        <v>0.75</v>
      </c>
    </row>
    <row r="385" spans="1:14" hidden="1" x14ac:dyDescent="0.2">
      <c r="A385" s="6" t="str">
        <f t="shared" si="7"/>
        <v>AutónomaJaénMeriendaEscolar</v>
      </c>
      <c r="B385" s="6" t="s">
        <v>2251</v>
      </c>
      <c r="C385" s="6" t="s">
        <v>2255</v>
      </c>
      <c r="D385" s="6" t="s">
        <v>1012</v>
      </c>
      <c r="E385" s="6" t="s">
        <v>110</v>
      </c>
      <c r="G385" s="522">
        <v>0.54</v>
      </c>
      <c r="I385" s="11"/>
      <c r="L385" s="6">
        <v>0.5</v>
      </c>
    </row>
    <row r="386" spans="1:14" hidden="1" x14ac:dyDescent="0.2">
      <c r="A386" s="6" t="str">
        <f t="shared" si="7"/>
        <v>AutónomaJaénMeriendaInfantil</v>
      </c>
      <c r="B386" s="6" t="s">
        <v>2251</v>
      </c>
      <c r="C386" s="6" t="s">
        <v>2255</v>
      </c>
      <c r="D386" s="6" t="s">
        <v>1012</v>
      </c>
      <c r="E386" s="6" t="s">
        <v>1275</v>
      </c>
      <c r="G386" s="522">
        <v>0.54</v>
      </c>
      <c r="I386" s="11"/>
      <c r="L386" s="6">
        <v>0.5</v>
      </c>
    </row>
    <row r="387" spans="1:14" x14ac:dyDescent="0.2">
      <c r="A387" s="6" t="str">
        <f t="shared" si="7"/>
        <v>CateringJaénAlmuerzoAdulto</v>
      </c>
      <c r="B387" s="6" t="s">
        <v>31</v>
      </c>
      <c r="C387" s="6" t="s">
        <v>2255</v>
      </c>
      <c r="D387" s="6" t="s">
        <v>1010</v>
      </c>
      <c r="E387" s="6" t="s">
        <v>1141</v>
      </c>
      <c r="G387" s="522">
        <v>0.72</v>
      </c>
      <c r="I387" s="11"/>
      <c r="L387" s="6">
        <v>0.44</v>
      </c>
    </row>
    <row r="388" spans="1:14" x14ac:dyDescent="0.2">
      <c r="A388" s="6" t="str">
        <f t="shared" si="7"/>
        <v>CateringJaénAlmuerzoAdulto</v>
      </c>
      <c r="B388" s="6" t="s">
        <v>31</v>
      </c>
      <c r="C388" s="6" t="s">
        <v>2255</v>
      </c>
      <c r="D388" s="6" t="s">
        <v>1010</v>
      </c>
      <c r="E388" s="6" t="s">
        <v>1141</v>
      </c>
      <c r="G388" s="522">
        <v>0.72</v>
      </c>
      <c r="I388" s="11"/>
      <c r="L388" s="6">
        <v>0.44</v>
      </c>
    </row>
    <row r="389" spans="1:14" hidden="1" x14ac:dyDescent="0.2">
      <c r="A389" s="6" t="str">
        <f t="shared" si="7"/>
        <v>CateringJaénAlmuerzoEscolar</v>
      </c>
      <c r="B389" s="6" t="s">
        <v>31</v>
      </c>
      <c r="C389" s="6" t="s">
        <v>2255</v>
      </c>
      <c r="D389" s="6" t="s">
        <v>1010</v>
      </c>
      <c r="E389" s="6" t="s">
        <v>110</v>
      </c>
      <c r="G389" s="522">
        <v>0.43200000000000005</v>
      </c>
      <c r="I389" s="11"/>
      <c r="L389" s="6">
        <v>0.4</v>
      </c>
    </row>
    <row r="390" spans="1:14" hidden="1" x14ac:dyDescent="0.2">
      <c r="A390" s="6" t="str">
        <f t="shared" si="7"/>
        <v>CateringJaénAlmuerzoEscolar</v>
      </c>
      <c r="B390" s="6" t="s">
        <v>31</v>
      </c>
      <c r="C390" s="6" t="s">
        <v>2255</v>
      </c>
      <c r="D390" s="6" t="s">
        <v>1010</v>
      </c>
      <c r="E390" s="6" t="s">
        <v>110</v>
      </c>
      <c r="G390" s="522">
        <v>0.43200000000000005</v>
      </c>
      <c r="I390" s="11"/>
      <c r="L390" s="6">
        <v>0.4</v>
      </c>
    </row>
    <row r="391" spans="1:14" hidden="1" x14ac:dyDescent="0.2">
      <c r="A391" s="6" t="str">
        <f t="shared" si="7"/>
        <v>CateringJaénAlmuerzoInfantil</v>
      </c>
      <c r="B391" s="6" t="s">
        <v>31</v>
      </c>
      <c r="C391" s="6" t="s">
        <v>2255</v>
      </c>
      <c r="D391" s="6" t="s">
        <v>1010</v>
      </c>
      <c r="E391" s="6" t="s">
        <v>1275</v>
      </c>
      <c r="G391" s="522">
        <v>0.43200000000000005</v>
      </c>
      <c r="I391" s="11"/>
      <c r="L391" s="6">
        <v>0.4</v>
      </c>
    </row>
    <row r="392" spans="1:14" x14ac:dyDescent="0.2">
      <c r="A392" s="6" t="str">
        <f t="shared" si="7"/>
        <v>CateringJaénCenaAdulto</v>
      </c>
      <c r="B392" s="6" t="s">
        <v>31</v>
      </c>
      <c r="C392" s="6" t="s">
        <v>2255</v>
      </c>
      <c r="D392" s="6" t="s">
        <v>1162</v>
      </c>
      <c r="E392" s="6" t="s">
        <v>1141</v>
      </c>
      <c r="G392" s="522">
        <v>1.3392000000000002</v>
      </c>
      <c r="I392" s="11"/>
      <c r="L392" s="6">
        <v>1.24</v>
      </c>
    </row>
    <row r="393" spans="1:14" x14ac:dyDescent="0.2">
      <c r="A393" s="6" t="str">
        <f t="shared" si="7"/>
        <v>CateringJaénCenaAdulto</v>
      </c>
      <c r="B393" s="6" t="s">
        <v>31</v>
      </c>
      <c r="C393" s="6" t="s">
        <v>2255</v>
      </c>
      <c r="D393" s="6" t="s">
        <v>1162</v>
      </c>
      <c r="E393" s="6" t="s">
        <v>1141</v>
      </c>
      <c r="G393" s="522">
        <v>1.3392000000000002</v>
      </c>
      <c r="I393" s="11"/>
      <c r="L393" s="6">
        <v>1.24</v>
      </c>
    </row>
    <row r="394" spans="1:14" hidden="1" x14ac:dyDescent="0.2">
      <c r="A394" s="6" t="str">
        <f t="shared" si="7"/>
        <v>CateringJaénCenaEscolar</v>
      </c>
      <c r="B394" s="6" t="s">
        <v>31</v>
      </c>
      <c r="C394" s="6" t="s">
        <v>2255</v>
      </c>
      <c r="D394" s="6" t="s">
        <v>1162</v>
      </c>
      <c r="E394" s="6" t="s">
        <v>110</v>
      </c>
      <c r="G394" s="522">
        <v>1.296</v>
      </c>
      <c r="I394" s="11"/>
      <c r="L394" s="6">
        <v>1.2</v>
      </c>
    </row>
    <row r="395" spans="1:14" hidden="1" x14ac:dyDescent="0.2">
      <c r="A395" s="6" t="str">
        <f t="shared" si="7"/>
        <v>CateringJaénCenaInfantil</v>
      </c>
      <c r="B395" s="6" t="s">
        <v>31</v>
      </c>
      <c r="C395" s="6" t="s">
        <v>2255</v>
      </c>
      <c r="D395" s="6" t="s">
        <v>1162</v>
      </c>
      <c r="E395" s="6" t="s">
        <v>1275</v>
      </c>
      <c r="G395" s="522">
        <v>0.9396000000000001</v>
      </c>
      <c r="I395" s="11"/>
      <c r="L395" s="6">
        <v>0.87</v>
      </c>
    </row>
    <row r="396" spans="1:14" x14ac:dyDescent="0.2">
      <c r="A396" s="6" t="str">
        <f t="shared" si="7"/>
        <v>CateringJaénComidaAdulto</v>
      </c>
      <c r="B396" s="6" t="s">
        <v>31</v>
      </c>
      <c r="C396" s="6" t="s">
        <v>2255</v>
      </c>
      <c r="D396" s="6" t="s">
        <v>1011</v>
      </c>
      <c r="E396" s="6" t="s">
        <v>1141</v>
      </c>
      <c r="G396" s="522">
        <v>2.2000000000000002</v>
      </c>
      <c r="I396" s="11"/>
      <c r="L396" s="6">
        <v>1.55</v>
      </c>
      <c r="N396" s="114">
        <v>1.6739999999999999</v>
      </c>
    </row>
    <row r="397" spans="1:14" hidden="1" x14ac:dyDescent="0.2">
      <c r="A397" s="6" t="str">
        <f t="shared" si="7"/>
        <v>CateringJaénComidaAlergias_Env</v>
      </c>
      <c r="B397" s="6" t="s">
        <v>31</v>
      </c>
      <c r="C397" s="6" t="s">
        <v>2255</v>
      </c>
      <c r="D397" s="6" t="s">
        <v>1011</v>
      </c>
      <c r="E397" s="6" t="s">
        <v>1186</v>
      </c>
      <c r="G397" s="522">
        <v>1.2</v>
      </c>
      <c r="I397" s="11"/>
      <c r="L397" s="6" t="s">
        <v>2252</v>
      </c>
    </row>
    <row r="398" spans="1:14" hidden="1" x14ac:dyDescent="0.2">
      <c r="A398" s="6" t="str">
        <f t="shared" si="7"/>
        <v>CateringJaénComidaAlergias_Env</v>
      </c>
      <c r="B398" s="6" t="s">
        <v>31</v>
      </c>
      <c r="C398" s="6" t="s">
        <v>2255</v>
      </c>
      <c r="D398" s="6" t="s">
        <v>1011</v>
      </c>
      <c r="E398" s="6" t="s">
        <v>1186</v>
      </c>
      <c r="G398" s="522">
        <v>1.2</v>
      </c>
      <c r="I398" s="11"/>
      <c r="L398" s="6">
        <v>0.73</v>
      </c>
    </row>
    <row r="399" spans="1:14" hidden="1" x14ac:dyDescent="0.2">
      <c r="A399" s="6" t="str">
        <f t="shared" si="7"/>
        <v>CateringJaénComidaAlergias_Sin_Envasar</v>
      </c>
      <c r="B399" s="6" t="s">
        <v>31</v>
      </c>
      <c r="C399" s="6" t="s">
        <v>2255</v>
      </c>
      <c r="D399" s="6" t="s">
        <v>1011</v>
      </c>
      <c r="E399" s="6" t="s">
        <v>2253</v>
      </c>
      <c r="G399" s="522">
        <v>1.2</v>
      </c>
      <c r="I399" s="11"/>
      <c r="L399" s="6" t="s">
        <v>2252</v>
      </c>
    </row>
    <row r="400" spans="1:14" hidden="1" x14ac:dyDescent="0.2">
      <c r="A400" s="6" t="str">
        <f t="shared" si="7"/>
        <v>CateringJaénComidaAlergias_Sin_Envasar</v>
      </c>
      <c r="B400" s="6" t="s">
        <v>31</v>
      </c>
      <c r="C400" s="6" t="s">
        <v>2255</v>
      </c>
      <c r="D400" s="6" t="s">
        <v>1011</v>
      </c>
      <c r="E400" s="6" t="s">
        <v>2253</v>
      </c>
      <c r="G400" s="522">
        <v>1.2</v>
      </c>
      <c r="I400" s="11"/>
      <c r="L400" s="6">
        <v>0.66</v>
      </c>
    </row>
    <row r="401" spans="1:14" hidden="1" x14ac:dyDescent="0.2">
      <c r="A401" s="6" t="str">
        <f t="shared" si="7"/>
        <v>CateringJaénComidaEscolar</v>
      </c>
      <c r="B401" s="6" t="s">
        <v>31</v>
      </c>
      <c r="C401" s="6" t="s">
        <v>2255</v>
      </c>
      <c r="D401" s="6" t="s">
        <v>1011</v>
      </c>
      <c r="E401" s="6" t="s">
        <v>110</v>
      </c>
      <c r="G401" s="522">
        <v>1.2</v>
      </c>
      <c r="I401" s="11"/>
      <c r="L401" s="6">
        <v>1.03</v>
      </c>
      <c r="N401" s="114">
        <v>1.1120000000000001</v>
      </c>
    </row>
    <row r="402" spans="1:14" hidden="1" x14ac:dyDescent="0.2">
      <c r="A402" s="6" t="str">
        <f t="shared" si="7"/>
        <v>CateringJaénComidaEscolar</v>
      </c>
      <c r="B402" s="6" t="s">
        <v>31</v>
      </c>
      <c r="C402" s="6" t="s">
        <v>2255</v>
      </c>
      <c r="D402" s="6" t="s">
        <v>1011</v>
      </c>
      <c r="E402" s="6" t="s">
        <v>110</v>
      </c>
      <c r="G402" s="522">
        <v>1.2</v>
      </c>
      <c r="I402" s="11"/>
      <c r="L402" s="6">
        <v>1.03</v>
      </c>
      <c r="N402" s="114">
        <v>1.1120000000000001</v>
      </c>
    </row>
    <row r="403" spans="1:14" hidden="1" x14ac:dyDescent="0.2">
      <c r="A403" s="6" t="str">
        <f t="shared" si="7"/>
        <v>CateringJaénComidaGratuidades</v>
      </c>
      <c r="B403" s="6" t="s">
        <v>31</v>
      </c>
      <c r="C403" s="6" t="s">
        <v>2255</v>
      </c>
      <c r="D403" s="6" t="s">
        <v>1011</v>
      </c>
      <c r="E403" s="6" t="s">
        <v>1255</v>
      </c>
      <c r="G403" s="522">
        <v>1.2</v>
      </c>
      <c r="I403" s="11"/>
      <c r="L403" s="6">
        <v>0.73</v>
      </c>
    </row>
    <row r="404" spans="1:14" hidden="1" x14ac:dyDescent="0.2">
      <c r="A404" s="6" t="str">
        <f t="shared" si="7"/>
        <v>CateringJaénComidaGratuidades</v>
      </c>
      <c r="B404" s="6" t="s">
        <v>31</v>
      </c>
      <c r="C404" s="6" t="s">
        <v>2255</v>
      </c>
      <c r="D404" s="6" t="s">
        <v>1011</v>
      </c>
      <c r="E404" s="6" t="s">
        <v>1255</v>
      </c>
      <c r="G404" s="522">
        <v>1.2</v>
      </c>
      <c r="I404" s="11"/>
      <c r="L404" s="6">
        <v>0.71</v>
      </c>
    </row>
    <row r="405" spans="1:14" hidden="1" x14ac:dyDescent="0.2">
      <c r="A405" s="6" t="str">
        <f t="shared" si="7"/>
        <v>CateringJaénComidaInfantil</v>
      </c>
      <c r="B405" s="6" t="s">
        <v>31</v>
      </c>
      <c r="C405" s="6" t="s">
        <v>2255</v>
      </c>
      <c r="D405" s="6" t="s">
        <v>1011</v>
      </c>
      <c r="E405" s="6" t="s">
        <v>1275</v>
      </c>
      <c r="G405" s="522">
        <v>1.2</v>
      </c>
      <c r="I405" s="11"/>
      <c r="L405" s="6">
        <v>0.66</v>
      </c>
    </row>
    <row r="406" spans="1:14" x14ac:dyDescent="0.2">
      <c r="A406" s="6" t="str">
        <f t="shared" si="7"/>
        <v>CateringJaénDesayunoAdulto</v>
      </c>
      <c r="B406" s="6" t="s">
        <v>31</v>
      </c>
      <c r="C406" s="6" t="s">
        <v>2255</v>
      </c>
      <c r="D406" s="6" t="s">
        <v>1208</v>
      </c>
      <c r="E406" s="6" t="s">
        <v>1141</v>
      </c>
      <c r="G406" s="522">
        <v>0.72</v>
      </c>
      <c r="I406" s="11"/>
      <c r="L406" s="6">
        <v>0.44</v>
      </c>
    </row>
    <row r="407" spans="1:14" x14ac:dyDescent="0.2">
      <c r="A407" s="6" t="str">
        <f t="shared" si="7"/>
        <v>CateringJaénDesayunoAdulto</v>
      </c>
      <c r="B407" s="6" t="s">
        <v>31</v>
      </c>
      <c r="C407" s="6" t="s">
        <v>2255</v>
      </c>
      <c r="D407" s="6" t="s">
        <v>1208</v>
      </c>
      <c r="E407" s="6" t="s">
        <v>1141</v>
      </c>
      <c r="G407" s="522">
        <v>0.72</v>
      </c>
      <c r="I407" s="11"/>
      <c r="L407" s="6">
        <v>0.44</v>
      </c>
    </row>
    <row r="408" spans="1:14" hidden="1" x14ac:dyDescent="0.2">
      <c r="A408" s="6" t="str">
        <f t="shared" si="7"/>
        <v>CateringJaénDesayunoEscolar</v>
      </c>
      <c r="B408" s="6" t="s">
        <v>31</v>
      </c>
      <c r="C408" s="6" t="s">
        <v>2255</v>
      </c>
      <c r="D408" s="6" t="s">
        <v>1208</v>
      </c>
      <c r="E408" s="6" t="s">
        <v>110</v>
      </c>
      <c r="G408" s="522">
        <v>0.54</v>
      </c>
      <c r="I408" s="11"/>
      <c r="L408" s="6">
        <v>0.5</v>
      </c>
    </row>
    <row r="409" spans="1:14" hidden="1" x14ac:dyDescent="0.2">
      <c r="A409" s="6" t="str">
        <f t="shared" si="7"/>
        <v>CateringJaénDesayunoInfantil</v>
      </c>
      <c r="B409" s="6" t="s">
        <v>31</v>
      </c>
      <c r="C409" s="6" t="s">
        <v>2255</v>
      </c>
      <c r="D409" s="6" t="s">
        <v>1208</v>
      </c>
      <c r="E409" s="6" t="s">
        <v>1275</v>
      </c>
      <c r="G409" s="522">
        <v>0.54</v>
      </c>
      <c r="I409" s="11"/>
      <c r="L409" s="6">
        <v>0.5</v>
      </c>
    </row>
    <row r="410" spans="1:14" x14ac:dyDescent="0.2">
      <c r="A410" s="6" t="str">
        <f t="shared" si="7"/>
        <v>CateringJaénMeriendaAdulto</v>
      </c>
      <c r="B410" s="6" t="s">
        <v>31</v>
      </c>
      <c r="C410" s="6" t="s">
        <v>2255</v>
      </c>
      <c r="D410" s="6" t="s">
        <v>1012</v>
      </c>
      <c r="E410" s="6" t="s">
        <v>1141</v>
      </c>
      <c r="G410" s="522">
        <v>0.81</v>
      </c>
      <c r="I410" s="11"/>
      <c r="L410" s="6">
        <v>0.75</v>
      </c>
    </row>
    <row r="411" spans="1:14" x14ac:dyDescent="0.2">
      <c r="A411" s="6" t="str">
        <f t="shared" si="7"/>
        <v>CateringJaénMeriendaAdulto</v>
      </c>
      <c r="B411" s="6" t="s">
        <v>31</v>
      </c>
      <c r="C411" s="6" t="s">
        <v>2255</v>
      </c>
      <c r="D411" s="6" t="s">
        <v>1012</v>
      </c>
      <c r="E411" s="6" t="s">
        <v>1141</v>
      </c>
      <c r="G411" s="522">
        <v>0.81</v>
      </c>
      <c r="I411" s="11"/>
      <c r="L411" s="6">
        <v>0.75</v>
      </c>
    </row>
    <row r="412" spans="1:14" hidden="1" x14ac:dyDescent="0.2">
      <c r="A412" s="6" t="str">
        <f t="shared" si="7"/>
        <v>CateringJaénMeriendaEscolar</v>
      </c>
      <c r="B412" s="6" t="s">
        <v>31</v>
      </c>
      <c r="C412" s="6" t="s">
        <v>2255</v>
      </c>
      <c r="D412" s="6" t="s">
        <v>1012</v>
      </c>
      <c r="E412" s="6" t="s">
        <v>110</v>
      </c>
      <c r="G412" s="522">
        <v>0.54</v>
      </c>
      <c r="I412" s="11"/>
      <c r="L412" s="6">
        <v>0.5</v>
      </c>
    </row>
    <row r="413" spans="1:14" hidden="1" x14ac:dyDescent="0.2">
      <c r="A413" s="6" t="str">
        <f t="shared" si="7"/>
        <v>CateringJaénMeriendaInfantil</v>
      </c>
      <c r="B413" s="6" t="s">
        <v>31</v>
      </c>
      <c r="C413" s="6" t="s">
        <v>2255</v>
      </c>
      <c r="D413" s="6" t="s">
        <v>1012</v>
      </c>
      <c r="E413" s="6" t="s">
        <v>1275</v>
      </c>
      <c r="G413" s="522">
        <v>0.54</v>
      </c>
      <c r="I413" s="11"/>
      <c r="L413" s="6">
        <v>0.5</v>
      </c>
    </row>
    <row r="414" spans="1:14" hidden="1" x14ac:dyDescent="0.2">
      <c r="A414" s="6" t="str">
        <f t="shared" si="7"/>
        <v>AmbosJaénExtraTodos</v>
      </c>
      <c r="B414" s="6" t="s">
        <v>2237</v>
      </c>
      <c r="C414" s="6" t="s">
        <v>2255</v>
      </c>
      <c r="D414" s="6" t="s">
        <v>153</v>
      </c>
      <c r="E414" s="6" t="s">
        <v>2239</v>
      </c>
      <c r="F414" s="6" t="s">
        <v>1320</v>
      </c>
      <c r="G414" s="522">
        <v>0.15120000000000003</v>
      </c>
      <c r="I414" s="11"/>
      <c r="L414" s="6">
        <v>0.14000000000000001</v>
      </c>
    </row>
    <row r="415" spans="1:14" hidden="1" x14ac:dyDescent="0.2">
      <c r="A415" s="6" t="str">
        <f t="shared" si="7"/>
        <v>AmbosJaénExtraTodos</v>
      </c>
      <c r="B415" s="6" t="s">
        <v>2237</v>
      </c>
      <c r="C415" s="6" t="s">
        <v>2255</v>
      </c>
      <c r="D415" s="6" t="s">
        <v>153</v>
      </c>
      <c r="E415" s="6" t="s">
        <v>2239</v>
      </c>
      <c r="F415" s="6" t="s">
        <v>2240</v>
      </c>
      <c r="G415" s="522">
        <v>0.2268</v>
      </c>
      <c r="I415" s="11"/>
      <c r="L415" s="6">
        <v>0.21</v>
      </c>
    </row>
    <row r="416" spans="1:14" hidden="1" x14ac:dyDescent="0.2">
      <c r="A416" s="6" t="str">
        <f t="shared" si="7"/>
        <v>AmbosJaénExtraTodos</v>
      </c>
      <c r="B416" s="6" t="s">
        <v>2237</v>
      </c>
      <c r="C416" s="6" t="s">
        <v>2255</v>
      </c>
      <c r="D416" s="6" t="s">
        <v>153</v>
      </c>
      <c r="E416" s="6" t="s">
        <v>2239</v>
      </c>
      <c r="F416" s="6" t="s">
        <v>1401</v>
      </c>
      <c r="G416" s="522">
        <v>0.25919999999999999</v>
      </c>
      <c r="I416" s="11"/>
      <c r="L416" s="6">
        <v>0.24</v>
      </c>
    </row>
    <row r="417" spans="1:12" hidden="1" x14ac:dyDescent="0.2">
      <c r="A417" s="6" t="str">
        <f t="shared" si="7"/>
        <v>AmbosJaénExtraTodos</v>
      </c>
      <c r="B417" s="6" t="s">
        <v>2237</v>
      </c>
      <c r="C417" s="6" t="s">
        <v>2255</v>
      </c>
      <c r="D417" s="6" t="s">
        <v>153</v>
      </c>
      <c r="E417" s="6" t="s">
        <v>2239</v>
      </c>
      <c r="F417" s="6" t="s">
        <v>202</v>
      </c>
      <c r="G417" s="522">
        <v>0.15120000000000003</v>
      </c>
      <c r="I417" s="11"/>
      <c r="L417" s="6">
        <v>0.14000000000000001</v>
      </c>
    </row>
    <row r="418" spans="1:12" hidden="1" x14ac:dyDescent="0.2">
      <c r="A418" s="6" t="str">
        <f t="shared" si="7"/>
        <v>AmbosJaénExtraTodos</v>
      </c>
      <c r="B418" s="6" t="s">
        <v>2237</v>
      </c>
      <c r="C418" s="6" t="s">
        <v>2255</v>
      </c>
      <c r="D418" s="6" t="s">
        <v>153</v>
      </c>
      <c r="E418" s="6" t="s">
        <v>2239</v>
      </c>
      <c r="F418" s="6" t="s">
        <v>2241</v>
      </c>
      <c r="G418" s="522">
        <v>0.48600000000000004</v>
      </c>
      <c r="I418" s="11"/>
      <c r="L418" s="6">
        <v>0.45</v>
      </c>
    </row>
    <row r="419" spans="1:12" hidden="1" x14ac:dyDescent="0.2">
      <c r="A419" s="6" t="str">
        <f t="shared" si="7"/>
        <v>AmbosJaénExtraTodos</v>
      </c>
      <c r="B419" s="6" t="s">
        <v>2237</v>
      </c>
      <c r="C419" s="6" t="s">
        <v>2255</v>
      </c>
      <c r="D419" s="6" t="s">
        <v>153</v>
      </c>
      <c r="E419" s="6" t="s">
        <v>2239</v>
      </c>
      <c r="F419" s="6" t="s">
        <v>2242</v>
      </c>
      <c r="G419" s="522">
        <v>0.32400000000000001</v>
      </c>
      <c r="I419" s="11"/>
      <c r="L419" s="6">
        <v>0.3</v>
      </c>
    </row>
    <row r="420" spans="1:12" hidden="1" x14ac:dyDescent="0.2">
      <c r="A420" s="6" t="str">
        <f t="shared" si="7"/>
        <v>AmbosJaénExtraTodos</v>
      </c>
      <c r="B420" s="6" t="s">
        <v>2237</v>
      </c>
      <c r="C420" s="6" t="s">
        <v>2255</v>
      </c>
      <c r="D420" s="6" t="s">
        <v>153</v>
      </c>
      <c r="E420" s="6" t="s">
        <v>2239</v>
      </c>
      <c r="F420" s="6" t="s">
        <v>2243</v>
      </c>
      <c r="G420" s="522">
        <v>1.1340000000000001</v>
      </c>
      <c r="I420" s="11"/>
      <c r="L420" s="6">
        <v>1.05</v>
      </c>
    </row>
    <row r="421" spans="1:12" hidden="1" x14ac:dyDescent="0.2">
      <c r="A421" s="6" t="str">
        <f t="shared" ref="A421:A446" si="8">CONCATENATE(B421,C421,D421,E421)</f>
        <v>AmbosJaénExtraTodos</v>
      </c>
      <c r="B421" s="6" t="s">
        <v>2237</v>
      </c>
      <c r="C421" s="6" t="s">
        <v>2255</v>
      </c>
      <c r="D421" s="6" t="s">
        <v>153</v>
      </c>
      <c r="E421" s="6" t="s">
        <v>2239</v>
      </c>
      <c r="F421" s="6" t="s">
        <v>2244</v>
      </c>
      <c r="G421" s="522">
        <v>6.1668000000000003</v>
      </c>
      <c r="I421" s="11"/>
      <c r="L421" s="6">
        <v>5.71</v>
      </c>
    </row>
    <row r="422" spans="1:12" hidden="1" x14ac:dyDescent="0.2">
      <c r="A422" s="6" t="str">
        <f t="shared" si="8"/>
        <v>AmbosJaénExtraTodos</v>
      </c>
      <c r="B422" s="6" t="s">
        <v>2237</v>
      </c>
      <c r="C422" s="6" t="s">
        <v>2255</v>
      </c>
      <c r="D422" s="6" t="s">
        <v>153</v>
      </c>
      <c r="E422" s="6" t="s">
        <v>2239</v>
      </c>
      <c r="F422" s="6" t="s">
        <v>203</v>
      </c>
      <c r="G422" s="522">
        <v>0.72360000000000013</v>
      </c>
      <c r="I422" s="11"/>
      <c r="L422" s="6">
        <v>0.67</v>
      </c>
    </row>
    <row r="423" spans="1:12" hidden="1" x14ac:dyDescent="0.2">
      <c r="A423" s="6" t="str">
        <f t="shared" si="8"/>
        <v>AmbosJaénExtraTodos</v>
      </c>
      <c r="B423" s="6" t="s">
        <v>2237</v>
      </c>
      <c r="C423" s="6" t="s">
        <v>2255</v>
      </c>
      <c r="D423" s="6" t="s">
        <v>153</v>
      </c>
      <c r="E423" s="6" t="s">
        <v>2239</v>
      </c>
      <c r="F423" s="6" t="s">
        <v>2245</v>
      </c>
      <c r="G423" s="522">
        <v>0.9396000000000001</v>
      </c>
      <c r="I423" s="11"/>
      <c r="L423" s="6">
        <v>0.87</v>
      </c>
    </row>
    <row r="424" spans="1:12" hidden="1" x14ac:dyDescent="0.2">
      <c r="A424" s="6" t="str">
        <f t="shared" si="8"/>
        <v>AmbosJaénExtraTodos</v>
      </c>
      <c r="B424" s="6" t="s">
        <v>2237</v>
      </c>
      <c r="C424" s="6" t="s">
        <v>2255</v>
      </c>
      <c r="D424" s="6" t="s">
        <v>153</v>
      </c>
      <c r="E424" s="6" t="s">
        <v>2239</v>
      </c>
      <c r="F424" s="6" t="s">
        <v>2246</v>
      </c>
      <c r="G424" s="522">
        <v>0.16200000000000001</v>
      </c>
      <c r="I424" s="11"/>
      <c r="L424" s="6">
        <v>0.15</v>
      </c>
    </row>
    <row r="425" spans="1:12" hidden="1" x14ac:dyDescent="0.2">
      <c r="A425" s="6" t="str">
        <f t="shared" si="8"/>
        <v>AmbosJaénExtraTodos</v>
      </c>
      <c r="B425" s="6" t="s">
        <v>2237</v>
      </c>
      <c r="C425" s="6" t="s">
        <v>2255</v>
      </c>
      <c r="D425" s="6" t="s">
        <v>153</v>
      </c>
      <c r="E425" s="6" t="s">
        <v>2239</v>
      </c>
      <c r="F425" s="6" t="s">
        <v>2247</v>
      </c>
      <c r="G425" s="522">
        <v>0.1188</v>
      </c>
      <c r="I425" s="11"/>
      <c r="L425" s="6">
        <v>0.11</v>
      </c>
    </row>
    <row r="426" spans="1:12" hidden="1" x14ac:dyDescent="0.2">
      <c r="A426" s="6" t="str">
        <f t="shared" si="8"/>
        <v>AmbosJaénExtraTodos</v>
      </c>
      <c r="B426" s="6" t="s">
        <v>2237</v>
      </c>
      <c r="C426" s="6" t="s">
        <v>2255</v>
      </c>
      <c r="D426" s="6" t="s">
        <v>153</v>
      </c>
      <c r="E426" s="6" t="s">
        <v>2239</v>
      </c>
      <c r="F426" s="6" t="s">
        <v>2248</v>
      </c>
      <c r="G426" s="522">
        <v>0.23760000000000001</v>
      </c>
      <c r="I426" s="11"/>
      <c r="L426" s="6">
        <v>0.22</v>
      </c>
    </row>
    <row r="427" spans="1:12" hidden="1" x14ac:dyDescent="0.2">
      <c r="A427" s="6" t="str">
        <f t="shared" si="8"/>
        <v>AmbosJaénExtraInfantil</v>
      </c>
      <c r="B427" s="6" t="s">
        <v>2237</v>
      </c>
      <c r="C427" s="6" t="s">
        <v>2255</v>
      </c>
      <c r="D427" s="6" t="s">
        <v>153</v>
      </c>
      <c r="E427" s="6" t="s">
        <v>1275</v>
      </c>
      <c r="F427" s="6" t="s">
        <v>2238</v>
      </c>
      <c r="G427" s="522">
        <v>5.4000000000000006E-2</v>
      </c>
      <c r="I427" s="11"/>
      <c r="L427" s="6">
        <v>0.05</v>
      </c>
    </row>
    <row r="428" spans="1:12" hidden="1" x14ac:dyDescent="0.2">
      <c r="A428" s="6" t="str">
        <f t="shared" si="8"/>
        <v>AmbosJaénExtraEscolar</v>
      </c>
      <c r="B428" s="6" t="s">
        <v>2237</v>
      </c>
      <c r="C428" s="6" t="s">
        <v>2255</v>
      </c>
      <c r="D428" s="6" t="s">
        <v>153</v>
      </c>
      <c r="E428" s="6" t="s">
        <v>110</v>
      </c>
      <c r="F428" s="6" t="s">
        <v>2238</v>
      </c>
      <c r="G428" s="522">
        <v>8.6400000000000005E-2</v>
      </c>
      <c r="I428" s="11"/>
      <c r="L428" s="6">
        <v>0.08</v>
      </c>
    </row>
    <row r="429" spans="1:12" x14ac:dyDescent="0.2">
      <c r="A429" s="6" t="str">
        <f t="shared" si="8"/>
        <v>CateringValenciaAlmuerzoProfesor</v>
      </c>
      <c r="B429" s="6" t="s">
        <v>31</v>
      </c>
      <c r="C429" s="6" t="s">
        <v>1110</v>
      </c>
      <c r="D429" s="6" t="s">
        <v>1010</v>
      </c>
      <c r="E429" s="6" t="s">
        <v>1297</v>
      </c>
      <c r="G429" s="522">
        <v>0.45</v>
      </c>
      <c r="L429" s="6"/>
    </row>
    <row r="430" spans="1:12" x14ac:dyDescent="0.2">
      <c r="A430" s="6" t="str">
        <f t="shared" si="8"/>
        <v>AutónomaValenciaAlmuerzoProfesor</v>
      </c>
      <c r="B430" s="6" t="s">
        <v>2251</v>
      </c>
      <c r="C430" s="6" t="s">
        <v>1110</v>
      </c>
      <c r="D430" s="6" t="s">
        <v>1010</v>
      </c>
      <c r="E430" s="6" t="s">
        <v>1297</v>
      </c>
      <c r="G430" s="522">
        <v>0.45</v>
      </c>
      <c r="L430" s="6"/>
    </row>
    <row r="431" spans="1:12" x14ac:dyDescent="0.2">
      <c r="A431" s="6" t="str">
        <f t="shared" si="8"/>
        <v>CateringAlicanteAlmuerzoProfesor</v>
      </c>
      <c r="B431" s="6" t="s">
        <v>31</v>
      </c>
      <c r="C431" s="6" t="s">
        <v>1106</v>
      </c>
      <c r="D431" s="6" t="s">
        <v>1010</v>
      </c>
      <c r="E431" s="6" t="s">
        <v>1297</v>
      </c>
      <c r="G431" s="522">
        <v>0.45</v>
      </c>
      <c r="L431" s="6"/>
    </row>
    <row r="432" spans="1:12" x14ac:dyDescent="0.2">
      <c r="A432" s="6" t="str">
        <f t="shared" si="8"/>
        <v>AutónomaAlicanteAlmuerzoProfesor</v>
      </c>
      <c r="B432" s="6" t="s">
        <v>2251</v>
      </c>
      <c r="C432" s="6" t="s">
        <v>1106</v>
      </c>
      <c r="D432" s="6" t="s">
        <v>1010</v>
      </c>
      <c r="E432" s="6" t="s">
        <v>1297</v>
      </c>
      <c r="G432" s="522">
        <v>0.45</v>
      </c>
      <c r="L432" s="6"/>
    </row>
    <row r="433" spans="1:12" x14ac:dyDescent="0.2">
      <c r="A433" s="6" t="str">
        <f t="shared" si="8"/>
        <v>CateringValenciaMedio MenuAdulto</v>
      </c>
      <c r="B433" s="6" t="s">
        <v>31</v>
      </c>
      <c r="C433" s="6" t="s">
        <v>1110</v>
      </c>
      <c r="D433" s="6" t="s">
        <v>1254</v>
      </c>
      <c r="E433" s="6" t="s">
        <v>1141</v>
      </c>
      <c r="G433" s="522">
        <v>1.9</v>
      </c>
      <c r="L433" s="6"/>
    </row>
    <row r="434" spans="1:12" x14ac:dyDescent="0.2">
      <c r="A434" s="6" t="str">
        <f t="shared" si="8"/>
        <v>CateringCastellonComidaAdulto</v>
      </c>
      <c r="B434" s="6" t="s">
        <v>31</v>
      </c>
      <c r="C434" s="6" t="s">
        <v>1107</v>
      </c>
      <c r="D434" s="6" t="s">
        <v>1011</v>
      </c>
      <c r="E434" s="6" t="s">
        <v>1141</v>
      </c>
      <c r="G434" s="522">
        <v>2.2000000000000002</v>
      </c>
      <c r="L434" s="6"/>
    </row>
    <row r="435" spans="1:12" x14ac:dyDescent="0.2">
      <c r="A435" s="6" t="str">
        <f t="shared" si="8"/>
        <v>CateringCastellonMedio MenuAdulto</v>
      </c>
      <c r="B435" s="6" t="s">
        <v>31</v>
      </c>
      <c r="C435" s="6" t="s">
        <v>1107</v>
      </c>
      <c r="D435" s="6" t="s">
        <v>1254</v>
      </c>
      <c r="E435" s="6" t="s">
        <v>1141</v>
      </c>
      <c r="G435" s="522">
        <v>1.9</v>
      </c>
      <c r="L435" s="6"/>
    </row>
    <row r="436" spans="1:12" hidden="1" x14ac:dyDescent="0.2">
      <c r="A436" s="6" t="str">
        <f t="shared" si="8"/>
        <v>Dietas_Irco</v>
      </c>
      <c r="B436" s="6" t="s">
        <v>2256</v>
      </c>
      <c r="C436" s="6" t="s">
        <v>2257</v>
      </c>
      <c r="G436" s="522">
        <v>1.35</v>
      </c>
      <c r="L436" s="6"/>
    </row>
    <row r="437" spans="1:12" x14ac:dyDescent="0.2">
      <c r="A437" s="6" t="str">
        <f t="shared" si="8"/>
        <v>AutónomaValenciaMedio MenuAdulto</v>
      </c>
      <c r="B437" s="6" t="s">
        <v>2251</v>
      </c>
      <c r="C437" s="6" t="s">
        <v>1110</v>
      </c>
      <c r="D437" s="6" t="s">
        <v>1254</v>
      </c>
      <c r="E437" s="6" t="s">
        <v>1141</v>
      </c>
      <c r="G437" s="522">
        <v>1.8</v>
      </c>
      <c r="L437" s="6"/>
    </row>
    <row r="438" spans="1:12" x14ac:dyDescent="0.2">
      <c r="A438" s="6" t="str">
        <f t="shared" si="8"/>
        <v>AutónomaValenciaComidaProfesor</v>
      </c>
      <c r="B438" s="6" t="s">
        <v>2251</v>
      </c>
      <c r="C438" s="6" t="s">
        <v>1110</v>
      </c>
      <c r="D438" s="6" t="s">
        <v>1011</v>
      </c>
      <c r="E438" s="6" t="s">
        <v>1297</v>
      </c>
      <c r="G438" s="522">
        <v>2.2000000000000002</v>
      </c>
      <c r="L438" s="6"/>
    </row>
    <row r="439" spans="1:12" x14ac:dyDescent="0.2">
      <c r="A439" s="6" t="str">
        <f t="shared" si="8"/>
        <v>CateringValenciaComidaProfesor</v>
      </c>
      <c r="B439" s="6" t="s">
        <v>31</v>
      </c>
      <c r="C439" s="6" t="s">
        <v>1110</v>
      </c>
      <c r="D439" s="6" t="s">
        <v>1011</v>
      </c>
      <c r="E439" s="6" t="s">
        <v>1297</v>
      </c>
      <c r="G439" s="522">
        <v>2.2000000000000002</v>
      </c>
      <c r="L439" s="6"/>
    </row>
    <row r="440" spans="1:12" x14ac:dyDescent="0.2">
      <c r="A440" s="6" t="str">
        <f t="shared" si="8"/>
        <v>AutónomaAlicanteComidaProfesor</v>
      </c>
      <c r="B440" s="6" t="s">
        <v>2251</v>
      </c>
      <c r="C440" s="6" t="s">
        <v>1106</v>
      </c>
      <c r="D440" s="6" t="s">
        <v>1011</v>
      </c>
      <c r="E440" s="6" t="s">
        <v>1297</v>
      </c>
      <c r="G440" s="522">
        <v>2.2000000000000002</v>
      </c>
      <c r="L440" s="6"/>
    </row>
    <row r="441" spans="1:12" x14ac:dyDescent="0.2">
      <c r="A441" s="6" t="str">
        <f t="shared" si="8"/>
        <v>CateringAlicanteComidaProfesor</v>
      </c>
      <c r="B441" s="6" t="s">
        <v>31</v>
      </c>
      <c r="C441" s="6" t="s">
        <v>1106</v>
      </c>
      <c r="D441" s="6" t="s">
        <v>1011</v>
      </c>
      <c r="E441" s="6" t="s">
        <v>1297</v>
      </c>
      <c r="G441" s="522">
        <v>2.2000000000000002</v>
      </c>
    </row>
    <row r="442" spans="1:12" x14ac:dyDescent="0.2">
      <c r="A442" s="6" t="str">
        <f t="shared" si="8"/>
        <v>AutónomaCastellonComidaProfesor</v>
      </c>
      <c r="B442" s="6" t="s">
        <v>2251</v>
      </c>
      <c r="C442" s="6" t="s">
        <v>1107</v>
      </c>
      <c r="D442" s="6" t="s">
        <v>1011</v>
      </c>
      <c r="E442" s="6" t="s">
        <v>1297</v>
      </c>
      <c r="G442" s="522">
        <v>2.2000000000000002</v>
      </c>
      <c r="L442" s="6"/>
    </row>
    <row r="443" spans="1:12" x14ac:dyDescent="0.2">
      <c r="A443" s="6" t="str">
        <f t="shared" si="8"/>
        <v>CateringCastellonComidaProfesor</v>
      </c>
      <c r="B443" s="6" t="s">
        <v>31</v>
      </c>
      <c r="C443" s="6" t="s">
        <v>1107</v>
      </c>
      <c r="D443" s="6" t="s">
        <v>1011</v>
      </c>
      <c r="E443" s="6" t="s">
        <v>1297</v>
      </c>
      <c r="G443" s="522">
        <v>2.2000000000000002</v>
      </c>
      <c r="L443" s="6"/>
    </row>
    <row r="444" spans="1:12" x14ac:dyDescent="0.2">
      <c r="A444" s="6" t="str">
        <f t="shared" si="8"/>
        <v>AutónomaGranadaComidaEscolar</v>
      </c>
      <c r="B444" s="6" t="s">
        <v>2251</v>
      </c>
      <c r="C444" s="6" t="s">
        <v>2342</v>
      </c>
      <c r="D444" s="6" t="s">
        <v>1011</v>
      </c>
      <c r="E444" s="6" t="s">
        <v>110</v>
      </c>
      <c r="G444" s="522">
        <v>1.19</v>
      </c>
    </row>
    <row r="445" spans="1:12" x14ac:dyDescent="0.2">
      <c r="A445" s="6" t="str">
        <f t="shared" si="8"/>
        <v>AutónomaGranadaComidaAdulto</v>
      </c>
      <c r="B445" s="6" t="s">
        <v>2251</v>
      </c>
      <c r="C445" s="6" t="s">
        <v>2342</v>
      </c>
      <c r="D445" s="6" t="s">
        <v>1011</v>
      </c>
      <c r="E445" s="6" t="s">
        <v>1141</v>
      </c>
      <c r="G445" s="522">
        <v>2.2000000000000002</v>
      </c>
    </row>
    <row r="446" spans="1:12" x14ac:dyDescent="0.2">
      <c r="A446" s="6" t="str">
        <f t="shared" si="8"/>
        <v>AutónomaGranadaComidaProfesor</v>
      </c>
      <c r="B446" s="6" t="s">
        <v>2251</v>
      </c>
      <c r="C446" s="6" t="s">
        <v>2342</v>
      </c>
      <c r="D446" s="6" t="s">
        <v>1011</v>
      </c>
      <c r="E446" s="6" t="s">
        <v>1297</v>
      </c>
      <c r="G446" s="8">
        <v>2.2000000000000002</v>
      </c>
    </row>
  </sheetData>
  <autoFilter ref="A1:O443" xr:uid="{CBBEA641-22D9-45C8-9DF8-93063E0CEEBC}">
    <filterColumn colId="4">
      <filters>
        <filter val="Adulto"/>
        <filter val="Profesor"/>
      </filters>
    </filterColumn>
  </autoFilter>
  <pageMargins left="0.7" right="0.7" top="0.75" bottom="0.75" header="0.3" footer="0.3"/>
  <pageSetup paperSize="9" scale="65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617A-6601-40AD-8388-22FE195906DF}">
  <sheetPr codeName="Hoja8">
    <tabColor theme="9" tint="-0.249977111117893"/>
  </sheetPr>
  <dimension ref="A1:AX226"/>
  <sheetViews>
    <sheetView zoomScale="85" zoomScaleNormal="85" workbookViewId="0">
      <pane xSplit="6" ySplit="2" topLeftCell="G133" activePane="bottomRight" state="frozen"/>
      <selection pane="topRight" activeCell="G1" sqref="G1"/>
      <selection pane="bottomLeft" activeCell="A3" sqref="A3"/>
      <selection pane="bottomRight" activeCell="N169" sqref="N169"/>
    </sheetView>
  </sheetViews>
  <sheetFormatPr baseColWidth="10" defaultColWidth="11.42578125" defaultRowHeight="12.75" x14ac:dyDescent="0.2"/>
  <cols>
    <col min="1" max="1" width="31.5703125" customWidth="1"/>
    <col min="2" max="2" width="6.140625" bestFit="1" customWidth="1"/>
    <col min="3" max="3" width="7" bestFit="1" customWidth="1"/>
    <col min="4" max="4" width="5.42578125" bestFit="1" customWidth="1"/>
    <col min="5" max="5" width="24.42578125" customWidth="1"/>
    <col min="6" max="6" width="4.42578125" bestFit="1" customWidth="1"/>
    <col min="7" max="7" width="11.42578125" bestFit="1" customWidth="1"/>
    <col min="8" max="8" width="10.42578125" bestFit="1" customWidth="1"/>
    <col min="9" max="9" width="11.42578125" bestFit="1" customWidth="1"/>
    <col min="10" max="10" width="8.5703125" bestFit="1" customWidth="1"/>
    <col min="11" max="11" width="7.42578125" customWidth="1"/>
    <col min="12" max="12" width="9.5703125" customWidth="1"/>
    <col min="13" max="13" width="4.5703125" customWidth="1"/>
    <col min="14" max="14" width="8" customWidth="1"/>
    <col min="15" max="15" width="4.5703125" customWidth="1"/>
    <col min="16" max="16" width="7.42578125" customWidth="1"/>
    <col min="17" max="17" width="4.5703125" customWidth="1"/>
    <col min="18" max="18" width="8.42578125" customWidth="1"/>
    <col min="19" max="19" width="4.5703125" customWidth="1"/>
    <col min="20" max="20" width="8.42578125" customWidth="1"/>
    <col min="21" max="21" width="4.5703125" customWidth="1"/>
    <col min="22" max="22" width="8.42578125" customWidth="1"/>
    <col min="23" max="23" width="4.5703125" customWidth="1"/>
    <col min="24" max="24" width="8.42578125" customWidth="1"/>
    <col min="25" max="25" width="4.5703125" customWidth="1"/>
    <col min="26" max="26" width="8.42578125" customWidth="1"/>
    <col min="27" max="27" width="4.5703125" customWidth="1"/>
    <col min="28" max="28" width="8.42578125" style="146" customWidth="1"/>
    <col min="29" max="29" width="4.5703125" customWidth="1"/>
    <col min="30" max="30" width="8.42578125" style="146" customWidth="1"/>
    <col min="31" max="31" width="4.5703125" customWidth="1"/>
    <col min="32" max="32" width="8.42578125" customWidth="1"/>
    <col min="33" max="33" width="4.5703125" customWidth="1"/>
    <col min="34" max="34" width="8.42578125" customWidth="1"/>
    <col min="35" max="35" width="4.5703125" customWidth="1"/>
    <col min="36" max="36" width="8.42578125" customWidth="1"/>
    <col min="37" max="37" width="4.5703125" customWidth="1"/>
    <col min="38" max="38" width="8.42578125" customWidth="1"/>
    <col min="39" max="39" width="4.5703125" customWidth="1"/>
    <col min="40" max="40" width="8.42578125" customWidth="1"/>
    <col min="41" max="41" width="4.5703125" customWidth="1"/>
    <col min="42" max="42" width="8.42578125" customWidth="1"/>
    <col min="43" max="43" width="4.5703125" customWidth="1"/>
    <col min="44" max="44" width="8.42578125" customWidth="1"/>
    <col min="45" max="45" width="4.5703125" customWidth="1"/>
    <col min="46" max="46" width="8.42578125" customWidth="1"/>
    <col min="47" max="47" width="4.42578125" customWidth="1"/>
    <col min="48" max="48" width="12" customWidth="1"/>
    <col min="49" max="49" width="4.5703125" customWidth="1"/>
    <col min="50" max="50" width="19.5703125" customWidth="1"/>
  </cols>
  <sheetData>
    <row r="1" spans="1:50" s="100" customFormat="1" ht="13.5" thickBot="1" x14ac:dyDescent="0.25">
      <c r="A1" s="100">
        <v>1</v>
      </c>
      <c r="B1" s="100">
        <v>2</v>
      </c>
      <c r="C1" s="100">
        <v>3</v>
      </c>
      <c r="D1" s="100">
        <v>4</v>
      </c>
      <c r="E1" s="100">
        <v>1</v>
      </c>
      <c r="F1" s="100">
        <v>2</v>
      </c>
      <c r="G1" s="100">
        <v>3</v>
      </c>
      <c r="H1" s="100">
        <v>4</v>
      </c>
      <c r="I1" s="100">
        <v>5</v>
      </c>
      <c r="J1" s="100">
        <v>6</v>
      </c>
      <c r="K1" s="100">
        <v>7</v>
      </c>
      <c r="L1" s="100">
        <v>8</v>
      </c>
      <c r="M1" s="100">
        <v>9</v>
      </c>
      <c r="N1" s="100">
        <v>10</v>
      </c>
      <c r="O1" s="100">
        <v>11</v>
      </c>
      <c r="P1" s="100">
        <v>12</v>
      </c>
      <c r="Q1" s="100">
        <v>13</v>
      </c>
      <c r="R1" s="100">
        <v>14</v>
      </c>
      <c r="S1" s="100">
        <v>15</v>
      </c>
      <c r="T1" s="100">
        <v>16</v>
      </c>
      <c r="U1" s="100">
        <v>17</v>
      </c>
      <c r="V1" s="100">
        <v>18</v>
      </c>
      <c r="W1" s="100">
        <v>19</v>
      </c>
      <c r="X1" s="100">
        <v>20</v>
      </c>
      <c r="Y1" s="100">
        <v>21</v>
      </c>
      <c r="Z1" s="100">
        <v>22</v>
      </c>
      <c r="AA1" s="100">
        <v>23</v>
      </c>
      <c r="AB1" s="100">
        <v>24</v>
      </c>
      <c r="AC1" s="100">
        <v>25</v>
      </c>
      <c r="AD1" s="100">
        <v>26</v>
      </c>
      <c r="AE1" s="100">
        <v>27</v>
      </c>
      <c r="AF1" s="100">
        <v>28</v>
      </c>
      <c r="AG1" s="100">
        <v>29</v>
      </c>
      <c r="AH1" s="100">
        <v>30</v>
      </c>
      <c r="AI1" s="100">
        <v>31</v>
      </c>
      <c r="AJ1" s="100">
        <v>32</v>
      </c>
      <c r="AK1" s="100">
        <v>33</v>
      </c>
      <c r="AL1" s="100">
        <v>34</v>
      </c>
      <c r="AM1" s="100">
        <v>35</v>
      </c>
      <c r="AN1" s="100">
        <v>36</v>
      </c>
      <c r="AO1" s="100">
        <v>37</v>
      </c>
      <c r="AP1" s="100">
        <v>38</v>
      </c>
      <c r="AQ1" s="100">
        <v>39</v>
      </c>
      <c r="AR1" s="100">
        <v>40</v>
      </c>
      <c r="AS1" s="100">
        <v>41</v>
      </c>
      <c r="AT1" s="100">
        <v>42</v>
      </c>
      <c r="AU1" s="100">
        <v>43</v>
      </c>
      <c r="AV1" s="100">
        <v>44</v>
      </c>
      <c r="AW1" s="100">
        <v>45</v>
      </c>
      <c r="AX1" s="100">
        <v>46</v>
      </c>
    </row>
    <row r="2" spans="1:50" ht="69.75" thickBot="1" x14ac:dyDescent="0.25">
      <c r="A2" s="4" t="s">
        <v>94</v>
      </c>
      <c r="B2" s="4" t="s">
        <v>1042</v>
      </c>
      <c r="C2" s="3" t="s">
        <v>1043</v>
      </c>
      <c r="D2" s="3" t="s">
        <v>1044</v>
      </c>
      <c r="E2" s="147" t="s">
        <v>1045</v>
      </c>
      <c r="F2" s="147"/>
      <c r="G2" s="147" t="s">
        <v>1046</v>
      </c>
      <c r="H2" s="147" t="s">
        <v>1047</v>
      </c>
      <c r="I2" s="147" t="s">
        <v>1048</v>
      </c>
      <c r="J2" s="147" t="s">
        <v>1049</v>
      </c>
      <c r="K2" s="147" t="s">
        <v>1050</v>
      </c>
      <c r="L2" s="147" t="s">
        <v>1051</v>
      </c>
      <c r="M2" s="147"/>
      <c r="N2" s="147" t="s">
        <v>1052</v>
      </c>
      <c r="O2" s="147"/>
      <c r="P2" s="147" t="s">
        <v>1053</v>
      </c>
      <c r="Q2" s="147"/>
      <c r="R2" s="147" t="s">
        <v>197</v>
      </c>
      <c r="S2" s="147"/>
      <c r="T2" s="147" t="s">
        <v>2258</v>
      </c>
      <c r="U2" s="147"/>
      <c r="V2" s="147" t="s">
        <v>2259</v>
      </c>
      <c r="W2" s="147"/>
      <c r="X2" s="147" t="s">
        <v>1054</v>
      </c>
      <c r="Y2" s="147"/>
      <c r="Z2" s="147" t="s">
        <v>2260</v>
      </c>
      <c r="AA2" s="147"/>
      <c r="AB2" s="147" t="s">
        <v>91</v>
      </c>
      <c r="AC2" s="147"/>
      <c r="AD2" s="147" t="s">
        <v>2261</v>
      </c>
      <c r="AE2" s="147"/>
      <c r="AF2" s="147" t="s">
        <v>1055</v>
      </c>
      <c r="AG2" s="147"/>
      <c r="AH2" s="147"/>
      <c r="AI2" s="147"/>
      <c r="AJ2" s="147"/>
      <c r="AK2" s="147"/>
      <c r="AL2" s="147" t="s">
        <v>2262</v>
      </c>
      <c r="AM2" s="147"/>
      <c r="AN2" s="147" t="s">
        <v>2263</v>
      </c>
      <c r="AO2" s="147"/>
      <c r="AP2" s="147" t="s">
        <v>2264</v>
      </c>
      <c r="AQ2" s="147"/>
      <c r="AR2" s="147" t="s">
        <v>2265</v>
      </c>
      <c r="AS2" s="147"/>
      <c r="AT2" s="147" t="s">
        <v>2266</v>
      </c>
      <c r="AU2" s="147"/>
      <c r="AV2" s="147" t="s">
        <v>150</v>
      </c>
      <c r="AW2" s="147"/>
      <c r="AX2" s="147" t="s">
        <v>231</v>
      </c>
    </row>
    <row r="3" spans="1:50" x14ac:dyDescent="0.2">
      <c r="A3" s="148" t="s">
        <v>1062</v>
      </c>
      <c r="B3" s="149">
        <v>2023</v>
      </c>
      <c r="C3" s="150">
        <v>0</v>
      </c>
      <c r="D3" s="151">
        <v>1794</v>
      </c>
      <c r="E3" s="152" t="s">
        <v>1063</v>
      </c>
      <c r="F3" s="153" t="s">
        <v>1064</v>
      </c>
      <c r="G3" s="154">
        <v>40</v>
      </c>
      <c r="H3" s="155">
        <v>8</v>
      </c>
      <c r="I3" s="155">
        <v>1458.5561399999999</v>
      </c>
      <c r="J3" s="156">
        <v>1458.5561399999999</v>
      </c>
      <c r="K3" s="157">
        <v>15</v>
      </c>
      <c r="L3" s="155">
        <f>+(J3*(K3-12))/12</f>
        <v>364.63903499999998</v>
      </c>
      <c r="M3" s="158">
        <v>12</v>
      </c>
      <c r="N3" s="156">
        <v>39.32</v>
      </c>
      <c r="O3" s="158">
        <v>12</v>
      </c>
      <c r="P3" s="156">
        <v>34.04</v>
      </c>
      <c r="Q3" s="158"/>
      <c r="R3" s="156"/>
      <c r="S3" s="159"/>
      <c r="T3" s="156"/>
      <c r="U3" s="155"/>
      <c r="V3" s="156"/>
      <c r="W3" s="155"/>
      <c r="X3" s="168">
        <v>15</v>
      </c>
      <c r="Y3" s="155"/>
      <c r="Z3" s="168">
        <v>20</v>
      </c>
      <c r="AA3" s="155"/>
      <c r="AB3" s="160">
        <f>+Datos_Generales!$K$9</f>
        <v>3.6999999999999998E-2</v>
      </c>
      <c r="AC3" s="155"/>
      <c r="AD3" s="160">
        <v>0.33</v>
      </c>
      <c r="AE3" s="155"/>
      <c r="AF3" s="168">
        <v>18.36</v>
      </c>
      <c r="AG3" s="158"/>
      <c r="AH3" s="158"/>
      <c r="AI3" s="158"/>
      <c r="AJ3" s="158"/>
      <c r="AK3" s="158"/>
      <c r="AL3" s="158">
        <f>+J3+L3</f>
        <v>1823.1951749999998</v>
      </c>
      <c r="AM3" s="158"/>
      <c r="AN3" s="158">
        <f>+N3+P3+X3+Z3+AF3</f>
        <v>126.72</v>
      </c>
      <c r="AO3" s="158"/>
      <c r="AP3" s="158">
        <f>(AL3*1.33)*AB3</f>
        <v>89.719434561749992</v>
      </c>
      <c r="AQ3" s="158"/>
      <c r="AR3" s="158">
        <f>+AL3*AD3</f>
        <v>601.65440775000002</v>
      </c>
      <c r="AS3" s="158"/>
      <c r="AT3" s="158" t="e">
        <f>+(N3+P3)+((X3+Z3+AF3)/Datos_Generales!$E$15)</f>
        <v>#DIV/0!</v>
      </c>
      <c r="AU3" s="198"/>
      <c r="AV3" s="198">
        <f>+AL3*(1+AD3)</f>
        <v>2424.8495827500001</v>
      </c>
      <c r="AW3" s="198"/>
      <c r="AX3" s="173" t="e">
        <f t="shared" ref="AX3:AX11" si="0">+AL3+AT3+AP3+AR3</f>
        <v>#DIV/0!</v>
      </c>
    </row>
    <row r="4" spans="1:50" x14ac:dyDescent="0.2">
      <c r="A4" s="161" t="s">
        <v>1062</v>
      </c>
      <c r="B4" s="162">
        <v>2023</v>
      </c>
      <c r="C4" s="163"/>
      <c r="D4" s="163"/>
      <c r="E4" s="164" t="s">
        <v>1065</v>
      </c>
      <c r="F4" s="165" t="s">
        <v>1066</v>
      </c>
      <c r="G4" s="166">
        <v>40</v>
      </c>
      <c r="H4" s="167">
        <v>8</v>
      </c>
      <c r="I4" s="167">
        <v>1404.9219899999998</v>
      </c>
      <c r="J4" s="168">
        <v>1404.9219899999998</v>
      </c>
      <c r="K4" s="169">
        <v>15</v>
      </c>
      <c r="L4" s="167">
        <f t="shared" ref="L4:L67" si="1">+(J4*(K4-12))/12</f>
        <v>351.23049749999996</v>
      </c>
      <c r="M4" s="170">
        <v>12</v>
      </c>
      <c r="N4" s="168">
        <v>39.32</v>
      </c>
      <c r="O4" s="170">
        <v>12</v>
      </c>
      <c r="P4" s="168">
        <v>34.04</v>
      </c>
      <c r="Q4" s="170"/>
      <c r="R4" s="168"/>
      <c r="S4" s="171"/>
      <c r="T4" s="168"/>
      <c r="U4" s="167"/>
      <c r="V4" s="168"/>
      <c r="W4" s="167"/>
      <c r="X4" s="168">
        <v>15</v>
      </c>
      <c r="Y4" s="167"/>
      <c r="Z4" s="168">
        <v>20</v>
      </c>
      <c r="AA4" s="167"/>
      <c r="AB4" s="172">
        <f>+Datos_Generales!$K$9</f>
        <v>3.6999999999999998E-2</v>
      </c>
      <c r="AC4" s="167"/>
      <c r="AD4" s="172">
        <v>0.33</v>
      </c>
      <c r="AE4" s="167"/>
      <c r="AF4" s="168">
        <v>18.36</v>
      </c>
      <c r="AG4" s="170"/>
      <c r="AH4" s="170"/>
      <c r="AI4" s="170"/>
      <c r="AJ4" s="170"/>
      <c r="AK4" s="170"/>
      <c r="AL4" s="170">
        <f t="shared" ref="AL4:AL67" si="2">+J4+L4</f>
        <v>1756.1524874999998</v>
      </c>
      <c r="AM4" s="170"/>
      <c r="AN4" s="170">
        <f t="shared" ref="AN4:AN67" si="3">+N4+P4+X4+Z4+AF4</f>
        <v>126.72</v>
      </c>
      <c r="AO4" s="170"/>
      <c r="AP4" s="170">
        <f t="shared" ref="AP4:AP67" si="4">(AL4*1.33)*AB4</f>
        <v>86.42026390987499</v>
      </c>
      <c r="AQ4" s="170"/>
      <c r="AR4" s="170">
        <f t="shared" ref="AR4:AR67" si="5">+AL4*AD4</f>
        <v>579.53032087499992</v>
      </c>
      <c r="AS4" s="170"/>
      <c r="AT4" s="170" t="e">
        <f>+(N4+P4)+((X4+Z4+AF4)/Datos_Generales!$E$15)</f>
        <v>#DIV/0!</v>
      </c>
      <c r="AU4" s="199"/>
      <c r="AV4" s="199">
        <f t="shared" ref="AV4:AV67" si="6">+AL4*(1+AD4)</f>
        <v>2335.6828083749997</v>
      </c>
      <c r="AW4" s="199"/>
      <c r="AX4" s="173" t="e">
        <f t="shared" si="0"/>
        <v>#DIV/0!</v>
      </c>
    </row>
    <row r="5" spans="1:50" x14ac:dyDescent="0.2">
      <c r="A5" s="161" t="s">
        <v>1062</v>
      </c>
      <c r="B5" s="162">
        <v>2023</v>
      </c>
      <c r="C5" s="163"/>
      <c r="D5" s="163"/>
      <c r="E5" s="164" t="s">
        <v>2267</v>
      </c>
      <c r="F5" s="165" t="s">
        <v>1066</v>
      </c>
      <c r="G5" s="166">
        <v>40</v>
      </c>
      <c r="H5" s="167">
        <v>8</v>
      </c>
      <c r="I5" s="167">
        <v>1404.9219899999998</v>
      </c>
      <c r="J5" s="168">
        <v>1404.9219899999998</v>
      </c>
      <c r="K5" s="169">
        <v>15</v>
      </c>
      <c r="L5" s="167">
        <f t="shared" si="1"/>
        <v>351.23049749999996</v>
      </c>
      <c r="M5" s="170">
        <v>12</v>
      </c>
      <c r="N5" s="168">
        <v>39.32</v>
      </c>
      <c r="O5" s="170">
        <v>12</v>
      </c>
      <c r="P5" s="168">
        <v>34.04</v>
      </c>
      <c r="Q5" s="170"/>
      <c r="R5" s="168"/>
      <c r="S5" s="171"/>
      <c r="T5" s="168"/>
      <c r="U5" s="167"/>
      <c r="V5" s="168"/>
      <c r="W5" s="167"/>
      <c r="X5" s="168">
        <v>15</v>
      </c>
      <c r="Y5" s="167"/>
      <c r="Z5" s="168">
        <v>20</v>
      </c>
      <c r="AA5" s="167"/>
      <c r="AB5" s="172">
        <f>+Datos_Generales!$K$9</f>
        <v>3.6999999999999998E-2</v>
      </c>
      <c r="AC5" s="167"/>
      <c r="AD5" s="172">
        <v>0.33</v>
      </c>
      <c r="AE5" s="167"/>
      <c r="AF5" s="168">
        <v>18.36</v>
      </c>
      <c r="AG5" s="170"/>
      <c r="AH5" s="170"/>
      <c r="AI5" s="170"/>
      <c r="AJ5" s="170"/>
      <c r="AK5" s="170"/>
      <c r="AL5" s="170">
        <f t="shared" si="2"/>
        <v>1756.1524874999998</v>
      </c>
      <c r="AM5" s="170"/>
      <c r="AN5" s="170">
        <f t="shared" si="3"/>
        <v>126.72</v>
      </c>
      <c r="AO5" s="170"/>
      <c r="AP5" s="170">
        <f t="shared" si="4"/>
        <v>86.42026390987499</v>
      </c>
      <c r="AQ5" s="170"/>
      <c r="AR5" s="170">
        <f t="shared" si="5"/>
        <v>579.53032087499992</v>
      </c>
      <c r="AS5" s="170"/>
      <c r="AT5" s="170" t="e">
        <f>+(N5+P5)+((X5+Z5+AF5)/Datos_Generales!$E$15)</f>
        <v>#DIV/0!</v>
      </c>
      <c r="AU5" s="199"/>
      <c r="AV5" s="199">
        <f t="shared" si="6"/>
        <v>2335.6828083749997</v>
      </c>
      <c r="AW5" s="199"/>
      <c r="AX5" s="173" t="e">
        <f t="shared" si="0"/>
        <v>#DIV/0!</v>
      </c>
    </row>
    <row r="6" spans="1:50" x14ac:dyDescent="0.2">
      <c r="A6" s="161" t="s">
        <v>1062</v>
      </c>
      <c r="B6" s="162">
        <v>2023</v>
      </c>
      <c r="C6" s="163"/>
      <c r="D6" s="163"/>
      <c r="E6" s="164" t="s">
        <v>2268</v>
      </c>
      <c r="F6" s="165" t="s">
        <v>1066</v>
      </c>
      <c r="G6" s="166">
        <v>40</v>
      </c>
      <c r="H6" s="167">
        <v>8</v>
      </c>
      <c r="I6" s="167">
        <v>1404.9219899999998</v>
      </c>
      <c r="J6" s="168">
        <v>1404.9219899999998</v>
      </c>
      <c r="K6" s="169">
        <v>15</v>
      </c>
      <c r="L6" s="167">
        <f t="shared" si="1"/>
        <v>351.23049749999996</v>
      </c>
      <c r="M6" s="170">
        <v>12</v>
      </c>
      <c r="N6" s="168">
        <v>39.32</v>
      </c>
      <c r="O6" s="170">
        <v>12</v>
      </c>
      <c r="P6" s="168">
        <v>34.04</v>
      </c>
      <c r="Q6" s="170"/>
      <c r="R6" s="168"/>
      <c r="S6" s="171"/>
      <c r="T6" s="168"/>
      <c r="U6" s="167"/>
      <c r="V6" s="168"/>
      <c r="W6" s="167"/>
      <c r="X6" s="168">
        <v>15</v>
      </c>
      <c r="Y6" s="167"/>
      <c r="Z6" s="168">
        <v>20</v>
      </c>
      <c r="AA6" s="167"/>
      <c r="AB6" s="172">
        <f>+Datos_Generales!$K$9</f>
        <v>3.6999999999999998E-2</v>
      </c>
      <c r="AC6" s="167"/>
      <c r="AD6" s="172">
        <v>0.33</v>
      </c>
      <c r="AE6" s="167"/>
      <c r="AF6" s="168">
        <v>18.36</v>
      </c>
      <c r="AG6" s="170"/>
      <c r="AH6" s="170"/>
      <c r="AI6" s="170"/>
      <c r="AJ6" s="170"/>
      <c r="AK6" s="170"/>
      <c r="AL6" s="170">
        <f t="shared" si="2"/>
        <v>1756.1524874999998</v>
      </c>
      <c r="AM6" s="170"/>
      <c r="AN6" s="170">
        <f t="shared" si="3"/>
        <v>126.72</v>
      </c>
      <c r="AO6" s="170"/>
      <c r="AP6" s="170">
        <f t="shared" si="4"/>
        <v>86.42026390987499</v>
      </c>
      <c r="AQ6" s="170"/>
      <c r="AR6" s="170">
        <f t="shared" si="5"/>
        <v>579.53032087499992</v>
      </c>
      <c r="AS6" s="170"/>
      <c r="AT6" s="170" t="e">
        <f>+(N6+P6)+((X6+Z6+AF6)/Datos_Generales!$E$15)</f>
        <v>#DIV/0!</v>
      </c>
      <c r="AU6" s="199"/>
      <c r="AV6" s="199">
        <f t="shared" si="6"/>
        <v>2335.6828083749997</v>
      </c>
      <c r="AW6" s="199"/>
      <c r="AX6" s="173" t="e">
        <f t="shared" si="0"/>
        <v>#DIV/0!</v>
      </c>
    </row>
    <row r="7" spans="1:50" x14ac:dyDescent="0.2">
      <c r="A7" s="161" t="s">
        <v>1062</v>
      </c>
      <c r="B7" s="162">
        <v>2023</v>
      </c>
      <c r="C7" s="163"/>
      <c r="D7" s="163"/>
      <c r="E7" s="164" t="s">
        <v>1067</v>
      </c>
      <c r="F7" s="165" t="s">
        <v>1068</v>
      </c>
      <c r="G7" s="166">
        <v>40</v>
      </c>
      <c r="H7" s="167">
        <v>8</v>
      </c>
      <c r="I7" s="167">
        <v>1324.4080349999999</v>
      </c>
      <c r="J7" s="168">
        <v>1324.4080349999999</v>
      </c>
      <c r="K7" s="169">
        <v>15</v>
      </c>
      <c r="L7" s="167">
        <f t="shared" si="1"/>
        <v>331.10200874999998</v>
      </c>
      <c r="M7" s="170">
        <v>12</v>
      </c>
      <c r="N7" s="168">
        <v>39.32</v>
      </c>
      <c r="O7" s="170">
        <v>12</v>
      </c>
      <c r="P7" s="168">
        <v>34.04</v>
      </c>
      <c r="Q7" s="170"/>
      <c r="R7" s="168"/>
      <c r="S7" s="171"/>
      <c r="T7" s="168"/>
      <c r="U7" s="167"/>
      <c r="V7" s="168"/>
      <c r="W7" s="167"/>
      <c r="X7" s="168">
        <v>15</v>
      </c>
      <c r="Y7" s="167"/>
      <c r="Z7" s="168">
        <v>20</v>
      </c>
      <c r="AA7" s="167"/>
      <c r="AB7" s="172">
        <f>+Datos_Generales!$K$9</f>
        <v>3.6999999999999998E-2</v>
      </c>
      <c r="AC7" s="167"/>
      <c r="AD7" s="172">
        <v>0.33</v>
      </c>
      <c r="AE7" s="167"/>
      <c r="AF7" s="168">
        <v>18.36</v>
      </c>
      <c r="AG7" s="170"/>
      <c r="AH7" s="170"/>
      <c r="AI7" s="170"/>
      <c r="AJ7" s="170"/>
      <c r="AK7" s="170"/>
      <c r="AL7" s="170">
        <f t="shared" si="2"/>
        <v>1655.51004375</v>
      </c>
      <c r="AM7" s="170"/>
      <c r="AN7" s="170">
        <f t="shared" si="3"/>
        <v>126.72</v>
      </c>
      <c r="AO7" s="170"/>
      <c r="AP7" s="170">
        <f t="shared" si="4"/>
        <v>81.467649252937505</v>
      </c>
      <c r="AQ7" s="170"/>
      <c r="AR7" s="170">
        <f t="shared" si="5"/>
        <v>546.31831443750002</v>
      </c>
      <c r="AS7" s="170"/>
      <c r="AT7" s="170" t="e">
        <f>+(N7+P7)+((X7+Z7+AF7)/Datos_Generales!$E$15)</f>
        <v>#DIV/0!</v>
      </c>
      <c r="AU7" s="199"/>
      <c r="AV7" s="199">
        <f>+AL7*(1+AD7)</f>
        <v>2201.8283581875003</v>
      </c>
      <c r="AW7" s="199"/>
      <c r="AX7" s="173" t="e">
        <f t="shared" si="0"/>
        <v>#DIV/0!</v>
      </c>
    </row>
    <row r="8" spans="1:50" x14ac:dyDescent="0.2">
      <c r="A8" s="161" t="s">
        <v>1062</v>
      </c>
      <c r="B8" s="162">
        <v>2023</v>
      </c>
      <c r="C8" s="163"/>
      <c r="D8" s="163"/>
      <c r="E8" s="164" t="s">
        <v>2269</v>
      </c>
      <c r="F8" s="165" t="s">
        <v>1068</v>
      </c>
      <c r="G8" s="166">
        <v>40</v>
      </c>
      <c r="H8" s="167">
        <v>8</v>
      </c>
      <c r="I8" s="167">
        <v>1324.4080349999999</v>
      </c>
      <c r="J8" s="168">
        <v>1324.4080349999999</v>
      </c>
      <c r="K8" s="169">
        <v>15</v>
      </c>
      <c r="L8" s="167">
        <f t="shared" si="1"/>
        <v>331.10200874999998</v>
      </c>
      <c r="M8" s="170">
        <v>12</v>
      </c>
      <c r="N8" s="168">
        <v>39.32</v>
      </c>
      <c r="O8" s="170">
        <v>12</v>
      </c>
      <c r="P8" s="168">
        <v>34.04</v>
      </c>
      <c r="Q8" s="170"/>
      <c r="R8" s="168"/>
      <c r="S8" s="171"/>
      <c r="T8" s="168"/>
      <c r="U8" s="167"/>
      <c r="V8" s="168"/>
      <c r="W8" s="167"/>
      <c r="X8" s="168">
        <v>15</v>
      </c>
      <c r="Y8" s="167"/>
      <c r="Z8" s="168">
        <v>20</v>
      </c>
      <c r="AA8" s="167"/>
      <c r="AB8" s="172">
        <f>+Datos_Generales!$K$9</f>
        <v>3.6999999999999998E-2</v>
      </c>
      <c r="AC8" s="167"/>
      <c r="AD8" s="172">
        <v>0.33</v>
      </c>
      <c r="AE8" s="167"/>
      <c r="AF8" s="168">
        <v>18.36</v>
      </c>
      <c r="AG8" s="170"/>
      <c r="AH8" s="170"/>
      <c r="AI8" s="170"/>
      <c r="AJ8" s="170"/>
      <c r="AK8" s="170"/>
      <c r="AL8" s="170">
        <f t="shared" si="2"/>
        <v>1655.51004375</v>
      </c>
      <c r="AM8" s="170"/>
      <c r="AN8" s="170">
        <f t="shared" si="3"/>
        <v>126.72</v>
      </c>
      <c r="AO8" s="170"/>
      <c r="AP8" s="170">
        <f t="shared" si="4"/>
        <v>81.467649252937505</v>
      </c>
      <c r="AQ8" s="170"/>
      <c r="AR8" s="170">
        <f t="shared" si="5"/>
        <v>546.31831443750002</v>
      </c>
      <c r="AS8" s="170"/>
      <c r="AT8" s="170" t="e">
        <f>+(N8+P8)+((X8+Z8+AF8)/Datos_Generales!$E$15)</f>
        <v>#DIV/0!</v>
      </c>
      <c r="AU8" s="199"/>
      <c r="AV8" s="199">
        <f t="shared" si="6"/>
        <v>2201.8283581875003</v>
      </c>
      <c r="AW8" s="199"/>
      <c r="AX8" s="173" t="e">
        <f t="shared" si="0"/>
        <v>#DIV/0!</v>
      </c>
    </row>
    <row r="9" spans="1:50" x14ac:dyDescent="0.2">
      <c r="A9" s="161" t="s">
        <v>1062</v>
      </c>
      <c r="B9" s="162">
        <v>2023</v>
      </c>
      <c r="C9" s="163"/>
      <c r="D9" s="163"/>
      <c r="E9" s="164" t="s">
        <v>1069</v>
      </c>
      <c r="F9" s="165" t="s">
        <v>1070</v>
      </c>
      <c r="G9" s="166">
        <v>40</v>
      </c>
      <c r="H9" s="167">
        <v>8</v>
      </c>
      <c r="I9" s="167">
        <v>1270.7216100000001</v>
      </c>
      <c r="J9" s="168">
        <v>1270.7216100000001</v>
      </c>
      <c r="K9" s="169">
        <v>15</v>
      </c>
      <c r="L9" s="167">
        <f t="shared" si="1"/>
        <v>317.68040250000001</v>
      </c>
      <c r="M9" s="170">
        <v>12</v>
      </c>
      <c r="N9" s="168">
        <v>39.32</v>
      </c>
      <c r="O9" s="170">
        <v>12</v>
      </c>
      <c r="P9" s="168">
        <v>34.04</v>
      </c>
      <c r="Q9" s="170"/>
      <c r="R9" s="168"/>
      <c r="S9" s="171"/>
      <c r="T9" s="168"/>
      <c r="U9" s="167"/>
      <c r="V9" s="168"/>
      <c r="W9" s="167"/>
      <c r="X9" s="168">
        <v>15</v>
      </c>
      <c r="Y9" s="167"/>
      <c r="Z9" s="168">
        <v>20</v>
      </c>
      <c r="AA9" s="167"/>
      <c r="AB9" s="172">
        <f>+Datos_Generales!$K$9</f>
        <v>3.6999999999999998E-2</v>
      </c>
      <c r="AC9" s="167"/>
      <c r="AD9" s="172">
        <v>0.33</v>
      </c>
      <c r="AE9" s="167"/>
      <c r="AF9" s="168">
        <v>18.36</v>
      </c>
      <c r="AG9" s="170"/>
      <c r="AH9" s="170"/>
      <c r="AI9" s="170"/>
      <c r="AJ9" s="170"/>
      <c r="AK9" s="170"/>
      <c r="AL9" s="170">
        <f t="shared" si="2"/>
        <v>1588.4020125000002</v>
      </c>
      <c r="AM9" s="170"/>
      <c r="AN9" s="170">
        <f t="shared" si="3"/>
        <v>126.72</v>
      </c>
      <c r="AO9" s="170"/>
      <c r="AP9" s="170">
        <f t="shared" si="4"/>
        <v>78.165263035125008</v>
      </c>
      <c r="AQ9" s="170"/>
      <c r="AR9" s="170">
        <f t="shared" si="5"/>
        <v>524.1726641250001</v>
      </c>
      <c r="AS9" s="170"/>
      <c r="AT9" s="170" t="e">
        <f>+(N9+P9)+((X9+Z9+AF9)/Datos_Generales!$E$15)</f>
        <v>#DIV/0!</v>
      </c>
      <c r="AU9" s="199"/>
      <c r="AV9" s="199">
        <f t="shared" si="6"/>
        <v>2112.5746766250004</v>
      </c>
      <c r="AW9" s="199"/>
      <c r="AX9" s="173" t="e">
        <f t="shared" si="0"/>
        <v>#DIV/0!</v>
      </c>
    </row>
    <row r="10" spans="1:50" x14ac:dyDescent="0.2">
      <c r="A10" s="161" t="s">
        <v>1062</v>
      </c>
      <c r="B10" s="162">
        <v>2023</v>
      </c>
      <c r="C10" s="163"/>
      <c r="D10" s="163"/>
      <c r="E10" s="164" t="s">
        <v>2270</v>
      </c>
      <c r="F10" s="165" t="s">
        <v>1070</v>
      </c>
      <c r="G10" s="166">
        <v>40</v>
      </c>
      <c r="H10" s="167">
        <v>8</v>
      </c>
      <c r="I10" s="167">
        <v>1270.7216100000001</v>
      </c>
      <c r="J10" s="168">
        <v>1270.7216100000001</v>
      </c>
      <c r="K10" s="169">
        <v>15</v>
      </c>
      <c r="L10" s="167">
        <f t="shared" si="1"/>
        <v>317.68040250000001</v>
      </c>
      <c r="M10" s="170">
        <v>12</v>
      </c>
      <c r="N10" s="168">
        <v>39.32</v>
      </c>
      <c r="O10" s="170">
        <v>12</v>
      </c>
      <c r="P10" s="168">
        <v>34.04</v>
      </c>
      <c r="Q10" s="170"/>
      <c r="R10" s="168"/>
      <c r="S10" s="171"/>
      <c r="T10" s="168"/>
      <c r="U10" s="167"/>
      <c r="V10" s="168"/>
      <c r="W10" s="167"/>
      <c r="X10" s="168">
        <v>15</v>
      </c>
      <c r="Y10" s="167"/>
      <c r="Z10" s="168">
        <v>20</v>
      </c>
      <c r="AA10" s="167"/>
      <c r="AB10" s="172">
        <f>+Datos_Generales!$K$9</f>
        <v>3.6999999999999998E-2</v>
      </c>
      <c r="AC10" s="167"/>
      <c r="AD10" s="172">
        <v>0.33</v>
      </c>
      <c r="AE10" s="167"/>
      <c r="AF10" s="168">
        <v>18.36</v>
      </c>
      <c r="AG10" s="170"/>
      <c r="AH10" s="170"/>
      <c r="AI10" s="170"/>
      <c r="AJ10" s="170"/>
      <c r="AK10" s="170"/>
      <c r="AL10" s="170">
        <f t="shared" si="2"/>
        <v>1588.4020125000002</v>
      </c>
      <c r="AM10" s="170"/>
      <c r="AN10" s="170">
        <f t="shared" si="3"/>
        <v>126.72</v>
      </c>
      <c r="AO10" s="170"/>
      <c r="AP10" s="170">
        <f t="shared" si="4"/>
        <v>78.165263035125008</v>
      </c>
      <c r="AQ10" s="170"/>
      <c r="AR10" s="170">
        <f t="shared" si="5"/>
        <v>524.1726641250001</v>
      </c>
      <c r="AS10" s="170"/>
      <c r="AT10" s="170" t="e">
        <f>+(N10+P10)+((X10+Z10+AF10)/Datos_Generales!$E$15)</f>
        <v>#DIV/0!</v>
      </c>
      <c r="AU10" s="199"/>
      <c r="AV10" s="199">
        <f t="shared" si="6"/>
        <v>2112.5746766250004</v>
      </c>
      <c r="AW10" s="199"/>
      <c r="AX10" s="173" t="e">
        <f t="shared" si="0"/>
        <v>#DIV/0!</v>
      </c>
    </row>
    <row r="11" spans="1:50" x14ac:dyDescent="0.2">
      <c r="A11" s="161" t="s">
        <v>1062</v>
      </c>
      <c r="B11" s="162">
        <v>2023</v>
      </c>
      <c r="C11" s="163"/>
      <c r="D11" s="163"/>
      <c r="E11" s="164" t="s">
        <v>2271</v>
      </c>
      <c r="F11" s="165" t="s">
        <v>1072</v>
      </c>
      <c r="G11" s="166">
        <v>40</v>
      </c>
      <c r="H11" s="167">
        <v>8</v>
      </c>
      <c r="I11" s="167">
        <v>1199.7217049999999</v>
      </c>
      <c r="J11" s="168">
        <v>1199.7217049999999</v>
      </c>
      <c r="K11" s="169">
        <v>15</v>
      </c>
      <c r="L11" s="167">
        <f t="shared" si="1"/>
        <v>299.93042624999998</v>
      </c>
      <c r="M11" s="170">
        <v>12</v>
      </c>
      <c r="N11" s="168">
        <v>39.32</v>
      </c>
      <c r="O11" s="170">
        <v>12</v>
      </c>
      <c r="P11" s="168">
        <v>34.04</v>
      </c>
      <c r="Q11" s="170"/>
      <c r="R11" s="168"/>
      <c r="S11" s="171"/>
      <c r="T11" s="168"/>
      <c r="U11" s="167"/>
      <c r="V11" s="168"/>
      <c r="W11" s="167"/>
      <c r="X11" s="168">
        <v>15</v>
      </c>
      <c r="Y11" s="167"/>
      <c r="Z11" s="168">
        <v>20</v>
      </c>
      <c r="AA11" s="167"/>
      <c r="AB11" s="172">
        <f>+Datos_Generales!$K$9</f>
        <v>3.6999999999999998E-2</v>
      </c>
      <c r="AC11" s="167"/>
      <c r="AD11" s="172">
        <v>0.33</v>
      </c>
      <c r="AE11" s="167"/>
      <c r="AF11" s="168">
        <v>18.36</v>
      </c>
      <c r="AG11" s="170"/>
      <c r="AH11" s="170"/>
      <c r="AI11" s="170"/>
      <c r="AJ11" s="170"/>
      <c r="AK11" s="170"/>
      <c r="AL11" s="170">
        <f t="shared" si="2"/>
        <v>1499.6521312499999</v>
      </c>
      <c r="AM11" s="170"/>
      <c r="AN11" s="170">
        <f t="shared" si="3"/>
        <v>126.72</v>
      </c>
      <c r="AO11" s="170"/>
      <c r="AP11" s="170">
        <f t="shared" si="4"/>
        <v>73.797881378812505</v>
      </c>
      <c r="AQ11" s="170"/>
      <c r="AR11" s="170">
        <f t="shared" si="5"/>
        <v>494.88520331249998</v>
      </c>
      <c r="AS11" s="170"/>
      <c r="AT11" s="170" t="e">
        <f>+(N11+P11)+((X11+Z11+AF11)/Datos_Generales!$E$15)</f>
        <v>#DIV/0!</v>
      </c>
      <c r="AU11" s="199"/>
      <c r="AV11" s="199">
        <f t="shared" si="6"/>
        <v>1994.5373345625001</v>
      </c>
      <c r="AW11" s="199"/>
      <c r="AX11" s="173" t="e">
        <f t="shared" si="0"/>
        <v>#DIV/0!</v>
      </c>
    </row>
    <row r="12" spans="1:50" x14ac:dyDescent="0.2">
      <c r="A12" s="161" t="s">
        <v>1062</v>
      </c>
      <c r="B12" s="162">
        <v>2023</v>
      </c>
      <c r="C12" s="163"/>
      <c r="D12" s="163"/>
      <c r="E12" s="164" t="s">
        <v>1071</v>
      </c>
      <c r="F12" s="165" t="s">
        <v>1072</v>
      </c>
      <c r="G12" s="166">
        <v>40</v>
      </c>
      <c r="H12" s="167">
        <v>8</v>
      </c>
      <c r="I12" s="167">
        <v>1199.7217049999999</v>
      </c>
      <c r="J12" s="168">
        <v>1199.7217049999999</v>
      </c>
      <c r="K12" s="169">
        <v>15</v>
      </c>
      <c r="L12" s="167">
        <f t="shared" si="1"/>
        <v>299.93042624999998</v>
      </c>
      <c r="M12" s="170">
        <v>12</v>
      </c>
      <c r="N12" s="168">
        <v>39.32</v>
      </c>
      <c r="O12" s="170">
        <v>12</v>
      </c>
      <c r="P12" s="168">
        <v>34.04</v>
      </c>
      <c r="Q12" s="170"/>
      <c r="R12" s="168"/>
      <c r="S12" s="171"/>
      <c r="T12" s="168"/>
      <c r="U12" s="167"/>
      <c r="V12" s="168"/>
      <c r="W12" s="167"/>
      <c r="X12" s="168">
        <v>15</v>
      </c>
      <c r="Y12" s="167"/>
      <c r="Z12" s="168">
        <v>20</v>
      </c>
      <c r="AA12" s="167"/>
      <c r="AB12" s="172">
        <f>+Datos_Generales!$K$9</f>
        <v>3.6999999999999998E-2</v>
      </c>
      <c r="AC12" s="167"/>
      <c r="AD12" s="172">
        <v>0.33</v>
      </c>
      <c r="AE12" s="167"/>
      <c r="AF12" s="168">
        <v>18.36</v>
      </c>
      <c r="AG12" s="170"/>
      <c r="AH12" s="170"/>
      <c r="AI12" s="170"/>
      <c r="AJ12" s="170"/>
      <c r="AK12" s="170"/>
      <c r="AL12" s="170">
        <f t="shared" si="2"/>
        <v>1499.6521312499999</v>
      </c>
      <c r="AM12" s="170"/>
      <c r="AN12" s="170">
        <f t="shared" si="3"/>
        <v>126.72</v>
      </c>
      <c r="AO12" s="170"/>
      <c r="AP12" s="170">
        <f t="shared" si="4"/>
        <v>73.797881378812505</v>
      </c>
      <c r="AQ12" s="170"/>
      <c r="AR12" s="170">
        <f t="shared" si="5"/>
        <v>494.88520331249998</v>
      </c>
      <c r="AS12" s="170"/>
      <c r="AT12" s="170" t="e">
        <f>+(N12+P12)+((X12+Z12+AF12)/Datos_Generales!$E$15)</f>
        <v>#DIV/0!</v>
      </c>
      <c r="AU12" s="199"/>
      <c r="AV12" s="199">
        <f t="shared" si="6"/>
        <v>1994.5373345625001</v>
      </c>
      <c r="AW12" s="199"/>
      <c r="AX12" s="173" t="e">
        <f>+AL12+AT12+AP12+AR12</f>
        <v>#DIV/0!</v>
      </c>
    </row>
    <row r="13" spans="1:50" x14ac:dyDescent="0.2">
      <c r="A13" s="161" t="s">
        <v>1062</v>
      </c>
      <c r="B13" s="162">
        <v>2023</v>
      </c>
      <c r="C13" s="163"/>
      <c r="D13" s="163"/>
      <c r="E13" s="164" t="s">
        <v>2272</v>
      </c>
      <c r="F13" s="165" t="s">
        <v>2273</v>
      </c>
      <c r="G13" s="166">
        <v>40</v>
      </c>
      <c r="H13" s="167">
        <v>8</v>
      </c>
      <c r="I13" s="167">
        <v>1199.7217049999999</v>
      </c>
      <c r="J13" s="168">
        <v>1199.7217049999999</v>
      </c>
      <c r="K13" s="169">
        <v>12</v>
      </c>
      <c r="L13" s="167">
        <f t="shared" si="1"/>
        <v>0</v>
      </c>
      <c r="M13" s="170"/>
      <c r="N13" s="168">
        <v>39.32</v>
      </c>
      <c r="O13" s="170"/>
      <c r="P13" s="168">
        <v>34.04</v>
      </c>
      <c r="Q13" s="170"/>
      <c r="R13" s="168"/>
      <c r="S13" s="171"/>
      <c r="T13" s="168"/>
      <c r="U13" s="167"/>
      <c r="V13" s="168"/>
      <c r="W13" s="167"/>
      <c r="X13" s="168">
        <v>15</v>
      </c>
      <c r="Y13" s="167"/>
      <c r="Z13" s="168">
        <v>20</v>
      </c>
      <c r="AA13" s="167"/>
      <c r="AB13" s="172">
        <f>+Datos_Generales!$K$9</f>
        <v>3.6999999999999998E-2</v>
      </c>
      <c r="AC13" s="167"/>
      <c r="AD13" s="172">
        <v>0.33</v>
      </c>
      <c r="AE13" s="167"/>
      <c r="AF13" s="168">
        <v>18.36</v>
      </c>
      <c r="AG13" s="170"/>
      <c r="AH13" s="170"/>
      <c r="AI13" s="170"/>
      <c r="AJ13" s="170"/>
      <c r="AK13" s="170"/>
      <c r="AL13" s="170">
        <f t="shared" si="2"/>
        <v>1199.7217049999999</v>
      </c>
      <c r="AM13" s="170"/>
      <c r="AN13" s="170">
        <f t="shared" si="3"/>
        <v>126.72</v>
      </c>
      <c r="AO13" s="170"/>
      <c r="AP13" s="170">
        <f t="shared" si="4"/>
        <v>59.03830510305</v>
      </c>
      <c r="AQ13" s="170"/>
      <c r="AR13" s="170">
        <f t="shared" si="5"/>
        <v>395.90816265000001</v>
      </c>
      <c r="AS13" s="170"/>
      <c r="AT13" s="170" t="e">
        <f>+(N13+P13)+((X13+Z13+AF13)/Datos_Generales!$E$15)</f>
        <v>#DIV/0!</v>
      </c>
      <c r="AU13" s="199"/>
      <c r="AV13" s="199">
        <f t="shared" si="6"/>
        <v>1595.6298676500001</v>
      </c>
      <c r="AW13" s="199"/>
      <c r="AX13" s="173" t="e">
        <f t="shared" ref="AX13:AX76" si="7">+AL13+AT13+AP13+AR13</f>
        <v>#DIV/0!</v>
      </c>
    </row>
    <row r="14" spans="1:50" x14ac:dyDescent="0.2">
      <c r="A14" s="161" t="s">
        <v>1062</v>
      </c>
      <c r="B14" s="162">
        <v>2023</v>
      </c>
      <c r="C14" s="163"/>
      <c r="D14" s="163"/>
      <c r="E14" s="164" t="s">
        <v>1073</v>
      </c>
      <c r="F14" s="165" t="s">
        <v>1072</v>
      </c>
      <c r="G14" s="166">
        <v>40</v>
      </c>
      <c r="H14" s="167">
        <v>8</v>
      </c>
      <c r="I14" s="167">
        <v>1199.7217049999999</v>
      </c>
      <c r="J14" s="168">
        <v>1199.7217049999999</v>
      </c>
      <c r="K14" s="169">
        <v>15</v>
      </c>
      <c r="L14" s="167">
        <f t="shared" si="1"/>
        <v>299.93042624999998</v>
      </c>
      <c r="M14" s="170">
        <v>12</v>
      </c>
      <c r="N14" s="291">
        <v>39.32</v>
      </c>
      <c r="O14" s="170">
        <v>12</v>
      </c>
      <c r="P14" s="291">
        <v>34.04</v>
      </c>
      <c r="Q14" s="170"/>
      <c r="R14" s="168"/>
      <c r="S14" s="171"/>
      <c r="T14" s="168"/>
      <c r="U14" s="167"/>
      <c r="V14" s="168"/>
      <c r="W14" s="167"/>
      <c r="X14" s="168">
        <v>15</v>
      </c>
      <c r="Y14" s="167"/>
      <c r="Z14" s="168">
        <v>20</v>
      </c>
      <c r="AA14" s="167"/>
      <c r="AB14" s="292">
        <f>+Datos_Generales!$K$9</f>
        <v>3.6999999999999998E-2</v>
      </c>
      <c r="AC14" s="167"/>
      <c r="AD14" s="172">
        <v>0.33</v>
      </c>
      <c r="AE14" s="167"/>
      <c r="AF14" s="168">
        <v>18.36</v>
      </c>
      <c r="AG14" s="170"/>
      <c r="AH14" s="170"/>
      <c r="AI14" s="170"/>
      <c r="AJ14" s="170"/>
      <c r="AK14" s="170"/>
      <c r="AL14" s="170">
        <f>+J14+L14</f>
        <v>1499.6521312499999</v>
      </c>
      <c r="AM14" s="170"/>
      <c r="AN14" s="170">
        <f t="shared" si="3"/>
        <v>126.72</v>
      </c>
      <c r="AO14" s="170"/>
      <c r="AP14" s="170">
        <f t="shared" si="4"/>
        <v>73.797881378812505</v>
      </c>
      <c r="AQ14" s="170"/>
      <c r="AR14" s="170">
        <f>+AL14*AD14</f>
        <v>494.88520331249998</v>
      </c>
      <c r="AS14" s="170"/>
      <c r="AT14" s="170" t="e">
        <f>+(N14+P14)+((X14+Z14+AF14)/Datos_Generales!$E$15)</f>
        <v>#DIV/0!</v>
      </c>
      <c r="AU14" s="199"/>
      <c r="AV14" s="199">
        <f>+AL14*(1+AD14)</f>
        <v>1994.5373345625001</v>
      </c>
      <c r="AW14" s="199"/>
      <c r="AX14" s="173" t="e">
        <f t="shared" si="7"/>
        <v>#DIV/0!</v>
      </c>
    </row>
    <row r="15" spans="1:50" x14ac:dyDescent="0.2">
      <c r="A15" s="178" t="s">
        <v>2274</v>
      </c>
      <c r="B15" s="162">
        <v>2023</v>
      </c>
      <c r="C15" s="174">
        <v>0</v>
      </c>
      <c r="D15" s="175">
        <v>1794</v>
      </c>
      <c r="E15" s="176" t="s">
        <v>1063</v>
      </c>
      <c r="F15" s="165" t="s">
        <v>1064</v>
      </c>
      <c r="G15" s="166">
        <v>40</v>
      </c>
      <c r="H15" s="167">
        <v>8</v>
      </c>
      <c r="I15" s="167">
        <v>1277.07825</v>
      </c>
      <c r="J15" s="168">
        <v>1277.07825</v>
      </c>
      <c r="K15" s="169">
        <v>15</v>
      </c>
      <c r="L15" s="167">
        <f t="shared" si="1"/>
        <v>319.26956250000001</v>
      </c>
      <c r="M15" s="170">
        <v>12</v>
      </c>
      <c r="N15" s="168">
        <v>39.32</v>
      </c>
      <c r="O15" s="170">
        <v>12</v>
      </c>
      <c r="P15" s="168">
        <v>34.04</v>
      </c>
      <c r="Q15" s="170"/>
      <c r="R15" s="168"/>
      <c r="S15" s="171"/>
      <c r="T15" s="168"/>
      <c r="U15" s="167"/>
      <c r="V15" s="168"/>
      <c r="W15" s="167"/>
      <c r="X15" s="168">
        <v>15</v>
      </c>
      <c r="Y15" s="167"/>
      <c r="Z15" s="168">
        <v>20</v>
      </c>
      <c r="AA15" s="167"/>
      <c r="AB15" s="172">
        <f>+Datos_Generales!$K$9</f>
        <v>3.6999999999999998E-2</v>
      </c>
      <c r="AC15" s="167"/>
      <c r="AD15" s="172">
        <v>0.33</v>
      </c>
      <c r="AE15" s="167"/>
      <c r="AF15" s="168">
        <v>18.36</v>
      </c>
      <c r="AG15" s="170"/>
      <c r="AH15" s="170"/>
      <c r="AI15" s="170"/>
      <c r="AJ15" s="170"/>
      <c r="AK15" s="170"/>
      <c r="AL15" s="170">
        <f t="shared" si="2"/>
        <v>1596.3478125000001</v>
      </c>
      <c r="AM15" s="170"/>
      <c r="AN15" s="170">
        <f>+N16+P15+X15+Z15+AF15</f>
        <v>126.72</v>
      </c>
      <c r="AO15" s="170"/>
      <c r="AP15" s="170">
        <f t="shared" si="4"/>
        <v>78.556275853125001</v>
      </c>
      <c r="AQ15" s="170"/>
      <c r="AR15" s="170">
        <f t="shared" si="5"/>
        <v>526.79477812500011</v>
      </c>
      <c r="AS15" s="170"/>
      <c r="AT15" s="170" t="e">
        <f>+(N15+P15)+((X15+Z15+AF15)/Datos_Generales!$E$15)</f>
        <v>#DIV/0!</v>
      </c>
      <c r="AU15" s="199"/>
      <c r="AV15" s="199">
        <f t="shared" si="6"/>
        <v>2123.1425906250001</v>
      </c>
      <c r="AW15" s="199"/>
      <c r="AX15" s="173" t="e">
        <f t="shared" si="7"/>
        <v>#DIV/0!</v>
      </c>
    </row>
    <row r="16" spans="1:50" x14ac:dyDescent="0.2">
      <c r="A16" s="178" t="s">
        <v>2274</v>
      </c>
      <c r="B16" s="162">
        <v>2023</v>
      </c>
      <c r="C16" s="163"/>
      <c r="D16" s="163"/>
      <c r="E16" s="164" t="s">
        <v>1065</v>
      </c>
      <c r="F16" s="165" t="s">
        <v>1075</v>
      </c>
      <c r="G16" s="166">
        <v>40</v>
      </c>
      <c r="H16" s="167">
        <v>8</v>
      </c>
      <c r="I16" s="167">
        <v>1269.73884</v>
      </c>
      <c r="J16" s="168">
        <v>1269.73884</v>
      </c>
      <c r="K16" s="169">
        <v>15</v>
      </c>
      <c r="L16" s="167">
        <f t="shared" ref="L16:L28" si="8">+(J16*(K16-12))/12</f>
        <v>317.43471</v>
      </c>
      <c r="M16" s="170">
        <v>12</v>
      </c>
      <c r="N16" s="168">
        <v>39.32</v>
      </c>
      <c r="O16" s="170">
        <v>12</v>
      </c>
      <c r="P16" s="168">
        <v>34.04</v>
      </c>
      <c r="Q16" s="170"/>
      <c r="R16" s="168"/>
      <c r="S16" s="171"/>
      <c r="T16" s="168"/>
      <c r="U16" s="167"/>
      <c r="V16" s="168"/>
      <c r="W16" s="167"/>
      <c r="X16" s="168">
        <v>15</v>
      </c>
      <c r="Y16" s="167"/>
      <c r="Z16" s="168">
        <v>20</v>
      </c>
      <c r="AA16" s="167"/>
      <c r="AB16" s="172">
        <f>+Datos_Generales!$K$9</f>
        <v>3.6999999999999998E-2</v>
      </c>
      <c r="AC16" s="167"/>
      <c r="AD16" s="172">
        <v>0.33</v>
      </c>
      <c r="AE16" s="167"/>
      <c r="AF16" s="168">
        <v>18.36</v>
      </c>
      <c r="AG16" s="170"/>
      <c r="AH16" s="170"/>
      <c r="AI16" s="170"/>
      <c r="AJ16" s="170"/>
      <c r="AK16" s="170"/>
      <c r="AL16" s="170">
        <f t="shared" si="2"/>
        <v>1587.17355</v>
      </c>
      <c r="AM16" s="170"/>
      <c r="AN16" s="170">
        <f t="shared" si="3"/>
        <v>126.72</v>
      </c>
      <c r="AO16" s="170"/>
      <c r="AP16" s="170">
        <f t="shared" si="4"/>
        <v>78.104810395499996</v>
      </c>
      <c r="AQ16" s="170"/>
      <c r="AR16" s="170">
        <f t="shared" si="5"/>
        <v>523.76727149999999</v>
      </c>
      <c r="AS16" s="170"/>
      <c r="AT16" s="170" t="e">
        <f>+(N16+P16)+((X16+Z16+AF16)/Datos_Generales!$E$15)</f>
        <v>#DIV/0!</v>
      </c>
      <c r="AU16" s="199"/>
      <c r="AV16" s="199">
        <f t="shared" si="6"/>
        <v>2110.9408214999999</v>
      </c>
      <c r="AW16" s="199"/>
      <c r="AX16" s="173" t="e">
        <f t="shared" si="7"/>
        <v>#DIV/0!</v>
      </c>
    </row>
    <row r="17" spans="1:50" x14ac:dyDescent="0.2">
      <c r="A17" s="178" t="s">
        <v>2274</v>
      </c>
      <c r="B17" s="162">
        <v>2023</v>
      </c>
      <c r="C17" s="163"/>
      <c r="D17" s="163"/>
      <c r="E17" s="164" t="s">
        <v>1067</v>
      </c>
      <c r="F17" s="165" t="s">
        <v>1076</v>
      </c>
      <c r="G17" s="166">
        <v>40</v>
      </c>
      <c r="H17" s="167">
        <v>8</v>
      </c>
      <c r="I17" s="167">
        <v>1237.7988150000001</v>
      </c>
      <c r="J17" s="168">
        <v>1237.7988150000001</v>
      </c>
      <c r="K17" s="169">
        <v>15</v>
      </c>
      <c r="L17" s="167">
        <f t="shared" si="8"/>
        <v>309.44970375000003</v>
      </c>
      <c r="M17" s="170">
        <v>12</v>
      </c>
      <c r="N17" s="168">
        <v>39.32</v>
      </c>
      <c r="O17" s="170">
        <v>12</v>
      </c>
      <c r="P17" s="168">
        <v>34.04</v>
      </c>
      <c r="Q17" s="170"/>
      <c r="R17" s="168"/>
      <c r="S17" s="171"/>
      <c r="T17" s="168"/>
      <c r="U17" s="167"/>
      <c r="V17" s="168"/>
      <c r="W17" s="167"/>
      <c r="X17" s="168">
        <v>15</v>
      </c>
      <c r="Y17" s="167"/>
      <c r="Z17" s="168">
        <v>20</v>
      </c>
      <c r="AA17" s="167"/>
      <c r="AB17" s="172">
        <f>+Datos_Generales!$K$9</f>
        <v>3.6999999999999998E-2</v>
      </c>
      <c r="AC17" s="167"/>
      <c r="AD17" s="172">
        <v>0.33</v>
      </c>
      <c r="AE17" s="167"/>
      <c r="AF17" s="168">
        <v>18.36</v>
      </c>
      <c r="AG17" s="170"/>
      <c r="AH17" s="170"/>
      <c r="AI17" s="170"/>
      <c r="AJ17" s="170"/>
      <c r="AK17" s="170"/>
      <c r="AL17" s="170">
        <f t="shared" si="2"/>
        <v>1547.2485187500001</v>
      </c>
      <c r="AM17" s="170"/>
      <c r="AN17" s="170">
        <f t="shared" si="3"/>
        <v>126.72</v>
      </c>
      <c r="AO17" s="170"/>
      <c r="AP17" s="170">
        <f t="shared" si="4"/>
        <v>76.140099607687503</v>
      </c>
      <c r="AQ17" s="170"/>
      <c r="AR17" s="170">
        <f t="shared" si="5"/>
        <v>510.59201118750008</v>
      </c>
      <c r="AS17" s="170"/>
      <c r="AT17" s="170" t="e">
        <f>+(N17+P17)+((X17+Z17+AF17)/Datos_Generales!$E$15)</f>
        <v>#DIV/0!</v>
      </c>
      <c r="AU17" s="199"/>
      <c r="AV17" s="199">
        <f t="shared" si="6"/>
        <v>2057.8405299375004</v>
      </c>
      <c r="AW17" s="199"/>
      <c r="AX17" s="173" t="e">
        <f t="shared" si="7"/>
        <v>#DIV/0!</v>
      </c>
    </row>
    <row r="18" spans="1:50" x14ac:dyDescent="0.2">
      <c r="A18" s="178" t="s">
        <v>2274</v>
      </c>
      <c r="B18" s="162">
        <v>2023</v>
      </c>
      <c r="C18" s="163"/>
      <c r="D18" s="163"/>
      <c r="E18" s="164" t="s">
        <v>1069</v>
      </c>
      <c r="F18" s="165" t="s">
        <v>1077</v>
      </c>
      <c r="G18" s="166">
        <v>40</v>
      </c>
      <c r="H18" s="167">
        <v>8</v>
      </c>
      <c r="I18" s="167">
        <v>1206.5069999999998</v>
      </c>
      <c r="J18" s="168">
        <v>1206.5069999999998</v>
      </c>
      <c r="K18" s="169">
        <v>15</v>
      </c>
      <c r="L18" s="167">
        <f t="shared" si="8"/>
        <v>301.62674999999996</v>
      </c>
      <c r="M18" s="170">
        <v>12</v>
      </c>
      <c r="N18" s="168">
        <v>39.32</v>
      </c>
      <c r="O18" s="170">
        <v>12</v>
      </c>
      <c r="P18" s="168">
        <v>34.04</v>
      </c>
      <c r="Q18" s="170"/>
      <c r="R18" s="168"/>
      <c r="S18" s="171"/>
      <c r="T18" s="168"/>
      <c r="U18" s="167"/>
      <c r="V18" s="168"/>
      <c r="W18" s="167"/>
      <c r="X18" s="168">
        <v>15</v>
      </c>
      <c r="Y18" s="167"/>
      <c r="Z18" s="168">
        <v>20</v>
      </c>
      <c r="AA18" s="167"/>
      <c r="AB18" s="172">
        <f>+Datos_Generales!$K$9</f>
        <v>3.6999999999999998E-2</v>
      </c>
      <c r="AC18" s="167"/>
      <c r="AD18" s="172">
        <v>0.33</v>
      </c>
      <c r="AE18" s="167"/>
      <c r="AF18" s="168">
        <v>18.36</v>
      </c>
      <c r="AG18" s="170"/>
      <c r="AH18" s="170"/>
      <c r="AI18" s="170"/>
      <c r="AJ18" s="170"/>
      <c r="AK18" s="170"/>
      <c r="AL18" s="170">
        <f t="shared" si="2"/>
        <v>1508.1337499999997</v>
      </c>
      <c r="AM18" s="170"/>
      <c r="AN18" s="170">
        <f t="shared" si="3"/>
        <v>126.72</v>
      </c>
      <c r="AO18" s="170"/>
      <c r="AP18" s="170">
        <f t="shared" si="4"/>
        <v>74.215261837499995</v>
      </c>
      <c r="AQ18" s="170"/>
      <c r="AR18" s="170">
        <f t="shared" si="5"/>
        <v>497.68413749999996</v>
      </c>
      <c r="AS18" s="170"/>
      <c r="AT18" s="170" t="e">
        <f>+(N18+P18)+((X18+Z18+AF18)/Datos_Generales!$E$15)</f>
        <v>#DIV/0!</v>
      </c>
      <c r="AU18" s="199"/>
      <c r="AV18" s="199">
        <f t="shared" si="6"/>
        <v>2005.8178874999999</v>
      </c>
      <c r="AW18" s="199"/>
      <c r="AX18" s="173" t="e">
        <f t="shared" si="7"/>
        <v>#DIV/0!</v>
      </c>
    </row>
    <row r="19" spans="1:50" x14ac:dyDescent="0.2">
      <c r="A19" s="178" t="s">
        <v>2274</v>
      </c>
      <c r="B19" s="162">
        <v>2023</v>
      </c>
      <c r="C19" s="163"/>
      <c r="D19" s="163"/>
      <c r="E19" s="164" t="s">
        <v>2275</v>
      </c>
      <c r="F19" s="165" t="s">
        <v>1078</v>
      </c>
      <c r="G19" s="166">
        <v>40</v>
      </c>
      <c r="H19" s="167">
        <v>8</v>
      </c>
      <c r="I19" s="167">
        <v>1177.954395</v>
      </c>
      <c r="J19" s="168">
        <v>1177.954395</v>
      </c>
      <c r="K19" s="169">
        <v>15</v>
      </c>
      <c r="L19" s="167">
        <f t="shared" si="8"/>
        <v>294.48859874999999</v>
      </c>
      <c r="M19" s="170">
        <v>12</v>
      </c>
      <c r="N19" s="168">
        <v>39.32</v>
      </c>
      <c r="O19" s="170">
        <v>12</v>
      </c>
      <c r="P19" s="168">
        <v>34.04</v>
      </c>
      <c r="Q19" s="170"/>
      <c r="R19" s="168"/>
      <c r="S19" s="171"/>
      <c r="T19" s="168"/>
      <c r="U19" s="167"/>
      <c r="V19" s="168"/>
      <c r="W19" s="167"/>
      <c r="X19" s="168">
        <v>15</v>
      </c>
      <c r="Y19" s="167"/>
      <c r="Z19" s="168">
        <v>20</v>
      </c>
      <c r="AA19" s="167"/>
      <c r="AB19" s="172">
        <f>+Datos_Generales!$K$9</f>
        <v>3.6999999999999998E-2</v>
      </c>
      <c r="AC19" s="167"/>
      <c r="AD19" s="172">
        <v>0.33</v>
      </c>
      <c r="AE19" s="167"/>
      <c r="AF19" s="168">
        <v>18.36</v>
      </c>
      <c r="AG19" s="170"/>
      <c r="AH19" s="170"/>
      <c r="AI19" s="170"/>
      <c r="AJ19" s="170"/>
      <c r="AK19" s="170"/>
      <c r="AL19" s="170">
        <f t="shared" si="2"/>
        <v>1472.4429937499999</v>
      </c>
      <c r="AM19" s="170"/>
      <c r="AN19" s="170">
        <f t="shared" si="3"/>
        <v>126.72</v>
      </c>
      <c r="AO19" s="170"/>
      <c r="AP19" s="170">
        <f t="shared" si="4"/>
        <v>72.4589197224375</v>
      </c>
      <c r="AQ19" s="170"/>
      <c r="AR19" s="170">
        <f t="shared" si="5"/>
        <v>485.90618793750002</v>
      </c>
      <c r="AS19" s="170"/>
      <c r="AT19" s="170" t="e">
        <f>+(N19+P19)+((X19+Z19+AF19)/Datos_Generales!$E$15)</f>
        <v>#DIV/0!</v>
      </c>
      <c r="AU19" s="199"/>
      <c r="AV19" s="199">
        <f t="shared" si="6"/>
        <v>1958.3491816875</v>
      </c>
      <c r="AW19" s="199"/>
      <c r="AX19" s="173" t="e">
        <f t="shared" si="7"/>
        <v>#DIV/0!</v>
      </c>
    </row>
    <row r="20" spans="1:50" x14ac:dyDescent="0.2">
      <c r="A20" s="178" t="s">
        <v>2274</v>
      </c>
      <c r="B20" s="162">
        <v>2023</v>
      </c>
      <c r="C20" s="163"/>
      <c r="D20" s="163"/>
      <c r="E20" s="164" t="s">
        <v>1168</v>
      </c>
      <c r="F20" s="165" t="s">
        <v>2276</v>
      </c>
      <c r="G20" s="166">
        <v>40</v>
      </c>
      <c r="H20" s="167">
        <v>8</v>
      </c>
      <c r="I20" s="167">
        <v>1177.954395</v>
      </c>
      <c r="J20" s="168">
        <v>1177.954395</v>
      </c>
      <c r="K20" s="169">
        <v>15</v>
      </c>
      <c r="L20" s="167">
        <f t="shared" si="8"/>
        <v>294.48859874999999</v>
      </c>
      <c r="M20" s="170">
        <v>12</v>
      </c>
      <c r="N20" s="168">
        <v>39.32</v>
      </c>
      <c r="O20" s="170">
        <v>12</v>
      </c>
      <c r="P20" s="168">
        <v>34.04</v>
      </c>
      <c r="Q20" s="170"/>
      <c r="R20" s="168"/>
      <c r="S20" s="171"/>
      <c r="T20" s="168"/>
      <c r="U20" s="167"/>
      <c r="V20" s="168"/>
      <c r="W20" s="167"/>
      <c r="X20" s="168">
        <v>15</v>
      </c>
      <c r="Y20" s="167"/>
      <c r="Z20" s="168">
        <v>20</v>
      </c>
      <c r="AA20" s="167"/>
      <c r="AB20" s="172">
        <f>+Datos_Generales!$K$9</f>
        <v>3.6999999999999998E-2</v>
      </c>
      <c r="AC20" s="167"/>
      <c r="AD20" s="172">
        <v>0.33</v>
      </c>
      <c r="AE20" s="167"/>
      <c r="AF20" s="168">
        <v>18.36</v>
      </c>
      <c r="AG20" s="170"/>
      <c r="AH20" s="170"/>
      <c r="AI20" s="170"/>
      <c r="AJ20" s="170"/>
      <c r="AK20" s="170"/>
      <c r="AL20" s="170">
        <f t="shared" si="2"/>
        <v>1472.4429937499999</v>
      </c>
      <c r="AM20" s="170"/>
      <c r="AN20" s="170">
        <f t="shared" si="3"/>
        <v>126.72</v>
      </c>
      <c r="AO20" s="170"/>
      <c r="AP20" s="170">
        <f t="shared" si="4"/>
        <v>72.4589197224375</v>
      </c>
      <c r="AQ20" s="170"/>
      <c r="AR20" s="170">
        <f t="shared" si="5"/>
        <v>485.90618793750002</v>
      </c>
      <c r="AS20" s="170"/>
      <c r="AT20" s="170" t="e">
        <f>+(N20+P20)+((X20+Z20+AF20)/Datos_Generales!$E$15)</f>
        <v>#DIV/0!</v>
      </c>
      <c r="AU20" s="199"/>
      <c r="AV20" s="199">
        <f t="shared" si="6"/>
        <v>1958.3491816875</v>
      </c>
      <c r="AW20" s="199"/>
      <c r="AX20" s="173" t="e">
        <f t="shared" si="7"/>
        <v>#DIV/0!</v>
      </c>
    </row>
    <row r="21" spans="1:50" x14ac:dyDescent="0.2">
      <c r="A21" s="178" t="s">
        <v>2274</v>
      </c>
      <c r="B21" s="162">
        <v>2023</v>
      </c>
      <c r="C21" s="163"/>
      <c r="D21" s="163"/>
      <c r="E21" s="164" t="s">
        <v>2272</v>
      </c>
      <c r="F21" s="165" t="s">
        <v>2273</v>
      </c>
      <c r="G21" s="166">
        <v>40</v>
      </c>
      <c r="H21" s="167">
        <v>8</v>
      </c>
      <c r="I21" s="167">
        <v>1219.7430299999999</v>
      </c>
      <c r="J21" s="168">
        <v>1219.7430299999999</v>
      </c>
      <c r="K21" s="169">
        <v>12</v>
      </c>
      <c r="L21" s="167">
        <f t="shared" si="8"/>
        <v>0</v>
      </c>
      <c r="M21" s="170"/>
      <c r="N21" s="168">
        <v>39.32</v>
      </c>
      <c r="O21" s="170"/>
      <c r="P21" s="168">
        <v>34.04</v>
      </c>
      <c r="Q21" s="170"/>
      <c r="R21" s="168"/>
      <c r="S21" s="171"/>
      <c r="T21" s="168"/>
      <c r="U21" s="167"/>
      <c r="V21" s="168"/>
      <c r="W21" s="167"/>
      <c r="X21" s="168">
        <v>15</v>
      </c>
      <c r="Y21" s="167"/>
      <c r="Z21" s="168">
        <v>20</v>
      </c>
      <c r="AA21" s="167"/>
      <c r="AB21" s="172">
        <f>+Datos_Generales!$K$9</f>
        <v>3.6999999999999998E-2</v>
      </c>
      <c r="AC21" s="167"/>
      <c r="AD21" s="172">
        <v>0.33</v>
      </c>
      <c r="AE21" s="167"/>
      <c r="AF21" s="168">
        <v>18.36</v>
      </c>
      <c r="AG21" s="170"/>
      <c r="AH21" s="170"/>
      <c r="AI21" s="170"/>
      <c r="AJ21" s="170"/>
      <c r="AK21" s="170"/>
      <c r="AL21" s="170">
        <f t="shared" si="2"/>
        <v>1219.7430299999999</v>
      </c>
      <c r="AM21" s="170"/>
      <c r="AN21" s="170">
        <f t="shared" si="3"/>
        <v>126.72</v>
      </c>
      <c r="AO21" s="170"/>
      <c r="AP21" s="170">
        <f t="shared" si="4"/>
        <v>60.023554506299988</v>
      </c>
      <c r="AQ21" s="170"/>
      <c r="AR21" s="170">
        <f t="shared" si="5"/>
        <v>402.51519989999997</v>
      </c>
      <c r="AS21" s="170"/>
      <c r="AT21" s="170" t="e">
        <f>+(N21+P21)+((X21+Z21+AF21)/Datos_Generales!$E$15)</f>
        <v>#DIV/0!</v>
      </c>
      <c r="AU21" s="199"/>
      <c r="AV21" s="199">
        <f t="shared" si="6"/>
        <v>1622.2582298999998</v>
      </c>
      <c r="AW21" s="199"/>
      <c r="AX21" s="173" t="e">
        <f t="shared" si="7"/>
        <v>#DIV/0!</v>
      </c>
    </row>
    <row r="22" spans="1:50" x14ac:dyDescent="0.2">
      <c r="A22" s="178" t="s">
        <v>2274</v>
      </c>
      <c r="B22" s="162">
        <v>2023</v>
      </c>
      <c r="C22" s="163"/>
      <c r="D22" s="163"/>
      <c r="E22" s="164" t="s">
        <v>1073</v>
      </c>
      <c r="F22" s="165" t="s">
        <v>1078</v>
      </c>
      <c r="G22" s="166">
        <v>40</v>
      </c>
      <c r="H22" s="167">
        <v>8</v>
      </c>
      <c r="I22" s="167">
        <v>1198.0698150000001</v>
      </c>
      <c r="J22" s="168">
        <v>1198.0698150000001</v>
      </c>
      <c r="K22" s="169">
        <v>15</v>
      </c>
      <c r="L22" s="167">
        <f t="shared" si="8"/>
        <v>299.51745375000002</v>
      </c>
      <c r="M22" s="170">
        <v>12</v>
      </c>
      <c r="N22" s="168">
        <v>39.32</v>
      </c>
      <c r="O22" s="170">
        <v>12</v>
      </c>
      <c r="P22" s="168">
        <v>34.04</v>
      </c>
      <c r="Q22" s="170"/>
      <c r="R22" s="168"/>
      <c r="S22" s="171"/>
      <c r="T22" s="168"/>
      <c r="U22" s="167"/>
      <c r="V22" s="168"/>
      <c r="W22" s="167"/>
      <c r="X22" s="168">
        <v>15</v>
      </c>
      <c r="Y22" s="167"/>
      <c r="Z22" s="168">
        <v>20</v>
      </c>
      <c r="AA22" s="167"/>
      <c r="AB22" s="172">
        <f>+Datos_Generales!$K$9</f>
        <v>3.6999999999999998E-2</v>
      </c>
      <c r="AC22" s="167"/>
      <c r="AD22" s="172">
        <v>0.33</v>
      </c>
      <c r="AE22" s="167"/>
      <c r="AF22" s="168">
        <v>18.36</v>
      </c>
      <c r="AG22" s="170"/>
      <c r="AH22" s="170"/>
      <c r="AI22" s="170"/>
      <c r="AJ22" s="170"/>
      <c r="AK22" s="170"/>
      <c r="AL22" s="170">
        <f t="shared" si="2"/>
        <v>1497.58726875</v>
      </c>
      <c r="AM22" s="170"/>
      <c r="AN22" s="170">
        <f t="shared" si="3"/>
        <v>126.72</v>
      </c>
      <c r="AO22" s="170"/>
      <c r="AP22" s="170">
        <f t="shared" si="4"/>
        <v>73.696269495187494</v>
      </c>
      <c r="AQ22" s="170"/>
      <c r="AR22" s="170">
        <f t="shared" si="5"/>
        <v>494.20379868750001</v>
      </c>
      <c r="AS22" s="170"/>
      <c r="AT22" s="170" t="e">
        <f>+(N22+P22)+((X22+Z22+AF22)/Datos_Generales!$E$15)</f>
        <v>#DIV/0!</v>
      </c>
      <c r="AU22" s="199"/>
      <c r="AV22" s="199">
        <f t="shared" si="6"/>
        <v>1991.7910674375</v>
      </c>
      <c r="AW22" s="199"/>
      <c r="AX22" s="173" t="e">
        <f t="shared" si="7"/>
        <v>#DIV/0!</v>
      </c>
    </row>
    <row r="23" spans="1:50" x14ac:dyDescent="0.2">
      <c r="A23" s="178" t="s">
        <v>2274</v>
      </c>
      <c r="B23" s="162">
        <v>2023</v>
      </c>
      <c r="C23" s="174"/>
      <c r="D23" s="175"/>
      <c r="E23" s="176" t="s">
        <v>1354</v>
      </c>
      <c r="F23" s="165" t="s">
        <v>2277</v>
      </c>
      <c r="G23" s="166">
        <v>20</v>
      </c>
      <c r="H23" s="167">
        <v>4</v>
      </c>
      <c r="I23" s="167">
        <v>1547.31909</v>
      </c>
      <c r="J23" s="168">
        <v>1547.31909</v>
      </c>
      <c r="K23" s="169">
        <v>15</v>
      </c>
      <c r="L23" s="167">
        <f t="shared" si="8"/>
        <v>386.82977249999999</v>
      </c>
      <c r="M23" s="170">
        <v>12</v>
      </c>
      <c r="N23" s="168">
        <v>39.32</v>
      </c>
      <c r="O23" s="170">
        <v>12</v>
      </c>
      <c r="P23" s="168">
        <v>34.04</v>
      </c>
      <c r="Q23" s="170"/>
      <c r="R23" s="168"/>
      <c r="S23" s="171"/>
      <c r="T23" s="168"/>
      <c r="U23" s="167"/>
      <c r="V23" s="168"/>
      <c r="W23" s="167"/>
      <c r="X23" s="168">
        <v>15</v>
      </c>
      <c r="Y23" s="167"/>
      <c r="Z23" s="168">
        <v>20</v>
      </c>
      <c r="AA23" s="167"/>
      <c r="AB23" s="172">
        <f>+Datos_Generales!$K$9</f>
        <v>3.6999999999999998E-2</v>
      </c>
      <c r="AC23" s="167"/>
      <c r="AD23" s="172">
        <v>0.33</v>
      </c>
      <c r="AE23" s="167"/>
      <c r="AF23" s="168">
        <v>18.36</v>
      </c>
      <c r="AG23" s="170"/>
      <c r="AH23" s="170"/>
      <c r="AI23" s="170"/>
      <c r="AJ23" s="170"/>
      <c r="AK23" s="170"/>
      <c r="AL23" s="170">
        <f t="shared" si="2"/>
        <v>1934.1488625</v>
      </c>
      <c r="AM23" s="170"/>
      <c r="AN23" s="170">
        <f t="shared" si="3"/>
        <v>126.72</v>
      </c>
      <c r="AO23" s="170"/>
      <c r="AP23" s="170">
        <f t="shared" si="4"/>
        <v>95.179465523624984</v>
      </c>
      <c r="AQ23" s="170"/>
      <c r="AR23" s="170">
        <f t="shared" si="5"/>
        <v>638.26912462500002</v>
      </c>
      <c r="AS23" s="170"/>
      <c r="AT23" s="170" t="e">
        <f>+(N23+P23)+((X23+Z23+AF23)/Datos_Generales!$E$15)</f>
        <v>#DIV/0!</v>
      </c>
      <c r="AU23" s="199"/>
      <c r="AV23" s="199">
        <f t="shared" si="6"/>
        <v>2572.4179871249999</v>
      </c>
      <c r="AW23" s="199"/>
      <c r="AX23" s="173" t="e">
        <f t="shared" si="7"/>
        <v>#DIV/0!</v>
      </c>
    </row>
    <row r="24" spans="1:50" x14ac:dyDescent="0.2">
      <c r="A24" s="178" t="s">
        <v>2274</v>
      </c>
      <c r="B24" s="162">
        <v>2023</v>
      </c>
      <c r="C24" s="163"/>
      <c r="D24" s="163"/>
      <c r="E24" s="164" t="s">
        <v>1336</v>
      </c>
      <c r="F24" s="165" t="s">
        <v>2277</v>
      </c>
      <c r="G24" s="166">
        <v>17.5</v>
      </c>
      <c r="H24" s="167">
        <v>3.5</v>
      </c>
      <c r="I24" s="167">
        <v>1547.3159094426298</v>
      </c>
      <c r="J24" s="168">
        <v>1547.3159094426298</v>
      </c>
      <c r="K24" s="169">
        <v>15</v>
      </c>
      <c r="L24" s="167">
        <f t="shared" si="8"/>
        <v>386.82897736065746</v>
      </c>
      <c r="M24" s="170">
        <v>12</v>
      </c>
      <c r="N24" s="168">
        <v>39.32</v>
      </c>
      <c r="O24" s="170">
        <v>12</v>
      </c>
      <c r="P24" s="168">
        <v>34.04</v>
      </c>
      <c r="Q24" s="170"/>
      <c r="R24" s="168"/>
      <c r="S24" s="171"/>
      <c r="T24" s="168"/>
      <c r="U24" s="167"/>
      <c r="V24" s="168"/>
      <c r="W24" s="167"/>
      <c r="X24" s="168">
        <v>15</v>
      </c>
      <c r="Y24" s="167"/>
      <c r="Z24" s="168">
        <v>20</v>
      </c>
      <c r="AA24" s="167"/>
      <c r="AB24" s="172">
        <f>+Datos_Generales!$K$9</f>
        <v>3.6999999999999998E-2</v>
      </c>
      <c r="AC24" s="167"/>
      <c r="AD24" s="172">
        <v>0.33</v>
      </c>
      <c r="AE24" s="167"/>
      <c r="AF24" s="168">
        <v>18.36</v>
      </c>
      <c r="AG24" s="170"/>
      <c r="AH24" s="170"/>
      <c r="AI24" s="170"/>
      <c r="AJ24" s="170"/>
      <c r="AK24" s="170"/>
      <c r="AL24" s="170">
        <f t="shared" si="2"/>
        <v>1934.1448868032874</v>
      </c>
      <c r="AM24" s="170"/>
      <c r="AN24" s="170">
        <f t="shared" si="3"/>
        <v>126.72</v>
      </c>
      <c r="AO24" s="170"/>
      <c r="AP24" s="170">
        <f t="shared" si="4"/>
        <v>95.179269879589768</v>
      </c>
      <c r="AQ24" s="170"/>
      <c r="AR24" s="170">
        <f t="shared" si="5"/>
        <v>638.26781264508486</v>
      </c>
      <c r="AS24" s="170"/>
      <c r="AT24" s="170" t="e">
        <f>+(N24+P24)+((X24+Z24+AF24)/Datos_Generales!$E$15)</f>
        <v>#DIV/0!</v>
      </c>
      <c r="AU24" s="199"/>
      <c r="AV24" s="199">
        <f t="shared" si="6"/>
        <v>2572.4126994483722</v>
      </c>
      <c r="AW24" s="199"/>
      <c r="AX24" s="173" t="e">
        <f t="shared" si="7"/>
        <v>#DIV/0!</v>
      </c>
    </row>
    <row r="25" spans="1:50" x14ac:dyDescent="0.2">
      <c r="A25" s="178" t="s">
        <v>2274</v>
      </c>
      <c r="B25" s="162">
        <v>2023</v>
      </c>
      <c r="C25" s="163"/>
      <c r="D25" s="163"/>
      <c r="E25" s="164" t="s">
        <v>1319</v>
      </c>
      <c r="F25" s="165" t="s">
        <v>2277</v>
      </c>
      <c r="G25" s="166">
        <v>15</v>
      </c>
      <c r="H25" s="167">
        <v>3</v>
      </c>
      <c r="I25" s="167">
        <v>1547.3196</v>
      </c>
      <c r="J25" s="168">
        <v>1547.3196</v>
      </c>
      <c r="K25" s="169">
        <v>15</v>
      </c>
      <c r="L25" s="167">
        <f t="shared" si="8"/>
        <v>386.82990000000001</v>
      </c>
      <c r="M25" s="170">
        <v>12</v>
      </c>
      <c r="N25" s="168">
        <v>39.32</v>
      </c>
      <c r="O25" s="170">
        <v>12</v>
      </c>
      <c r="P25" s="168">
        <v>34.04</v>
      </c>
      <c r="Q25" s="170"/>
      <c r="R25" s="168"/>
      <c r="S25" s="171"/>
      <c r="T25" s="168"/>
      <c r="U25" s="167"/>
      <c r="V25" s="168"/>
      <c r="W25" s="167"/>
      <c r="X25" s="168">
        <v>15</v>
      </c>
      <c r="Y25" s="167"/>
      <c r="Z25" s="168">
        <v>20</v>
      </c>
      <c r="AA25" s="167"/>
      <c r="AB25" s="172">
        <f>+Datos_Generales!$K$9</f>
        <v>3.6999999999999998E-2</v>
      </c>
      <c r="AC25" s="167"/>
      <c r="AD25" s="172">
        <v>0.33</v>
      </c>
      <c r="AE25" s="167"/>
      <c r="AF25" s="168">
        <v>18.36</v>
      </c>
      <c r="AG25" s="170"/>
      <c r="AH25" s="170"/>
      <c r="AI25" s="170"/>
      <c r="AJ25" s="170"/>
      <c r="AK25" s="170"/>
      <c r="AL25" s="170">
        <f t="shared" si="2"/>
        <v>1934.1495</v>
      </c>
      <c r="AM25" s="170"/>
      <c r="AN25" s="170">
        <f t="shared" si="3"/>
        <v>126.72</v>
      </c>
      <c r="AO25" s="170"/>
      <c r="AP25" s="170">
        <f t="shared" si="4"/>
        <v>95.179496895</v>
      </c>
      <c r="AQ25" s="170"/>
      <c r="AR25" s="170">
        <f t="shared" si="5"/>
        <v>638.26933500000007</v>
      </c>
      <c r="AS25" s="170"/>
      <c r="AT25" s="170" t="e">
        <f>+(N25+P25)+((X25+Z25+AF25)/Datos_Generales!$E$15)</f>
        <v>#DIV/0!</v>
      </c>
      <c r="AU25" s="199"/>
      <c r="AV25" s="199">
        <f t="shared" si="6"/>
        <v>2572.4188349999999</v>
      </c>
      <c r="AW25" s="199"/>
      <c r="AX25" s="173" t="e">
        <f t="shared" si="7"/>
        <v>#DIV/0!</v>
      </c>
    </row>
    <row r="26" spans="1:50" x14ac:dyDescent="0.2">
      <c r="A26" s="178" t="s">
        <v>2274</v>
      </c>
      <c r="B26" s="162">
        <v>2023</v>
      </c>
      <c r="C26" s="163"/>
      <c r="D26" s="163"/>
      <c r="E26" s="164" t="s">
        <v>1300</v>
      </c>
      <c r="F26" s="165" t="s">
        <v>2277</v>
      </c>
      <c r="G26" s="166">
        <v>12.5</v>
      </c>
      <c r="H26" s="167">
        <v>2.5</v>
      </c>
      <c r="I26" s="167">
        <v>1547.3196</v>
      </c>
      <c r="J26" s="168">
        <v>1547.3196</v>
      </c>
      <c r="K26" s="169">
        <v>15</v>
      </c>
      <c r="L26" s="167">
        <f t="shared" si="8"/>
        <v>386.82990000000001</v>
      </c>
      <c r="M26" s="170">
        <v>12</v>
      </c>
      <c r="N26" s="168">
        <v>39.32</v>
      </c>
      <c r="O26" s="170">
        <v>12</v>
      </c>
      <c r="P26" s="168">
        <v>34.04</v>
      </c>
      <c r="Q26" s="170"/>
      <c r="R26" s="168"/>
      <c r="S26" s="171"/>
      <c r="T26" s="168"/>
      <c r="U26" s="167"/>
      <c r="V26" s="168"/>
      <c r="W26" s="167"/>
      <c r="X26" s="168">
        <v>15</v>
      </c>
      <c r="Y26" s="167"/>
      <c r="Z26" s="168">
        <v>20</v>
      </c>
      <c r="AA26" s="167"/>
      <c r="AB26" s="172">
        <f>+Datos_Generales!$K$9</f>
        <v>3.6999999999999998E-2</v>
      </c>
      <c r="AC26" s="167"/>
      <c r="AD26" s="172">
        <v>0.33</v>
      </c>
      <c r="AE26" s="167"/>
      <c r="AF26" s="168">
        <v>18.36</v>
      </c>
      <c r="AG26" s="170"/>
      <c r="AH26" s="170"/>
      <c r="AI26" s="170"/>
      <c r="AJ26" s="170"/>
      <c r="AK26" s="170"/>
      <c r="AL26" s="170">
        <f t="shared" si="2"/>
        <v>1934.1495</v>
      </c>
      <c r="AM26" s="170"/>
      <c r="AN26" s="170">
        <f t="shared" si="3"/>
        <v>126.72</v>
      </c>
      <c r="AO26" s="170"/>
      <c r="AP26" s="170">
        <f t="shared" si="4"/>
        <v>95.179496895</v>
      </c>
      <c r="AQ26" s="170"/>
      <c r="AR26" s="170">
        <f t="shared" si="5"/>
        <v>638.26933500000007</v>
      </c>
      <c r="AS26" s="170"/>
      <c r="AT26" s="170" t="e">
        <f>+(N26+P26)+((X26+Z26+AF26)/Datos_Generales!$E$15)</f>
        <v>#DIV/0!</v>
      </c>
      <c r="AU26" s="199"/>
      <c r="AV26" s="199">
        <f t="shared" si="6"/>
        <v>2572.4188349999999</v>
      </c>
      <c r="AW26" s="199"/>
      <c r="AX26" s="173" t="e">
        <f t="shared" si="7"/>
        <v>#DIV/0!</v>
      </c>
    </row>
    <row r="27" spans="1:50" x14ac:dyDescent="0.2">
      <c r="A27" s="178" t="s">
        <v>2274</v>
      </c>
      <c r="B27" s="162">
        <v>2023</v>
      </c>
      <c r="C27" s="163"/>
      <c r="D27" s="163"/>
      <c r="E27" s="164" t="s">
        <v>1279</v>
      </c>
      <c r="F27" s="165" t="s">
        <v>2277</v>
      </c>
      <c r="G27" s="166">
        <v>10</v>
      </c>
      <c r="H27" s="167">
        <v>2</v>
      </c>
      <c r="I27" s="167">
        <v>1547.3196</v>
      </c>
      <c r="J27" s="168">
        <v>1547.3196</v>
      </c>
      <c r="K27" s="169">
        <v>15</v>
      </c>
      <c r="L27" s="167">
        <f t="shared" si="8"/>
        <v>386.82990000000001</v>
      </c>
      <c r="M27" s="170">
        <v>12</v>
      </c>
      <c r="N27" s="168">
        <v>39.32</v>
      </c>
      <c r="O27" s="170">
        <v>12</v>
      </c>
      <c r="P27" s="168">
        <v>34.04</v>
      </c>
      <c r="Q27" s="170"/>
      <c r="R27" s="168"/>
      <c r="S27" s="171"/>
      <c r="T27" s="168"/>
      <c r="U27" s="167"/>
      <c r="V27" s="168"/>
      <c r="W27" s="167"/>
      <c r="X27" s="168">
        <v>15</v>
      </c>
      <c r="Y27" s="167"/>
      <c r="Z27" s="168">
        <v>20</v>
      </c>
      <c r="AA27" s="167"/>
      <c r="AB27" s="172">
        <f>+Datos_Generales!$K$9</f>
        <v>3.6999999999999998E-2</v>
      </c>
      <c r="AC27" s="167"/>
      <c r="AD27" s="172">
        <v>0.33</v>
      </c>
      <c r="AE27" s="167"/>
      <c r="AF27" s="168">
        <v>18.36</v>
      </c>
      <c r="AG27" s="170"/>
      <c r="AH27" s="170"/>
      <c r="AI27" s="170"/>
      <c r="AJ27" s="170"/>
      <c r="AK27" s="170"/>
      <c r="AL27" s="170">
        <f t="shared" si="2"/>
        <v>1934.1495</v>
      </c>
      <c r="AM27" s="170"/>
      <c r="AN27" s="170">
        <f t="shared" si="3"/>
        <v>126.72</v>
      </c>
      <c r="AO27" s="170"/>
      <c r="AP27" s="170">
        <f t="shared" si="4"/>
        <v>95.179496895</v>
      </c>
      <c r="AQ27" s="170"/>
      <c r="AR27" s="170">
        <f t="shared" si="5"/>
        <v>638.26933500000007</v>
      </c>
      <c r="AS27" s="170"/>
      <c r="AT27" s="170" t="e">
        <f>+(N27+P27)+((X27+Z27+AF27)/Datos_Generales!$E$15)</f>
        <v>#DIV/0!</v>
      </c>
      <c r="AU27" s="199"/>
      <c r="AV27" s="199">
        <f t="shared" si="6"/>
        <v>2572.4188349999999</v>
      </c>
      <c r="AW27" s="199"/>
      <c r="AX27" s="173" t="e">
        <f t="shared" si="7"/>
        <v>#DIV/0!</v>
      </c>
    </row>
    <row r="28" spans="1:50" x14ac:dyDescent="0.2">
      <c r="A28" s="178" t="s">
        <v>2274</v>
      </c>
      <c r="B28" s="162">
        <v>2023</v>
      </c>
      <c r="C28" s="163"/>
      <c r="D28" s="163"/>
      <c r="E28" s="164" t="s">
        <v>1371</v>
      </c>
      <c r="F28" s="165" t="s">
        <v>2277</v>
      </c>
      <c r="G28" s="166">
        <v>5</v>
      </c>
      <c r="H28" s="167">
        <v>1</v>
      </c>
      <c r="I28" s="167">
        <v>193.41749999999996</v>
      </c>
      <c r="J28" s="168">
        <v>193.41749999999996</v>
      </c>
      <c r="K28" s="169">
        <v>15</v>
      </c>
      <c r="L28" s="167">
        <f t="shared" si="8"/>
        <v>48.354374999999983</v>
      </c>
      <c r="M28" s="170">
        <v>12</v>
      </c>
      <c r="N28" s="168">
        <v>39.32</v>
      </c>
      <c r="O28" s="170">
        <v>12</v>
      </c>
      <c r="P28" s="168">
        <v>34.04</v>
      </c>
      <c r="Q28" s="170"/>
      <c r="R28" s="168"/>
      <c r="S28" s="171"/>
      <c r="T28" s="168"/>
      <c r="U28" s="167"/>
      <c r="V28" s="168"/>
      <c r="W28" s="167"/>
      <c r="X28" s="168">
        <v>15</v>
      </c>
      <c r="Y28" s="167"/>
      <c r="Z28" s="168">
        <v>20</v>
      </c>
      <c r="AA28" s="167"/>
      <c r="AB28" s="172">
        <f>+Datos_Generales!$K$9</f>
        <v>3.6999999999999998E-2</v>
      </c>
      <c r="AC28" s="167"/>
      <c r="AD28" s="172">
        <v>0.33</v>
      </c>
      <c r="AE28" s="167"/>
      <c r="AF28" s="168">
        <v>18.36</v>
      </c>
      <c r="AG28" s="170"/>
      <c r="AH28" s="170"/>
      <c r="AI28" s="170"/>
      <c r="AJ28" s="170"/>
      <c r="AK28" s="170"/>
      <c r="AL28" s="170">
        <f t="shared" si="2"/>
        <v>241.77187499999994</v>
      </c>
      <c r="AM28" s="170"/>
      <c r="AN28" s="170">
        <f t="shared" si="3"/>
        <v>126.72</v>
      </c>
      <c r="AO28" s="170"/>
      <c r="AP28" s="170">
        <f t="shared" si="4"/>
        <v>11.897593968749996</v>
      </c>
      <c r="AQ28" s="170"/>
      <c r="AR28" s="170">
        <f t="shared" si="5"/>
        <v>79.784718749999982</v>
      </c>
      <c r="AS28" s="170"/>
      <c r="AT28" s="170" t="e">
        <f>+(N28+P28)+((X28+Z28+AF28)/Datos_Generales!$E$15)</f>
        <v>#DIV/0!</v>
      </c>
      <c r="AU28" s="199"/>
      <c r="AV28" s="199">
        <f t="shared" si="6"/>
        <v>321.55659374999993</v>
      </c>
      <c r="AW28" s="199"/>
      <c r="AX28" s="173" t="e">
        <f t="shared" si="7"/>
        <v>#DIV/0!</v>
      </c>
    </row>
    <row r="29" spans="1:50" x14ac:dyDescent="0.2">
      <c r="A29" s="161" t="s">
        <v>1080</v>
      </c>
      <c r="B29" s="162">
        <v>2023</v>
      </c>
      <c r="C29" s="163">
        <v>0</v>
      </c>
      <c r="D29" s="163">
        <v>1794</v>
      </c>
      <c r="E29" s="164" t="s">
        <v>1063</v>
      </c>
      <c r="F29" s="165" t="s">
        <v>1081</v>
      </c>
      <c r="G29" s="166">
        <v>40</v>
      </c>
      <c r="H29" s="167">
        <v>8</v>
      </c>
      <c r="I29" s="167">
        <v>1353.1801949999997</v>
      </c>
      <c r="J29" s="168">
        <v>1353.1801949999997</v>
      </c>
      <c r="K29" s="169">
        <v>15</v>
      </c>
      <c r="L29" s="167">
        <f t="shared" si="1"/>
        <v>338.29504874999992</v>
      </c>
      <c r="M29" s="170"/>
      <c r="N29" s="168"/>
      <c r="O29" s="170"/>
      <c r="P29" s="168">
        <v>19.670000000000002</v>
      </c>
      <c r="Q29" s="170"/>
      <c r="R29" s="168"/>
      <c r="S29" s="171"/>
      <c r="T29" s="168"/>
      <c r="U29" s="167"/>
      <c r="V29" s="168"/>
      <c r="W29" s="167"/>
      <c r="X29" s="168">
        <v>15</v>
      </c>
      <c r="Y29" s="167"/>
      <c r="Z29" s="168">
        <v>20</v>
      </c>
      <c r="AA29" s="167"/>
      <c r="AB29" s="172">
        <f>+Datos_Generales!$K$9</f>
        <v>3.6999999999999998E-2</v>
      </c>
      <c r="AC29" s="167"/>
      <c r="AD29" s="172">
        <v>0.33</v>
      </c>
      <c r="AE29" s="167"/>
      <c r="AF29" s="168">
        <v>18.36</v>
      </c>
      <c r="AG29" s="170"/>
      <c r="AH29" s="170"/>
      <c r="AI29" s="170"/>
      <c r="AJ29" s="170"/>
      <c r="AK29" s="170"/>
      <c r="AL29" s="170">
        <f t="shared" si="2"/>
        <v>1691.4752437499997</v>
      </c>
      <c r="AM29" s="170"/>
      <c r="AN29" s="170">
        <f t="shared" si="3"/>
        <v>73.03</v>
      </c>
      <c r="AO29" s="170"/>
      <c r="AP29" s="170">
        <f t="shared" si="4"/>
        <v>83.237496744937474</v>
      </c>
      <c r="AQ29" s="170"/>
      <c r="AR29" s="170">
        <f t="shared" si="5"/>
        <v>558.18683043749991</v>
      </c>
      <c r="AS29" s="170"/>
      <c r="AT29" s="170" t="e">
        <f>+(N29+P29)+((X29+Z29+AF29)/Datos_Generales!$E$15)</f>
        <v>#DIV/0!</v>
      </c>
      <c r="AU29" s="199"/>
      <c r="AV29" s="199">
        <f t="shared" si="6"/>
        <v>2249.6620741874995</v>
      </c>
      <c r="AW29" s="199"/>
      <c r="AX29" s="173" t="e">
        <f t="shared" si="7"/>
        <v>#DIV/0!</v>
      </c>
    </row>
    <row r="30" spans="1:50" x14ac:dyDescent="0.2">
      <c r="A30" s="161" t="s">
        <v>1080</v>
      </c>
      <c r="B30" s="162">
        <v>2023</v>
      </c>
      <c r="C30" s="163"/>
      <c r="D30" s="163"/>
      <c r="E30" s="164" t="s">
        <v>1065</v>
      </c>
      <c r="F30" s="165" t="s">
        <v>1082</v>
      </c>
      <c r="G30" s="166">
        <v>40</v>
      </c>
      <c r="H30" s="167">
        <v>8</v>
      </c>
      <c r="I30" s="167">
        <v>1288.62057</v>
      </c>
      <c r="J30" s="168">
        <v>1288.62057</v>
      </c>
      <c r="K30" s="169">
        <v>15</v>
      </c>
      <c r="L30" s="167">
        <f t="shared" si="1"/>
        <v>322.15514250000001</v>
      </c>
      <c r="M30" s="170"/>
      <c r="N30" s="168"/>
      <c r="O30" s="170"/>
      <c r="P30" s="168">
        <v>19.670000000000002</v>
      </c>
      <c r="Q30" s="170"/>
      <c r="R30" s="168"/>
      <c r="S30" s="171"/>
      <c r="T30" s="168"/>
      <c r="U30" s="167"/>
      <c r="V30" s="168"/>
      <c r="W30" s="167"/>
      <c r="X30" s="168">
        <v>15</v>
      </c>
      <c r="Y30" s="167"/>
      <c r="Z30" s="168">
        <v>20</v>
      </c>
      <c r="AA30" s="167"/>
      <c r="AB30" s="172">
        <f>+Datos_Generales!$K$9</f>
        <v>3.6999999999999998E-2</v>
      </c>
      <c r="AC30" s="167"/>
      <c r="AD30" s="172">
        <v>0.33</v>
      </c>
      <c r="AE30" s="167"/>
      <c r="AF30" s="168">
        <v>18.36</v>
      </c>
      <c r="AG30" s="170"/>
      <c r="AH30" s="170"/>
      <c r="AI30" s="170"/>
      <c r="AJ30" s="170"/>
      <c r="AK30" s="170"/>
      <c r="AL30" s="170">
        <f t="shared" si="2"/>
        <v>1610.7757125000001</v>
      </c>
      <c r="AM30" s="170"/>
      <c r="AN30" s="170">
        <f t="shared" si="3"/>
        <v>73.03</v>
      </c>
      <c r="AO30" s="170"/>
      <c r="AP30" s="170">
        <f t="shared" si="4"/>
        <v>79.26627281212501</v>
      </c>
      <c r="AQ30" s="170"/>
      <c r="AR30" s="170">
        <f t="shared" si="5"/>
        <v>531.55598512500001</v>
      </c>
      <c r="AS30" s="170"/>
      <c r="AT30" s="170" t="e">
        <f>+(N30+P30)+((X30+Z30+AF30)/Datos_Generales!$E$15)</f>
        <v>#DIV/0!</v>
      </c>
      <c r="AU30" s="199"/>
      <c r="AV30" s="199">
        <f t="shared" si="6"/>
        <v>2142.3316976250003</v>
      </c>
      <c r="AW30" s="199"/>
      <c r="AX30" s="173" t="e">
        <f t="shared" si="7"/>
        <v>#DIV/0!</v>
      </c>
    </row>
    <row r="31" spans="1:50" x14ac:dyDescent="0.2">
      <c r="A31" s="161" t="s">
        <v>1080</v>
      </c>
      <c r="B31" s="162">
        <v>2023</v>
      </c>
      <c r="C31" s="163"/>
      <c r="D31" s="163"/>
      <c r="E31" s="164" t="s">
        <v>1067</v>
      </c>
      <c r="F31" s="165" t="s">
        <v>1083</v>
      </c>
      <c r="G31" s="166">
        <v>40</v>
      </c>
      <c r="H31" s="167">
        <v>8</v>
      </c>
      <c r="I31" s="167">
        <v>1185.82701</v>
      </c>
      <c r="J31" s="168">
        <v>1185.82701</v>
      </c>
      <c r="K31" s="169">
        <v>15</v>
      </c>
      <c r="L31" s="167">
        <f t="shared" si="1"/>
        <v>296.45675249999999</v>
      </c>
      <c r="M31" s="170"/>
      <c r="N31" s="168"/>
      <c r="O31" s="170"/>
      <c r="P31" s="168">
        <v>19.670000000000002</v>
      </c>
      <c r="Q31" s="170"/>
      <c r="R31" s="168"/>
      <c r="S31" s="171"/>
      <c r="T31" s="168"/>
      <c r="U31" s="167"/>
      <c r="V31" s="168"/>
      <c r="W31" s="167"/>
      <c r="X31" s="168">
        <v>15</v>
      </c>
      <c r="Y31" s="167"/>
      <c r="Z31" s="168">
        <v>20</v>
      </c>
      <c r="AA31" s="167"/>
      <c r="AB31" s="172">
        <f>+Datos_Generales!$K$9</f>
        <v>3.6999999999999998E-2</v>
      </c>
      <c r="AC31" s="167"/>
      <c r="AD31" s="172">
        <v>0.33</v>
      </c>
      <c r="AE31" s="167"/>
      <c r="AF31" s="168">
        <v>18.36</v>
      </c>
      <c r="AG31" s="170"/>
      <c r="AH31" s="170"/>
      <c r="AI31" s="170"/>
      <c r="AJ31" s="170"/>
      <c r="AK31" s="170"/>
      <c r="AL31" s="170">
        <f t="shared" si="2"/>
        <v>1482.2837625</v>
      </c>
      <c r="AM31" s="170"/>
      <c r="AN31" s="170">
        <f t="shared" si="3"/>
        <v>73.03</v>
      </c>
      <c r="AO31" s="170"/>
      <c r="AP31" s="170">
        <f t="shared" si="4"/>
        <v>72.943183952624992</v>
      </c>
      <c r="AQ31" s="170"/>
      <c r="AR31" s="170">
        <f t="shared" si="5"/>
        <v>489.15364162500003</v>
      </c>
      <c r="AS31" s="170"/>
      <c r="AT31" s="170" t="e">
        <f>+(N31+P31)+((X31+Z31+AF31)/Datos_Generales!$E$15)</f>
        <v>#DIV/0!</v>
      </c>
      <c r="AU31" s="199"/>
      <c r="AV31" s="199">
        <f t="shared" si="6"/>
        <v>1971.4374041250001</v>
      </c>
      <c r="AW31" s="199"/>
      <c r="AX31" s="173" t="e">
        <f t="shared" si="7"/>
        <v>#DIV/0!</v>
      </c>
    </row>
    <row r="32" spans="1:50" x14ac:dyDescent="0.2">
      <c r="A32" s="161" t="s">
        <v>1080</v>
      </c>
      <c r="B32" s="162">
        <v>2023</v>
      </c>
      <c r="C32" s="163"/>
      <c r="D32" s="163"/>
      <c r="E32" s="164" t="s">
        <v>2268</v>
      </c>
      <c r="F32" s="165" t="s">
        <v>1083</v>
      </c>
      <c r="G32" s="166">
        <v>40</v>
      </c>
      <c r="H32" s="167">
        <v>8</v>
      </c>
      <c r="I32" s="167">
        <v>1185.82701</v>
      </c>
      <c r="J32" s="168">
        <v>1185.82701</v>
      </c>
      <c r="K32" s="169">
        <v>15</v>
      </c>
      <c r="L32" s="167">
        <f t="shared" si="1"/>
        <v>296.45675249999999</v>
      </c>
      <c r="M32" s="170"/>
      <c r="N32" s="168"/>
      <c r="O32" s="170"/>
      <c r="P32" s="168">
        <v>19.670000000000002</v>
      </c>
      <c r="Q32" s="170"/>
      <c r="R32" s="168"/>
      <c r="S32" s="171"/>
      <c r="T32" s="168"/>
      <c r="U32" s="167"/>
      <c r="V32" s="168"/>
      <c r="W32" s="167"/>
      <c r="X32" s="168">
        <v>15</v>
      </c>
      <c r="Y32" s="167"/>
      <c r="Z32" s="168">
        <v>20</v>
      </c>
      <c r="AA32" s="167"/>
      <c r="AB32" s="172">
        <f>+Datos_Generales!$K$9</f>
        <v>3.6999999999999998E-2</v>
      </c>
      <c r="AC32" s="167"/>
      <c r="AD32" s="172">
        <v>0.33</v>
      </c>
      <c r="AE32" s="167"/>
      <c r="AF32" s="168">
        <v>18.36</v>
      </c>
      <c r="AG32" s="170"/>
      <c r="AH32" s="170"/>
      <c r="AI32" s="170"/>
      <c r="AJ32" s="170"/>
      <c r="AK32" s="170"/>
      <c r="AL32" s="170">
        <f t="shared" si="2"/>
        <v>1482.2837625</v>
      </c>
      <c r="AM32" s="170"/>
      <c r="AN32" s="170">
        <f t="shared" si="3"/>
        <v>73.03</v>
      </c>
      <c r="AO32" s="170"/>
      <c r="AP32" s="170">
        <f t="shared" si="4"/>
        <v>72.943183952624992</v>
      </c>
      <c r="AQ32" s="170"/>
      <c r="AR32" s="170">
        <f t="shared" si="5"/>
        <v>489.15364162500003</v>
      </c>
      <c r="AS32" s="170"/>
      <c r="AT32" s="170" t="e">
        <f>+(N32+P32)+((X32+Z32+AF32)/Datos_Generales!$E$15)</f>
        <v>#DIV/0!</v>
      </c>
      <c r="AU32" s="199"/>
      <c r="AV32" s="199">
        <f t="shared" si="6"/>
        <v>1971.4374041250001</v>
      </c>
      <c r="AW32" s="199"/>
      <c r="AX32" s="173" t="e">
        <f t="shared" si="7"/>
        <v>#DIV/0!</v>
      </c>
    </row>
    <row r="33" spans="1:50" x14ac:dyDescent="0.2">
      <c r="A33" s="161" t="s">
        <v>1080</v>
      </c>
      <c r="B33" s="162">
        <v>2023</v>
      </c>
      <c r="C33" s="174"/>
      <c r="D33" s="175"/>
      <c r="E33" s="176" t="s">
        <v>1084</v>
      </c>
      <c r="F33" s="165" t="s">
        <v>1083</v>
      </c>
      <c r="G33" s="166">
        <v>40</v>
      </c>
      <c r="H33" s="167">
        <v>8</v>
      </c>
      <c r="I33" s="167">
        <v>1185.82701</v>
      </c>
      <c r="J33" s="168">
        <v>1185.82701</v>
      </c>
      <c r="K33" s="169">
        <v>15</v>
      </c>
      <c r="L33" s="167">
        <f t="shared" si="1"/>
        <v>296.45675249999999</v>
      </c>
      <c r="M33" s="170"/>
      <c r="N33" s="168"/>
      <c r="O33" s="170"/>
      <c r="P33" s="168">
        <v>19.670000000000002</v>
      </c>
      <c r="Q33" s="170"/>
      <c r="R33" s="168"/>
      <c r="S33" s="177"/>
      <c r="T33" s="168"/>
      <c r="U33" s="167"/>
      <c r="V33" s="168"/>
      <c r="W33" s="167"/>
      <c r="X33" s="168">
        <v>15</v>
      </c>
      <c r="Y33" s="167"/>
      <c r="Z33" s="168">
        <v>20</v>
      </c>
      <c r="AA33" s="167"/>
      <c r="AB33" s="172">
        <f>+Datos_Generales!$K$9</f>
        <v>3.6999999999999998E-2</v>
      </c>
      <c r="AC33" s="167"/>
      <c r="AD33" s="172">
        <v>0.33</v>
      </c>
      <c r="AE33" s="167"/>
      <c r="AF33" s="168">
        <v>18.36</v>
      </c>
      <c r="AG33" s="170"/>
      <c r="AH33" s="170"/>
      <c r="AI33" s="170"/>
      <c r="AJ33" s="170"/>
      <c r="AK33" s="170"/>
      <c r="AL33" s="170">
        <f t="shared" si="2"/>
        <v>1482.2837625</v>
      </c>
      <c r="AM33" s="170"/>
      <c r="AN33" s="170">
        <f t="shared" si="3"/>
        <v>73.03</v>
      </c>
      <c r="AO33" s="170"/>
      <c r="AP33" s="170">
        <f t="shared" si="4"/>
        <v>72.943183952624992</v>
      </c>
      <c r="AQ33" s="170"/>
      <c r="AR33" s="170">
        <f t="shared" si="5"/>
        <v>489.15364162500003</v>
      </c>
      <c r="AS33" s="170"/>
      <c r="AT33" s="170" t="e">
        <f>+(N33+P33)+((X33+Z33+AF33)/Datos_Generales!$E$15)</f>
        <v>#DIV/0!</v>
      </c>
      <c r="AU33" s="199"/>
      <c r="AV33" s="199">
        <f t="shared" si="6"/>
        <v>1971.4374041250001</v>
      </c>
      <c r="AW33" s="199"/>
      <c r="AX33" s="173" t="e">
        <f t="shared" si="7"/>
        <v>#DIV/0!</v>
      </c>
    </row>
    <row r="34" spans="1:50" x14ac:dyDescent="0.2">
      <c r="A34" s="161" t="s">
        <v>1080</v>
      </c>
      <c r="B34" s="162">
        <v>2023</v>
      </c>
      <c r="C34" s="163"/>
      <c r="D34" s="163"/>
      <c r="E34" s="164" t="s">
        <v>1069</v>
      </c>
      <c r="F34" s="165" t="s">
        <v>1085</v>
      </c>
      <c r="G34" s="166">
        <v>40</v>
      </c>
      <c r="H34" s="167">
        <v>8</v>
      </c>
      <c r="I34" s="167">
        <v>1152.6219299999998</v>
      </c>
      <c r="J34" s="168">
        <v>1152.6219299999998</v>
      </c>
      <c r="K34" s="169">
        <v>15</v>
      </c>
      <c r="L34" s="167">
        <f t="shared" si="1"/>
        <v>288.15548249999995</v>
      </c>
      <c r="M34" s="170"/>
      <c r="N34" s="168"/>
      <c r="O34" s="170"/>
      <c r="P34" s="168">
        <v>19.670000000000002</v>
      </c>
      <c r="Q34" s="170"/>
      <c r="R34" s="168"/>
      <c r="S34" s="177"/>
      <c r="T34" s="168"/>
      <c r="U34" s="167"/>
      <c r="V34" s="168"/>
      <c r="W34" s="167"/>
      <c r="X34" s="168">
        <v>15</v>
      </c>
      <c r="Y34" s="167"/>
      <c r="Z34" s="168">
        <v>20</v>
      </c>
      <c r="AA34" s="167"/>
      <c r="AB34" s="172">
        <f>+Datos_Generales!$K$9</f>
        <v>3.6999999999999998E-2</v>
      </c>
      <c r="AC34" s="167"/>
      <c r="AD34" s="172">
        <v>0.33</v>
      </c>
      <c r="AE34" s="167"/>
      <c r="AF34" s="168">
        <v>18.36</v>
      </c>
      <c r="AG34" s="170"/>
      <c r="AH34" s="170"/>
      <c r="AI34" s="170"/>
      <c r="AJ34" s="170"/>
      <c r="AK34" s="170"/>
      <c r="AL34" s="170">
        <f t="shared" si="2"/>
        <v>1440.7774124999996</v>
      </c>
      <c r="AM34" s="170"/>
      <c r="AN34" s="170">
        <f t="shared" si="3"/>
        <v>73.03</v>
      </c>
      <c r="AO34" s="170"/>
      <c r="AP34" s="170">
        <f t="shared" si="4"/>
        <v>70.900656469124982</v>
      </c>
      <c r="AQ34" s="170"/>
      <c r="AR34" s="170">
        <f t="shared" si="5"/>
        <v>475.45654612499987</v>
      </c>
      <c r="AS34" s="170"/>
      <c r="AT34" s="170" t="e">
        <f>+(N34+P34)+((X34+Z34+AF34)/Datos_Generales!$E$15)</f>
        <v>#DIV/0!</v>
      </c>
      <c r="AU34" s="199"/>
      <c r="AV34" s="199">
        <f t="shared" si="6"/>
        <v>1916.2339586249996</v>
      </c>
      <c r="AW34" s="199"/>
      <c r="AX34" s="173" t="e">
        <f t="shared" si="7"/>
        <v>#DIV/0!</v>
      </c>
    </row>
    <row r="35" spans="1:50" x14ac:dyDescent="0.2">
      <c r="A35" s="161" t="s">
        <v>1080</v>
      </c>
      <c r="B35" s="162">
        <v>2023</v>
      </c>
      <c r="C35" s="163"/>
      <c r="D35" s="163"/>
      <c r="E35" s="164" t="s">
        <v>2278</v>
      </c>
      <c r="F35" s="165" t="s">
        <v>1086</v>
      </c>
      <c r="G35" s="166">
        <v>40</v>
      </c>
      <c r="H35" s="167">
        <v>8</v>
      </c>
      <c r="I35" s="167">
        <v>1144.8225</v>
      </c>
      <c r="J35" s="168">
        <v>1144.8225</v>
      </c>
      <c r="K35" s="169">
        <v>15</v>
      </c>
      <c r="L35" s="167">
        <f t="shared" si="1"/>
        <v>286.205625</v>
      </c>
      <c r="M35" s="170"/>
      <c r="N35" s="168"/>
      <c r="O35" s="170"/>
      <c r="P35" s="168">
        <v>19.670000000000002</v>
      </c>
      <c r="Q35" s="170"/>
      <c r="R35" s="168"/>
      <c r="S35" s="177"/>
      <c r="T35" s="168"/>
      <c r="U35" s="167"/>
      <c r="V35" s="168"/>
      <c r="W35" s="167"/>
      <c r="X35" s="168">
        <v>15</v>
      </c>
      <c r="Y35" s="167"/>
      <c r="Z35" s="168">
        <v>20</v>
      </c>
      <c r="AA35" s="167"/>
      <c r="AB35" s="172">
        <f>+Datos_Generales!$K$9</f>
        <v>3.6999999999999998E-2</v>
      </c>
      <c r="AC35" s="167"/>
      <c r="AD35" s="172">
        <v>0.33</v>
      </c>
      <c r="AE35" s="167"/>
      <c r="AF35" s="168">
        <v>18.36</v>
      </c>
      <c r="AG35" s="170"/>
      <c r="AH35" s="170"/>
      <c r="AI35" s="170"/>
      <c r="AJ35" s="170"/>
      <c r="AK35" s="170"/>
      <c r="AL35" s="170">
        <f t="shared" si="2"/>
        <v>1431.028125</v>
      </c>
      <c r="AM35" s="170"/>
      <c r="AN35" s="170">
        <f t="shared" si="3"/>
        <v>73.03</v>
      </c>
      <c r="AO35" s="170"/>
      <c r="AP35" s="170">
        <f t="shared" si="4"/>
        <v>70.42089403125</v>
      </c>
      <c r="AQ35" s="170"/>
      <c r="AR35" s="170">
        <f t="shared" si="5"/>
        <v>472.23928125000003</v>
      </c>
      <c r="AS35" s="170"/>
      <c r="AT35" s="170" t="e">
        <f>+(N35+P35)+((X35+Z35+AF35)/Datos_Generales!$E$15)</f>
        <v>#DIV/0!</v>
      </c>
      <c r="AU35" s="199"/>
      <c r="AV35" s="199">
        <f t="shared" si="6"/>
        <v>1903.2674062500002</v>
      </c>
      <c r="AW35" s="199"/>
      <c r="AX35" s="173" t="e">
        <f t="shared" si="7"/>
        <v>#DIV/0!</v>
      </c>
    </row>
    <row r="36" spans="1:50" x14ac:dyDescent="0.2">
      <c r="A36" s="161" t="s">
        <v>1080</v>
      </c>
      <c r="B36" s="162">
        <v>2023</v>
      </c>
      <c r="C36" s="163"/>
      <c r="D36" s="163"/>
      <c r="E36" s="164" t="s">
        <v>1168</v>
      </c>
      <c r="F36" s="165" t="s">
        <v>1086</v>
      </c>
      <c r="G36" s="166">
        <v>40</v>
      </c>
      <c r="H36" s="167">
        <v>8</v>
      </c>
      <c r="I36" s="167">
        <v>1144.8225</v>
      </c>
      <c r="J36" s="168">
        <v>1144.8225</v>
      </c>
      <c r="K36" s="169">
        <v>15</v>
      </c>
      <c r="L36" s="167">
        <f t="shared" si="1"/>
        <v>286.205625</v>
      </c>
      <c r="M36" s="170"/>
      <c r="N36" s="168"/>
      <c r="O36" s="170"/>
      <c r="P36" s="168">
        <v>19.670000000000002</v>
      </c>
      <c r="Q36" s="170"/>
      <c r="R36" s="168"/>
      <c r="S36" s="177"/>
      <c r="T36" s="168"/>
      <c r="U36" s="167"/>
      <c r="V36" s="168"/>
      <c r="W36" s="167"/>
      <c r="X36" s="168">
        <v>15</v>
      </c>
      <c r="Y36" s="167"/>
      <c r="Z36" s="168">
        <v>20</v>
      </c>
      <c r="AA36" s="167"/>
      <c r="AB36" s="172">
        <f>+Datos_Generales!$K$9</f>
        <v>3.6999999999999998E-2</v>
      </c>
      <c r="AC36" s="167"/>
      <c r="AD36" s="172">
        <v>0.33</v>
      </c>
      <c r="AE36" s="167"/>
      <c r="AF36" s="168">
        <v>18.36</v>
      </c>
      <c r="AG36" s="170"/>
      <c r="AH36" s="170"/>
      <c r="AI36" s="170"/>
      <c r="AJ36" s="170"/>
      <c r="AK36" s="170"/>
      <c r="AL36" s="170">
        <f t="shared" si="2"/>
        <v>1431.028125</v>
      </c>
      <c r="AM36" s="170"/>
      <c r="AN36" s="170">
        <f t="shared" si="3"/>
        <v>73.03</v>
      </c>
      <c r="AO36" s="170"/>
      <c r="AP36" s="170">
        <f t="shared" si="4"/>
        <v>70.42089403125</v>
      </c>
      <c r="AQ36" s="170"/>
      <c r="AR36" s="170">
        <f t="shared" si="5"/>
        <v>472.23928125000003</v>
      </c>
      <c r="AS36" s="170"/>
      <c r="AT36" s="170" t="e">
        <f>+(N36+P36)+((X36+Z36+AF36)/Datos_Generales!$E$15)</f>
        <v>#DIV/0!</v>
      </c>
      <c r="AU36" s="199"/>
      <c r="AV36" s="199">
        <f t="shared" si="6"/>
        <v>1903.2674062500002</v>
      </c>
      <c r="AW36" s="199"/>
      <c r="AX36" s="173" t="e">
        <f t="shared" si="7"/>
        <v>#DIV/0!</v>
      </c>
    </row>
    <row r="37" spans="1:50" x14ac:dyDescent="0.2">
      <c r="A37" s="161" t="s">
        <v>1080</v>
      </c>
      <c r="B37" s="162">
        <v>2023</v>
      </c>
      <c r="C37" s="163"/>
      <c r="D37" s="163"/>
      <c r="E37" s="164" t="s">
        <v>2272</v>
      </c>
      <c r="F37" s="165" t="s">
        <v>1086</v>
      </c>
      <c r="G37" s="166">
        <v>40</v>
      </c>
      <c r="H37" s="167">
        <v>8</v>
      </c>
      <c r="I37" s="167">
        <v>1144.8225</v>
      </c>
      <c r="J37" s="168">
        <v>1144.8225</v>
      </c>
      <c r="K37" s="169">
        <v>12</v>
      </c>
      <c r="L37" s="167">
        <f t="shared" si="1"/>
        <v>0</v>
      </c>
      <c r="M37" s="170"/>
      <c r="N37" s="168"/>
      <c r="O37" s="170"/>
      <c r="P37" s="168">
        <v>19.670000000000002</v>
      </c>
      <c r="Q37" s="170"/>
      <c r="R37" s="168"/>
      <c r="S37" s="177"/>
      <c r="T37" s="168"/>
      <c r="U37" s="167"/>
      <c r="V37" s="168"/>
      <c r="W37" s="167"/>
      <c r="X37" s="168">
        <v>15</v>
      </c>
      <c r="Y37" s="167"/>
      <c r="Z37" s="168">
        <v>20</v>
      </c>
      <c r="AA37" s="167"/>
      <c r="AB37" s="172">
        <f>+Datos_Generales!$K$9</f>
        <v>3.6999999999999998E-2</v>
      </c>
      <c r="AC37" s="167"/>
      <c r="AD37" s="172">
        <v>0.33</v>
      </c>
      <c r="AE37" s="167"/>
      <c r="AF37" s="168">
        <v>18.36</v>
      </c>
      <c r="AG37" s="170"/>
      <c r="AH37" s="170"/>
      <c r="AI37" s="170"/>
      <c r="AJ37" s="170"/>
      <c r="AK37" s="170"/>
      <c r="AL37" s="170">
        <f t="shared" si="2"/>
        <v>1144.8225</v>
      </c>
      <c r="AM37" s="170"/>
      <c r="AN37" s="170">
        <f t="shared" si="3"/>
        <v>73.03</v>
      </c>
      <c r="AO37" s="170"/>
      <c r="AP37" s="170">
        <f t="shared" si="4"/>
        <v>56.336715224999999</v>
      </c>
      <c r="AQ37" s="170"/>
      <c r="AR37" s="170">
        <f t="shared" si="5"/>
        <v>377.791425</v>
      </c>
      <c r="AS37" s="170"/>
      <c r="AT37" s="170" t="e">
        <f>+(N37+P37)+((X37+Z37+AF37)/Datos_Generales!$E$15)</f>
        <v>#DIV/0!</v>
      </c>
      <c r="AU37" s="199"/>
      <c r="AV37" s="199">
        <f t="shared" si="6"/>
        <v>1522.6139250000001</v>
      </c>
      <c r="AW37" s="199"/>
      <c r="AX37" s="173" t="e">
        <f t="shared" si="7"/>
        <v>#DIV/0!</v>
      </c>
    </row>
    <row r="38" spans="1:50" x14ac:dyDescent="0.2">
      <c r="A38" s="161" t="s">
        <v>1080</v>
      </c>
      <c r="B38" s="162">
        <v>2023</v>
      </c>
      <c r="C38" s="163"/>
      <c r="D38" s="163"/>
      <c r="E38" s="164" t="s">
        <v>1073</v>
      </c>
      <c r="F38" s="165" t="s">
        <v>1086</v>
      </c>
      <c r="G38" s="166">
        <v>40</v>
      </c>
      <c r="H38" s="167">
        <v>8</v>
      </c>
      <c r="I38" s="167">
        <v>1144.8225</v>
      </c>
      <c r="J38" s="168">
        <v>1144.8225</v>
      </c>
      <c r="K38" s="169">
        <v>15</v>
      </c>
      <c r="L38" s="167">
        <f t="shared" si="1"/>
        <v>286.205625</v>
      </c>
      <c r="M38" s="170"/>
      <c r="N38" s="168"/>
      <c r="O38" s="170"/>
      <c r="P38" s="168">
        <v>19.670000000000002</v>
      </c>
      <c r="Q38" s="170"/>
      <c r="R38" s="168"/>
      <c r="S38" s="177"/>
      <c r="T38" s="168"/>
      <c r="U38" s="167"/>
      <c r="V38" s="168"/>
      <c r="W38" s="167"/>
      <c r="X38" s="168">
        <v>15</v>
      </c>
      <c r="Y38" s="167"/>
      <c r="Z38" s="168">
        <v>20</v>
      </c>
      <c r="AA38" s="167"/>
      <c r="AB38" s="172">
        <f>+Datos_Generales!$K$9</f>
        <v>3.6999999999999998E-2</v>
      </c>
      <c r="AC38" s="167"/>
      <c r="AD38" s="172">
        <v>0.33</v>
      </c>
      <c r="AE38" s="167"/>
      <c r="AF38" s="168">
        <v>18.36</v>
      </c>
      <c r="AG38" s="170"/>
      <c r="AH38" s="170"/>
      <c r="AI38" s="170"/>
      <c r="AJ38" s="170"/>
      <c r="AK38" s="170"/>
      <c r="AL38" s="170">
        <f t="shared" si="2"/>
        <v>1431.028125</v>
      </c>
      <c r="AM38" s="170"/>
      <c r="AN38" s="170">
        <f t="shared" si="3"/>
        <v>73.03</v>
      </c>
      <c r="AO38" s="170"/>
      <c r="AP38" s="170">
        <f t="shared" si="4"/>
        <v>70.42089403125</v>
      </c>
      <c r="AQ38" s="170"/>
      <c r="AR38" s="170">
        <f t="shared" si="5"/>
        <v>472.23928125000003</v>
      </c>
      <c r="AS38" s="170"/>
      <c r="AT38" s="170" t="e">
        <f>+(N38+P38)+((X38+Z38+AF38)/Datos_Generales!$E$15)</f>
        <v>#DIV/0!</v>
      </c>
      <c r="AU38" s="199"/>
      <c r="AV38" s="199">
        <f t="shared" si="6"/>
        <v>1903.2674062500002</v>
      </c>
      <c r="AW38" s="199"/>
      <c r="AX38" s="173" t="e">
        <f t="shared" si="7"/>
        <v>#DIV/0!</v>
      </c>
    </row>
    <row r="39" spans="1:50" x14ac:dyDescent="0.2">
      <c r="A39" s="161" t="s">
        <v>1087</v>
      </c>
      <c r="B39" s="162">
        <v>2023</v>
      </c>
      <c r="C39" s="163">
        <v>0</v>
      </c>
      <c r="D39" s="163">
        <v>1794</v>
      </c>
      <c r="E39" s="164" t="s">
        <v>1063</v>
      </c>
      <c r="F39" s="165" t="s">
        <v>1064</v>
      </c>
      <c r="G39" s="166">
        <v>40</v>
      </c>
      <c r="H39" s="167">
        <v>8</v>
      </c>
      <c r="I39" s="167">
        <v>1018.0347149999999</v>
      </c>
      <c r="J39" s="168">
        <v>1018.0347149999999</v>
      </c>
      <c r="K39" s="169">
        <v>14</v>
      </c>
      <c r="L39" s="167">
        <f t="shared" si="1"/>
        <v>169.67245249999999</v>
      </c>
      <c r="M39" s="170">
        <v>11</v>
      </c>
      <c r="N39" s="168">
        <v>65.31</v>
      </c>
      <c r="O39" s="170">
        <v>11</v>
      </c>
      <c r="P39" s="168">
        <v>6.72</v>
      </c>
      <c r="Q39" s="170"/>
      <c r="R39" s="168"/>
      <c r="S39" s="177"/>
      <c r="T39" s="168">
        <v>117.68166666666667</v>
      </c>
      <c r="U39" s="167"/>
      <c r="V39" s="168"/>
      <c r="W39" s="167"/>
      <c r="X39" s="168">
        <v>15</v>
      </c>
      <c r="Y39" s="167"/>
      <c r="Z39" s="168">
        <v>20</v>
      </c>
      <c r="AA39" s="167"/>
      <c r="AB39" s="172">
        <f>+Datos_Generales!$K$9</f>
        <v>3.6999999999999998E-2</v>
      </c>
      <c r="AC39" s="167"/>
      <c r="AD39" s="172">
        <v>0.33</v>
      </c>
      <c r="AE39" s="167"/>
      <c r="AF39" s="168">
        <v>18.36</v>
      </c>
      <c r="AG39" s="170"/>
      <c r="AH39" s="170"/>
      <c r="AI39" s="170"/>
      <c r="AJ39" s="170"/>
      <c r="AK39" s="170"/>
      <c r="AL39" s="170">
        <f t="shared" si="2"/>
        <v>1187.7071675</v>
      </c>
      <c r="AM39" s="170"/>
      <c r="AN39" s="170">
        <f t="shared" si="3"/>
        <v>125.39</v>
      </c>
      <c r="AO39" s="170"/>
      <c r="AP39" s="170">
        <f t="shared" si="4"/>
        <v>58.447069712675003</v>
      </c>
      <c r="AQ39" s="170"/>
      <c r="AR39" s="170">
        <f t="shared" si="5"/>
        <v>391.94336527500002</v>
      </c>
      <c r="AS39" s="170"/>
      <c r="AT39" s="170" t="e">
        <f>+(N39+P39)+((X39+Z39+AF39)/Datos_Generales!$E$15)</f>
        <v>#DIV/0!</v>
      </c>
      <c r="AU39" s="199"/>
      <c r="AV39" s="199">
        <f t="shared" si="6"/>
        <v>1579.6505327750001</v>
      </c>
      <c r="AW39" s="199"/>
      <c r="AX39" s="173" t="e">
        <f t="shared" si="7"/>
        <v>#DIV/0!</v>
      </c>
    </row>
    <row r="40" spans="1:50" x14ac:dyDescent="0.2">
      <c r="A40" s="161" t="s">
        <v>1087</v>
      </c>
      <c r="B40" s="162">
        <v>2023</v>
      </c>
      <c r="C40" s="163"/>
      <c r="D40" s="163"/>
      <c r="E40" s="164" t="s">
        <v>1065</v>
      </c>
      <c r="F40" s="165" t="s">
        <v>1066</v>
      </c>
      <c r="G40" s="166">
        <v>40</v>
      </c>
      <c r="H40" s="167">
        <v>8</v>
      </c>
      <c r="I40" s="167">
        <v>989.87939999999992</v>
      </c>
      <c r="J40" s="168">
        <v>989.87939999999992</v>
      </c>
      <c r="K40" s="169">
        <v>14</v>
      </c>
      <c r="L40" s="167">
        <f t="shared" si="1"/>
        <v>164.97989999999999</v>
      </c>
      <c r="M40" s="170">
        <v>11</v>
      </c>
      <c r="N40" s="168">
        <v>65.31</v>
      </c>
      <c r="O40" s="170">
        <v>11</v>
      </c>
      <c r="P40" s="168">
        <v>6.72</v>
      </c>
      <c r="Q40" s="170"/>
      <c r="R40" s="168"/>
      <c r="S40" s="177"/>
      <c r="T40" s="168">
        <v>113.36500000000001</v>
      </c>
      <c r="U40" s="167"/>
      <c r="V40" s="168"/>
      <c r="W40" s="167"/>
      <c r="X40" s="168">
        <v>15</v>
      </c>
      <c r="Y40" s="167"/>
      <c r="Z40" s="168">
        <v>20</v>
      </c>
      <c r="AA40" s="167"/>
      <c r="AB40" s="172">
        <f>+Datos_Generales!$K$9</f>
        <v>3.6999999999999998E-2</v>
      </c>
      <c r="AC40" s="167"/>
      <c r="AD40" s="172">
        <v>0.33</v>
      </c>
      <c r="AE40" s="167"/>
      <c r="AF40" s="168">
        <v>18.36</v>
      </c>
      <c r="AG40" s="170"/>
      <c r="AH40" s="170"/>
      <c r="AI40" s="170"/>
      <c r="AJ40" s="170"/>
      <c r="AK40" s="170"/>
      <c r="AL40" s="170">
        <f t="shared" si="2"/>
        <v>1154.8592999999998</v>
      </c>
      <c r="AM40" s="170"/>
      <c r="AN40" s="170">
        <f t="shared" si="3"/>
        <v>125.39</v>
      </c>
      <c r="AO40" s="170"/>
      <c r="AP40" s="170">
        <f t="shared" si="4"/>
        <v>56.830626152999997</v>
      </c>
      <c r="AQ40" s="170"/>
      <c r="AR40" s="170">
        <f t="shared" si="5"/>
        <v>381.10356899999999</v>
      </c>
      <c r="AS40" s="170"/>
      <c r="AT40" s="170" t="e">
        <f>+(N40+P40)+((X40+Z40+AF40)/Datos_Generales!$E$15)</f>
        <v>#DIV/0!</v>
      </c>
      <c r="AU40" s="199"/>
      <c r="AV40" s="199">
        <f t="shared" si="6"/>
        <v>1535.962869</v>
      </c>
      <c r="AW40" s="199"/>
      <c r="AX40" s="173" t="e">
        <f t="shared" si="7"/>
        <v>#DIV/0!</v>
      </c>
    </row>
    <row r="41" spans="1:50" x14ac:dyDescent="0.2">
      <c r="A41" s="161" t="s">
        <v>1087</v>
      </c>
      <c r="B41" s="162">
        <v>2023</v>
      </c>
      <c r="C41" s="174"/>
      <c r="D41" s="175"/>
      <c r="E41" s="176" t="s">
        <v>1067</v>
      </c>
      <c r="F41" s="165" t="s">
        <v>1068</v>
      </c>
      <c r="G41" s="166">
        <v>40</v>
      </c>
      <c r="H41" s="167">
        <v>8</v>
      </c>
      <c r="I41" s="167">
        <v>980.87764499999992</v>
      </c>
      <c r="J41" s="168">
        <v>980.87764499999992</v>
      </c>
      <c r="K41" s="169">
        <v>14</v>
      </c>
      <c r="L41" s="167">
        <f t="shared" si="1"/>
        <v>163.47960749999999</v>
      </c>
      <c r="M41" s="170">
        <v>11</v>
      </c>
      <c r="N41" s="168">
        <v>65.31</v>
      </c>
      <c r="O41" s="170">
        <v>11</v>
      </c>
      <c r="P41" s="168">
        <v>6.72</v>
      </c>
      <c r="Q41" s="170"/>
      <c r="R41" s="168"/>
      <c r="S41" s="171"/>
      <c r="T41" s="168">
        <v>106.645</v>
      </c>
      <c r="U41" s="167"/>
      <c r="V41" s="168"/>
      <c r="W41" s="167"/>
      <c r="X41" s="168">
        <v>15</v>
      </c>
      <c r="Y41" s="167"/>
      <c r="Z41" s="168">
        <v>20</v>
      </c>
      <c r="AA41" s="167"/>
      <c r="AB41" s="172">
        <f>+Datos_Generales!$K$9</f>
        <v>3.6999999999999998E-2</v>
      </c>
      <c r="AC41" s="167"/>
      <c r="AD41" s="172">
        <v>0.33</v>
      </c>
      <c r="AE41" s="167"/>
      <c r="AF41" s="168">
        <v>18.36</v>
      </c>
      <c r="AG41" s="170"/>
      <c r="AH41" s="170"/>
      <c r="AI41" s="170"/>
      <c r="AJ41" s="170"/>
      <c r="AK41" s="170"/>
      <c r="AL41" s="170">
        <f t="shared" si="2"/>
        <v>1144.3572525</v>
      </c>
      <c r="AM41" s="170"/>
      <c r="AN41" s="170">
        <f t="shared" si="3"/>
        <v>125.39</v>
      </c>
      <c r="AO41" s="170"/>
      <c r="AP41" s="170">
        <f t="shared" si="4"/>
        <v>56.313820395524999</v>
      </c>
      <c r="AQ41" s="170"/>
      <c r="AR41" s="170">
        <f t="shared" si="5"/>
        <v>377.63789332499999</v>
      </c>
      <c r="AS41" s="170"/>
      <c r="AT41" s="170" t="e">
        <f>+(N41+P41)+((X41+Z41+AF41)/Datos_Generales!$E$15)</f>
        <v>#DIV/0!</v>
      </c>
      <c r="AU41" s="199"/>
      <c r="AV41" s="199">
        <f t="shared" si="6"/>
        <v>1521.995145825</v>
      </c>
      <c r="AW41" s="199"/>
      <c r="AX41" s="173" t="e">
        <f t="shared" si="7"/>
        <v>#DIV/0!</v>
      </c>
    </row>
    <row r="42" spans="1:50" x14ac:dyDescent="0.2">
      <c r="A42" s="161" t="s">
        <v>1087</v>
      </c>
      <c r="B42" s="162">
        <v>2023</v>
      </c>
      <c r="C42" s="163"/>
      <c r="D42" s="163"/>
      <c r="E42" s="164" t="s">
        <v>1069</v>
      </c>
      <c r="F42" s="165" t="s">
        <v>1070</v>
      </c>
      <c r="G42" s="166">
        <v>40</v>
      </c>
      <c r="H42" s="167">
        <v>8</v>
      </c>
      <c r="I42" s="167">
        <v>980.87764499999992</v>
      </c>
      <c r="J42" s="168">
        <v>980.87764499999992</v>
      </c>
      <c r="K42" s="169">
        <v>14</v>
      </c>
      <c r="L42" s="167">
        <f t="shared" si="1"/>
        <v>163.47960749999999</v>
      </c>
      <c r="M42" s="170">
        <v>11</v>
      </c>
      <c r="N42" s="168">
        <v>65.31</v>
      </c>
      <c r="O42" s="170">
        <v>11</v>
      </c>
      <c r="P42" s="168">
        <v>6.72</v>
      </c>
      <c r="Q42" s="170"/>
      <c r="R42" s="168"/>
      <c r="S42" s="171"/>
      <c r="T42" s="168">
        <v>102.49166666666666</v>
      </c>
      <c r="U42" s="167"/>
      <c r="V42" s="168"/>
      <c r="W42" s="167"/>
      <c r="X42" s="168">
        <v>15</v>
      </c>
      <c r="Y42" s="167"/>
      <c r="Z42" s="168">
        <v>20</v>
      </c>
      <c r="AA42" s="167"/>
      <c r="AB42" s="172">
        <f>+Datos_Generales!$K$9</f>
        <v>3.6999999999999998E-2</v>
      </c>
      <c r="AC42" s="167"/>
      <c r="AD42" s="172">
        <v>0.33</v>
      </c>
      <c r="AE42" s="167"/>
      <c r="AF42" s="168">
        <v>18.36</v>
      </c>
      <c r="AG42" s="170"/>
      <c r="AH42" s="170"/>
      <c r="AI42" s="170"/>
      <c r="AJ42" s="170"/>
      <c r="AK42" s="170"/>
      <c r="AL42" s="170">
        <f t="shared" si="2"/>
        <v>1144.3572525</v>
      </c>
      <c r="AM42" s="170"/>
      <c r="AN42" s="170">
        <f t="shared" si="3"/>
        <v>125.39</v>
      </c>
      <c r="AO42" s="170"/>
      <c r="AP42" s="170">
        <f t="shared" si="4"/>
        <v>56.313820395524999</v>
      </c>
      <c r="AQ42" s="170"/>
      <c r="AR42" s="170">
        <f t="shared" si="5"/>
        <v>377.63789332499999</v>
      </c>
      <c r="AS42" s="170"/>
      <c r="AT42" s="170" t="e">
        <f>+(N42+P42)+((X42+Z42+AF42)/Datos_Generales!$E$15)</f>
        <v>#DIV/0!</v>
      </c>
      <c r="AU42" s="199"/>
      <c r="AV42" s="199">
        <f t="shared" si="6"/>
        <v>1521.995145825</v>
      </c>
      <c r="AW42" s="199"/>
      <c r="AX42" s="173" t="e">
        <f t="shared" si="7"/>
        <v>#DIV/0!</v>
      </c>
    </row>
    <row r="43" spans="1:50" x14ac:dyDescent="0.2">
      <c r="A43" s="161" t="s">
        <v>1087</v>
      </c>
      <c r="B43" s="162">
        <v>2023</v>
      </c>
      <c r="C43" s="163"/>
      <c r="D43" s="163"/>
      <c r="E43" s="164" t="s">
        <v>2271</v>
      </c>
      <c r="F43" s="165" t="s">
        <v>1072</v>
      </c>
      <c r="G43" s="166">
        <v>40</v>
      </c>
      <c r="H43" s="167">
        <v>8</v>
      </c>
      <c r="I43" s="167">
        <v>980.87764499999992</v>
      </c>
      <c r="J43" s="168">
        <v>980.87764499999992</v>
      </c>
      <c r="K43" s="169">
        <v>14</v>
      </c>
      <c r="L43" s="167">
        <f t="shared" si="1"/>
        <v>163.47960749999999</v>
      </c>
      <c r="M43" s="170">
        <v>11</v>
      </c>
      <c r="N43" s="168">
        <v>65.31</v>
      </c>
      <c r="O43" s="170">
        <v>11</v>
      </c>
      <c r="P43" s="168">
        <v>6.72</v>
      </c>
      <c r="Q43" s="170"/>
      <c r="R43" s="168"/>
      <c r="S43" s="171"/>
      <c r="T43" s="168">
        <v>96.634999999999991</v>
      </c>
      <c r="U43" s="167"/>
      <c r="V43" s="168"/>
      <c r="W43" s="167"/>
      <c r="X43" s="168">
        <v>15</v>
      </c>
      <c r="Y43" s="167"/>
      <c r="Z43" s="168">
        <v>20</v>
      </c>
      <c r="AA43" s="167"/>
      <c r="AB43" s="172">
        <f>+Datos_Generales!$K$9</f>
        <v>3.6999999999999998E-2</v>
      </c>
      <c r="AC43" s="167"/>
      <c r="AD43" s="172">
        <v>0.33</v>
      </c>
      <c r="AE43" s="167"/>
      <c r="AF43" s="168">
        <v>18.36</v>
      </c>
      <c r="AG43" s="170"/>
      <c r="AH43" s="170"/>
      <c r="AI43" s="170"/>
      <c r="AJ43" s="170"/>
      <c r="AK43" s="170"/>
      <c r="AL43" s="170">
        <f t="shared" si="2"/>
        <v>1144.3572525</v>
      </c>
      <c r="AM43" s="170"/>
      <c r="AN43" s="170">
        <f t="shared" si="3"/>
        <v>125.39</v>
      </c>
      <c r="AO43" s="170"/>
      <c r="AP43" s="170">
        <f t="shared" si="4"/>
        <v>56.313820395524999</v>
      </c>
      <c r="AQ43" s="170"/>
      <c r="AR43" s="170">
        <f t="shared" si="5"/>
        <v>377.63789332499999</v>
      </c>
      <c r="AS43" s="170"/>
      <c r="AT43" s="170" t="e">
        <f>+(N43+P43)+((X43+Z43+AF43)/Datos_Generales!$E$15)</f>
        <v>#DIV/0!</v>
      </c>
      <c r="AU43" s="199"/>
      <c r="AV43" s="199">
        <f t="shared" si="6"/>
        <v>1521.995145825</v>
      </c>
      <c r="AW43" s="199"/>
      <c r="AX43" s="173" t="e">
        <f t="shared" si="7"/>
        <v>#DIV/0!</v>
      </c>
    </row>
    <row r="44" spans="1:50" x14ac:dyDescent="0.2">
      <c r="A44" s="161" t="s">
        <v>1087</v>
      </c>
      <c r="B44" s="162">
        <v>2023</v>
      </c>
      <c r="C44" s="163"/>
      <c r="D44" s="163"/>
      <c r="E44" s="164" t="s">
        <v>1168</v>
      </c>
      <c r="F44" s="165" t="s">
        <v>1072</v>
      </c>
      <c r="G44" s="166">
        <v>40</v>
      </c>
      <c r="H44" s="167">
        <v>8</v>
      </c>
      <c r="I44" s="167">
        <v>980.87764499999992</v>
      </c>
      <c r="J44" s="168">
        <v>980.87764499999992</v>
      </c>
      <c r="K44" s="169">
        <v>14</v>
      </c>
      <c r="L44" s="167">
        <f t="shared" si="1"/>
        <v>163.47960749999999</v>
      </c>
      <c r="M44" s="170">
        <v>11</v>
      </c>
      <c r="N44" s="168">
        <v>65.31</v>
      </c>
      <c r="O44" s="170">
        <v>11</v>
      </c>
      <c r="P44" s="168">
        <v>6.72</v>
      </c>
      <c r="Q44" s="170"/>
      <c r="R44" s="168"/>
      <c r="S44" s="171"/>
      <c r="T44" s="168">
        <v>96.634999999999991</v>
      </c>
      <c r="U44" s="167"/>
      <c r="V44" s="168"/>
      <c r="W44" s="167"/>
      <c r="X44" s="168">
        <v>15</v>
      </c>
      <c r="Y44" s="167"/>
      <c r="Z44" s="168">
        <v>20</v>
      </c>
      <c r="AA44" s="167"/>
      <c r="AB44" s="172">
        <f>+Datos_Generales!$K$9</f>
        <v>3.6999999999999998E-2</v>
      </c>
      <c r="AC44" s="167"/>
      <c r="AD44" s="172">
        <v>0.33</v>
      </c>
      <c r="AE44" s="167"/>
      <c r="AF44" s="168">
        <v>18.36</v>
      </c>
      <c r="AG44" s="170"/>
      <c r="AH44" s="170"/>
      <c r="AI44" s="170"/>
      <c r="AJ44" s="170"/>
      <c r="AK44" s="170"/>
      <c r="AL44" s="170">
        <f t="shared" si="2"/>
        <v>1144.3572525</v>
      </c>
      <c r="AM44" s="170"/>
      <c r="AN44" s="170">
        <f t="shared" si="3"/>
        <v>125.39</v>
      </c>
      <c r="AO44" s="170"/>
      <c r="AP44" s="170">
        <f t="shared" si="4"/>
        <v>56.313820395524999</v>
      </c>
      <c r="AQ44" s="170"/>
      <c r="AR44" s="170">
        <f t="shared" si="5"/>
        <v>377.63789332499999</v>
      </c>
      <c r="AS44" s="170"/>
      <c r="AT44" s="170" t="e">
        <f>+(N44+P44)+((X44+Z44+AF44)/Datos_Generales!$E$15)</f>
        <v>#DIV/0!</v>
      </c>
      <c r="AU44" s="199"/>
      <c r="AV44" s="199">
        <f t="shared" si="6"/>
        <v>1521.995145825</v>
      </c>
      <c r="AW44" s="199"/>
      <c r="AX44" s="173" t="e">
        <f t="shared" si="7"/>
        <v>#DIV/0!</v>
      </c>
    </row>
    <row r="45" spans="1:50" x14ac:dyDescent="0.2">
      <c r="A45" s="161" t="s">
        <v>1087</v>
      </c>
      <c r="B45" s="162">
        <v>2023</v>
      </c>
      <c r="C45" s="163"/>
      <c r="D45" s="163"/>
      <c r="E45" s="164" t="s">
        <v>2272</v>
      </c>
      <c r="F45" s="165" t="s">
        <v>2273</v>
      </c>
      <c r="G45" s="166">
        <v>40</v>
      </c>
      <c r="H45" s="167">
        <v>8</v>
      </c>
      <c r="I45" s="167">
        <v>1219.7430299999999</v>
      </c>
      <c r="J45" s="168">
        <v>1219.7430299999999</v>
      </c>
      <c r="K45" s="169">
        <v>12</v>
      </c>
      <c r="L45" s="167">
        <f t="shared" si="1"/>
        <v>0</v>
      </c>
      <c r="M45" s="170"/>
      <c r="N45" s="168"/>
      <c r="O45" s="170"/>
      <c r="P45" s="168"/>
      <c r="Q45" s="170"/>
      <c r="R45" s="168"/>
      <c r="S45" s="171"/>
      <c r="T45" s="168"/>
      <c r="U45" s="167"/>
      <c r="V45" s="168"/>
      <c r="W45" s="167"/>
      <c r="X45" s="168">
        <v>15</v>
      </c>
      <c r="Y45" s="167"/>
      <c r="Z45" s="168">
        <v>20</v>
      </c>
      <c r="AA45" s="167"/>
      <c r="AB45" s="172">
        <f>+Datos_Generales!$K$9</f>
        <v>3.6999999999999998E-2</v>
      </c>
      <c r="AC45" s="167"/>
      <c r="AD45" s="172">
        <v>0.33</v>
      </c>
      <c r="AE45" s="167"/>
      <c r="AF45" s="168">
        <v>18.36</v>
      </c>
      <c r="AG45" s="170"/>
      <c r="AH45" s="170"/>
      <c r="AI45" s="170"/>
      <c r="AJ45" s="170"/>
      <c r="AK45" s="170"/>
      <c r="AL45" s="170">
        <f t="shared" si="2"/>
        <v>1219.7430299999999</v>
      </c>
      <c r="AM45" s="170"/>
      <c r="AN45" s="170">
        <f t="shared" si="3"/>
        <v>53.36</v>
      </c>
      <c r="AO45" s="170"/>
      <c r="AP45" s="170">
        <f t="shared" si="4"/>
        <v>60.023554506299988</v>
      </c>
      <c r="AQ45" s="170"/>
      <c r="AR45" s="170">
        <f t="shared" si="5"/>
        <v>402.51519989999997</v>
      </c>
      <c r="AS45" s="170"/>
      <c r="AT45" s="170" t="e">
        <f>+(N45+P45)+((X45+Z45+AF45)/Datos_Generales!$E$15)</f>
        <v>#DIV/0!</v>
      </c>
      <c r="AU45" s="199"/>
      <c r="AV45" s="199">
        <f t="shared" si="6"/>
        <v>1622.2582298999998</v>
      </c>
      <c r="AW45" s="199"/>
      <c r="AX45" s="173" t="e">
        <f t="shared" si="7"/>
        <v>#DIV/0!</v>
      </c>
    </row>
    <row r="46" spans="1:50" x14ac:dyDescent="0.2">
      <c r="A46" s="161" t="s">
        <v>1087</v>
      </c>
      <c r="B46" s="162">
        <v>2019</v>
      </c>
      <c r="C46" s="163"/>
      <c r="D46" s="163"/>
      <c r="E46" s="164" t="s">
        <v>1073</v>
      </c>
      <c r="F46" s="165" t="s">
        <v>1072</v>
      </c>
      <c r="G46" s="166">
        <v>40</v>
      </c>
      <c r="H46" s="167">
        <v>8</v>
      </c>
      <c r="I46" s="167">
        <v>980.87764499999992</v>
      </c>
      <c r="J46" s="168">
        <v>980.87764499999992</v>
      </c>
      <c r="K46" s="169">
        <v>14</v>
      </c>
      <c r="L46" s="167">
        <f t="shared" si="1"/>
        <v>163.47960749999999</v>
      </c>
      <c r="M46" s="170">
        <v>11</v>
      </c>
      <c r="N46" s="168">
        <v>65.31</v>
      </c>
      <c r="O46" s="170">
        <v>11</v>
      </c>
      <c r="P46" s="168">
        <v>6.72</v>
      </c>
      <c r="Q46" s="170"/>
      <c r="R46" s="168"/>
      <c r="S46" s="171"/>
      <c r="T46" s="168">
        <v>96.634999999999991</v>
      </c>
      <c r="U46" s="167"/>
      <c r="V46" s="168"/>
      <c r="W46" s="167"/>
      <c r="X46" s="168">
        <v>15</v>
      </c>
      <c r="Y46" s="167"/>
      <c r="Z46" s="168">
        <v>20</v>
      </c>
      <c r="AA46" s="167"/>
      <c r="AB46" s="172">
        <f>+Datos_Generales!$K$9</f>
        <v>3.6999999999999998E-2</v>
      </c>
      <c r="AC46" s="167"/>
      <c r="AD46" s="172">
        <v>0.33</v>
      </c>
      <c r="AE46" s="167"/>
      <c r="AF46" s="168">
        <v>18.36</v>
      </c>
      <c r="AG46" s="170"/>
      <c r="AH46" s="170"/>
      <c r="AI46" s="170"/>
      <c r="AJ46" s="170"/>
      <c r="AK46" s="170"/>
      <c r="AL46" s="170">
        <f t="shared" si="2"/>
        <v>1144.3572525</v>
      </c>
      <c r="AM46" s="170"/>
      <c r="AN46" s="170">
        <f t="shared" si="3"/>
        <v>125.39</v>
      </c>
      <c r="AO46" s="170"/>
      <c r="AP46" s="170">
        <f t="shared" si="4"/>
        <v>56.313820395524999</v>
      </c>
      <c r="AQ46" s="170"/>
      <c r="AR46" s="170">
        <f t="shared" si="5"/>
        <v>377.63789332499999</v>
      </c>
      <c r="AS46" s="170"/>
      <c r="AT46" s="170" t="e">
        <f>+(N46+P46)+((X46+Z46+AF46)/Datos_Generales!$E$15)</f>
        <v>#DIV/0!</v>
      </c>
      <c r="AU46" s="199"/>
      <c r="AV46" s="199">
        <f t="shared" si="6"/>
        <v>1521.995145825</v>
      </c>
      <c r="AW46" s="199"/>
      <c r="AX46" s="173" t="e">
        <f t="shared" si="7"/>
        <v>#DIV/0!</v>
      </c>
    </row>
    <row r="47" spans="1:50" x14ac:dyDescent="0.2">
      <c r="A47" s="161" t="s">
        <v>2279</v>
      </c>
      <c r="B47" s="162">
        <v>2019</v>
      </c>
      <c r="C47" s="163">
        <v>0</v>
      </c>
      <c r="D47" s="163">
        <v>1798</v>
      </c>
      <c r="E47" s="164" t="s">
        <v>1063</v>
      </c>
      <c r="F47" s="165" t="s">
        <v>2280</v>
      </c>
      <c r="G47" s="166">
        <v>40</v>
      </c>
      <c r="H47" s="167">
        <v>8</v>
      </c>
      <c r="I47" s="167">
        <v>1248.5674650000001</v>
      </c>
      <c r="J47" s="168">
        <v>1248.5674650000001</v>
      </c>
      <c r="K47" s="169">
        <v>15</v>
      </c>
      <c r="L47" s="167">
        <f t="shared" si="1"/>
        <v>312.14186625000002</v>
      </c>
      <c r="M47" s="170">
        <v>11</v>
      </c>
      <c r="N47" s="168">
        <v>92.45</v>
      </c>
      <c r="O47" s="170">
        <v>12</v>
      </c>
      <c r="P47" s="168">
        <v>51.762500000000003</v>
      </c>
      <c r="Q47" s="170"/>
      <c r="R47" s="168">
        <v>41.43</v>
      </c>
      <c r="S47" s="171"/>
      <c r="T47" s="168"/>
      <c r="U47" s="167"/>
      <c r="V47" s="168"/>
      <c r="W47" s="167"/>
      <c r="X47" s="168">
        <v>15</v>
      </c>
      <c r="Y47" s="167"/>
      <c r="Z47" s="168">
        <v>20</v>
      </c>
      <c r="AA47" s="167"/>
      <c r="AB47" s="172">
        <f>+Datos_Generales!$K$9</f>
        <v>3.6999999999999998E-2</v>
      </c>
      <c r="AC47" s="167"/>
      <c r="AD47" s="172">
        <v>0.33</v>
      </c>
      <c r="AE47" s="167"/>
      <c r="AF47" s="168">
        <v>18.36</v>
      </c>
      <c r="AG47" s="170"/>
      <c r="AH47" s="170"/>
      <c r="AI47" s="170"/>
      <c r="AJ47" s="170"/>
      <c r="AK47" s="170"/>
      <c r="AL47" s="170">
        <f t="shared" si="2"/>
        <v>1560.7093312500001</v>
      </c>
      <c r="AM47" s="170"/>
      <c r="AN47" s="170">
        <f t="shared" si="3"/>
        <v>197.57249999999999</v>
      </c>
      <c r="AO47" s="170"/>
      <c r="AP47" s="170">
        <f t="shared" si="4"/>
        <v>76.802506190812508</v>
      </c>
      <c r="AQ47" s="170"/>
      <c r="AR47" s="170">
        <f t="shared" si="5"/>
        <v>515.03407931250001</v>
      </c>
      <c r="AS47" s="170"/>
      <c r="AT47" s="170" t="e">
        <f>+(N47+P47)+((X47+Z47+AF47)/Datos_Generales!$E$15)</f>
        <v>#DIV/0!</v>
      </c>
      <c r="AU47" s="199"/>
      <c r="AV47" s="199">
        <f t="shared" si="6"/>
        <v>2075.7434105625002</v>
      </c>
      <c r="AW47" s="199"/>
      <c r="AX47" s="173" t="e">
        <f t="shared" si="7"/>
        <v>#DIV/0!</v>
      </c>
    </row>
    <row r="48" spans="1:50" x14ac:dyDescent="0.2">
      <c r="A48" s="161" t="s">
        <v>2279</v>
      </c>
      <c r="B48" s="162">
        <v>2019</v>
      </c>
      <c r="C48" s="163"/>
      <c r="D48" s="163"/>
      <c r="E48" s="164" t="s">
        <v>1065</v>
      </c>
      <c r="F48" s="165" t="s">
        <v>2281</v>
      </c>
      <c r="G48" s="166">
        <v>40</v>
      </c>
      <c r="H48" s="167">
        <v>8</v>
      </c>
      <c r="I48" s="167">
        <v>1182.1782149999999</v>
      </c>
      <c r="J48" s="168">
        <v>1182.1782149999999</v>
      </c>
      <c r="K48" s="169">
        <v>15</v>
      </c>
      <c r="L48" s="167">
        <f t="shared" si="1"/>
        <v>295.54455374999998</v>
      </c>
      <c r="M48" s="170">
        <v>11</v>
      </c>
      <c r="N48" s="168">
        <v>92.45</v>
      </c>
      <c r="O48" s="170">
        <v>12</v>
      </c>
      <c r="P48" s="168">
        <v>51.762500000000003</v>
      </c>
      <c r="Q48" s="170"/>
      <c r="R48" s="168">
        <v>41.43</v>
      </c>
      <c r="S48" s="171"/>
      <c r="T48" s="168"/>
      <c r="U48" s="167"/>
      <c r="V48" s="168"/>
      <c r="W48" s="167"/>
      <c r="X48" s="168">
        <v>15</v>
      </c>
      <c r="Y48" s="167"/>
      <c r="Z48" s="168">
        <v>20</v>
      </c>
      <c r="AA48" s="167"/>
      <c r="AB48" s="172">
        <f>+Datos_Generales!$K$9</f>
        <v>3.6999999999999998E-2</v>
      </c>
      <c r="AC48" s="167"/>
      <c r="AD48" s="172">
        <v>0.33</v>
      </c>
      <c r="AE48" s="167"/>
      <c r="AF48" s="168">
        <v>18.36</v>
      </c>
      <c r="AG48" s="170"/>
      <c r="AH48" s="170"/>
      <c r="AI48" s="170"/>
      <c r="AJ48" s="170"/>
      <c r="AK48" s="170"/>
      <c r="AL48" s="170">
        <f t="shared" si="2"/>
        <v>1477.7227687499999</v>
      </c>
      <c r="AM48" s="170"/>
      <c r="AN48" s="170">
        <f t="shared" si="3"/>
        <v>197.57249999999999</v>
      </c>
      <c r="AO48" s="170"/>
      <c r="AP48" s="170">
        <f t="shared" si="4"/>
        <v>72.71873745018749</v>
      </c>
      <c r="AQ48" s="170"/>
      <c r="AR48" s="170">
        <f t="shared" si="5"/>
        <v>487.64851368749999</v>
      </c>
      <c r="AS48" s="170"/>
      <c r="AT48" s="170" t="e">
        <f>+(N48+P48)+((X48+Z48+AF48)/Datos_Generales!$E$15)</f>
        <v>#DIV/0!</v>
      </c>
      <c r="AU48" s="199"/>
      <c r="AV48" s="199">
        <f t="shared" si="6"/>
        <v>1965.3712824375</v>
      </c>
      <c r="AW48" s="199"/>
      <c r="AX48" s="173" t="e">
        <f t="shared" si="7"/>
        <v>#DIV/0!</v>
      </c>
    </row>
    <row r="49" spans="1:50" x14ac:dyDescent="0.2">
      <c r="A49" s="161" t="s">
        <v>2279</v>
      </c>
      <c r="B49" s="162">
        <v>2019</v>
      </c>
      <c r="C49" s="163"/>
      <c r="D49" s="163"/>
      <c r="E49" s="164" t="s">
        <v>2268</v>
      </c>
      <c r="F49" s="165" t="s">
        <v>2282</v>
      </c>
      <c r="G49" s="166">
        <v>40</v>
      </c>
      <c r="H49" s="167">
        <v>8</v>
      </c>
      <c r="I49" s="167">
        <v>1128.8577150000001</v>
      </c>
      <c r="J49" s="168">
        <v>1128.8577150000001</v>
      </c>
      <c r="K49" s="169">
        <v>15</v>
      </c>
      <c r="L49" s="167">
        <f t="shared" si="1"/>
        <v>282.21442875000002</v>
      </c>
      <c r="M49" s="170">
        <v>11</v>
      </c>
      <c r="N49" s="168">
        <v>92.45</v>
      </c>
      <c r="O49" s="170">
        <v>12</v>
      </c>
      <c r="P49" s="168">
        <v>51.762500000000003</v>
      </c>
      <c r="Q49" s="170"/>
      <c r="R49" s="168">
        <v>41.43</v>
      </c>
      <c r="S49" s="171"/>
      <c r="T49" s="168"/>
      <c r="U49" s="167"/>
      <c r="V49" s="168"/>
      <c r="W49" s="167"/>
      <c r="X49" s="168">
        <v>15</v>
      </c>
      <c r="Y49" s="167"/>
      <c r="Z49" s="168">
        <v>20</v>
      </c>
      <c r="AA49" s="167"/>
      <c r="AB49" s="172">
        <f>+Datos_Generales!$K$9</f>
        <v>3.6999999999999998E-2</v>
      </c>
      <c r="AC49" s="167"/>
      <c r="AD49" s="172">
        <v>0.33</v>
      </c>
      <c r="AE49" s="167"/>
      <c r="AF49" s="168">
        <v>18.36</v>
      </c>
      <c r="AG49" s="170"/>
      <c r="AH49" s="170"/>
      <c r="AI49" s="170"/>
      <c r="AJ49" s="170"/>
      <c r="AK49" s="170"/>
      <c r="AL49" s="170">
        <f t="shared" si="2"/>
        <v>1411.0721437500001</v>
      </c>
      <c r="AM49" s="170"/>
      <c r="AN49" s="170">
        <f t="shared" si="3"/>
        <v>197.57249999999999</v>
      </c>
      <c r="AO49" s="170"/>
      <c r="AP49" s="170">
        <f t="shared" si="4"/>
        <v>69.438860193937501</v>
      </c>
      <c r="AQ49" s="170"/>
      <c r="AR49" s="170">
        <f t="shared" si="5"/>
        <v>465.65380743750006</v>
      </c>
      <c r="AS49" s="170"/>
      <c r="AT49" s="170" t="e">
        <f>+(N49+P49)+((X49+Z49+AF49)/Datos_Generales!$E$15)</f>
        <v>#DIV/0!</v>
      </c>
      <c r="AU49" s="199"/>
      <c r="AV49" s="199">
        <f t="shared" si="6"/>
        <v>1876.7259511875002</v>
      </c>
      <c r="AW49" s="199"/>
      <c r="AX49" s="173" t="e">
        <f t="shared" si="7"/>
        <v>#DIV/0!</v>
      </c>
    </row>
    <row r="50" spans="1:50" x14ac:dyDescent="0.2">
      <c r="A50" s="161" t="s">
        <v>2279</v>
      </c>
      <c r="B50" s="163">
        <v>2019</v>
      </c>
      <c r="C50" s="174"/>
      <c r="D50" s="175"/>
      <c r="E50" s="164" t="s">
        <v>1067</v>
      </c>
      <c r="F50" s="165" t="s">
        <v>2283</v>
      </c>
      <c r="G50" s="166">
        <v>40</v>
      </c>
      <c r="H50" s="167">
        <v>8</v>
      </c>
      <c r="I50" s="167">
        <v>1078.5377999999998</v>
      </c>
      <c r="J50" s="168">
        <v>1078.5377999999998</v>
      </c>
      <c r="K50" s="169">
        <v>15</v>
      </c>
      <c r="L50" s="167">
        <f t="shared" si="1"/>
        <v>269.63444999999996</v>
      </c>
      <c r="M50" s="170">
        <v>11</v>
      </c>
      <c r="N50" s="168">
        <v>92.45</v>
      </c>
      <c r="O50" s="170">
        <v>12</v>
      </c>
      <c r="P50" s="168">
        <v>51.762500000000003</v>
      </c>
      <c r="Q50" s="170"/>
      <c r="R50" s="168">
        <v>41.43</v>
      </c>
      <c r="S50" s="171"/>
      <c r="T50" s="168"/>
      <c r="U50" s="167"/>
      <c r="V50" s="168"/>
      <c r="W50" s="167"/>
      <c r="X50" s="168">
        <v>15</v>
      </c>
      <c r="Y50" s="167"/>
      <c r="Z50" s="168">
        <v>20</v>
      </c>
      <c r="AA50" s="167"/>
      <c r="AB50" s="172">
        <f>+Datos_Generales!$K$9</f>
        <v>3.6999999999999998E-2</v>
      </c>
      <c r="AC50" s="167"/>
      <c r="AD50" s="172">
        <v>0.33</v>
      </c>
      <c r="AE50" s="167"/>
      <c r="AF50" s="168">
        <v>18.36</v>
      </c>
      <c r="AG50" s="170"/>
      <c r="AH50" s="170"/>
      <c r="AI50" s="170"/>
      <c r="AJ50" s="170"/>
      <c r="AK50" s="170"/>
      <c r="AL50" s="170">
        <f t="shared" si="2"/>
        <v>1348.1722499999998</v>
      </c>
      <c r="AM50" s="170"/>
      <c r="AN50" s="170">
        <f t="shared" si="3"/>
        <v>197.57249999999999</v>
      </c>
      <c r="AO50" s="170"/>
      <c r="AP50" s="170">
        <f t="shared" si="4"/>
        <v>66.343556422499987</v>
      </c>
      <c r="AQ50" s="170"/>
      <c r="AR50" s="170">
        <f t="shared" si="5"/>
        <v>444.89684249999999</v>
      </c>
      <c r="AS50" s="170"/>
      <c r="AT50" s="170" t="e">
        <f>+(N50+P50)+((X50+Z50+AF50)/Datos_Generales!$E$15)</f>
        <v>#DIV/0!</v>
      </c>
      <c r="AU50" s="199"/>
      <c r="AV50" s="199">
        <f t="shared" si="6"/>
        <v>1793.0690924999999</v>
      </c>
      <c r="AW50" s="199"/>
      <c r="AX50" s="173" t="e">
        <f t="shared" si="7"/>
        <v>#DIV/0!</v>
      </c>
    </row>
    <row r="51" spans="1:50" x14ac:dyDescent="0.2">
      <c r="A51" s="161" t="s">
        <v>2279</v>
      </c>
      <c r="B51" s="163">
        <v>2019</v>
      </c>
      <c r="C51" s="163"/>
      <c r="D51" s="163"/>
      <c r="E51" s="164" t="s">
        <v>2284</v>
      </c>
      <c r="F51" s="165" t="s">
        <v>2285</v>
      </c>
      <c r="G51" s="166">
        <v>40</v>
      </c>
      <c r="H51" s="167">
        <v>8</v>
      </c>
      <c r="I51" s="167">
        <v>958.72349999999994</v>
      </c>
      <c r="J51" s="168">
        <v>958.72349999999994</v>
      </c>
      <c r="K51" s="169">
        <v>15</v>
      </c>
      <c r="L51" s="167">
        <f t="shared" si="1"/>
        <v>239.68087499999999</v>
      </c>
      <c r="M51" s="170">
        <v>11</v>
      </c>
      <c r="N51" s="168">
        <v>92.45</v>
      </c>
      <c r="O51" s="170">
        <v>12</v>
      </c>
      <c r="P51" s="168">
        <v>51.762500000000003</v>
      </c>
      <c r="Q51" s="170"/>
      <c r="R51" s="168">
        <v>41.43</v>
      </c>
      <c r="S51" s="171"/>
      <c r="T51" s="168"/>
      <c r="U51" s="167"/>
      <c r="V51" s="168"/>
      <c r="W51" s="167"/>
      <c r="X51" s="168">
        <v>15</v>
      </c>
      <c r="Y51" s="167"/>
      <c r="Z51" s="168">
        <v>20</v>
      </c>
      <c r="AA51" s="167"/>
      <c r="AB51" s="172">
        <f>+Datos_Generales!$K$9</f>
        <v>3.6999999999999998E-2</v>
      </c>
      <c r="AC51" s="167"/>
      <c r="AD51" s="172">
        <v>0.33</v>
      </c>
      <c r="AE51" s="167"/>
      <c r="AF51" s="168">
        <v>18.36</v>
      </c>
      <c r="AG51" s="170"/>
      <c r="AH51" s="170"/>
      <c r="AI51" s="170"/>
      <c r="AJ51" s="170"/>
      <c r="AK51" s="170"/>
      <c r="AL51" s="170">
        <f t="shared" si="2"/>
        <v>1198.4043749999998</v>
      </c>
      <c r="AM51" s="170"/>
      <c r="AN51" s="170">
        <f t="shared" si="3"/>
        <v>197.57249999999999</v>
      </c>
      <c r="AO51" s="170"/>
      <c r="AP51" s="170">
        <f t="shared" si="4"/>
        <v>58.973479293749996</v>
      </c>
      <c r="AQ51" s="170"/>
      <c r="AR51" s="170">
        <f t="shared" si="5"/>
        <v>395.47344374999994</v>
      </c>
      <c r="AS51" s="170"/>
      <c r="AT51" s="170" t="e">
        <f>+(N51+P51)+((X51+Z51+AF51)/Datos_Generales!$E$15)</f>
        <v>#DIV/0!</v>
      </c>
      <c r="AU51" s="199"/>
      <c r="AV51" s="199">
        <f t="shared" si="6"/>
        <v>1593.87781875</v>
      </c>
      <c r="AW51" s="199"/>
      <c r="AX51" s="173" t="e">
        <f t="shared" si="7"/>
        <v>#DIV/0!</v>
      </c>
    </row>
    <row r="52" spans="1:50" x14ac:dyDescent="0.2">
      <c r="A52" s="161" t="s">
        <v>2279</v>
      </c>
      <c r="B52" s="163">
        <v>2019</v>
      </c>
      <c r="C52" s="163"/>
      <c r="D52" s="163"/>
      <c r="E52" s="164" t="s">
        <v>1084</v>
      </c>
      <c r="F52" s="165" t="s">
        <v>2283</v>
      </c>
      <c r="G52" s="166">
        <v>40</v>
      </c>
      <c r="H52" s="167">
        <v>8</v>
      </c>
      <c r="I52" s="167">
        <v>1078.5377999999998</v>
      </c>
      <c r="J52" s="168">
        <v>1078.5377999999998</v>
      </c>
      <c r="K52" s="169">
        <v>15</v>
      </c>
      <c r="L52" s="167">
        <f t="shared" si="1"/>
        <v>269.63444999999996</v>
      </c>
      <c r="M52" s="170">
        <v>11</v>
      </c>
      <c r="N52" s="168">
        <v>92.45</v>
      </c>
      <c r="O52" s="170">
        <v>12</v>
      </c>
      <c r="P52" s="168">
        <v>51.762500000000003</v>
      </c>
      <c r="Q52" s="170"/>
      <c r="R52" s="168">
        <v>41.43</v>
      </c>
      <c r="S52" s="171"/>
      <c r="T52" s="168"/>
      <c r="U52" s="167"/>
      <c r="V52" s="168"/>
      <c r="W52" s="167"/>
      <c r="X52" s="168">
        <v>15</v>
      </c>
      <c r="Y52" s="167"/>
      <c r="Z52" s="168">
        <v>20</v>
      </c>
      <c r="AA52" s="167"/>
      <c r="AB52" s="172">
        <f>+Datos_Generales!$K$9</f>
        <v>3.6999999999999998E-2</v>
      </c>
      <c r="AC52" s="167"/>
      <c r="AD52" s="172">
        <v>0.33</v>
      </c>
      <c r="AE52" s="167"/>
      <c r="AF52" s="168">
        <v>18.36</v>
      </c>
      <c r="AG52" s="170"/>
      <c r="AH52" s="170"/>
      <c r="AI52" s="170"/>
      <c r="AJ52" s="170"/>
      <c r="AK52" s="170"/>
      <c r="AL52" s="170">
        <f t="shared" si="2"/>
        <v>1348.1722499999998</v>
      </c>
      <c r="AM52" s="170"/>
      <c r="AN52" s="170">
        <f t="shared" si="3"/>
        <v>197.57249999999999</v>
      </c>
      <c r="AO52" s="170"/>
      <c r="AP52" s="170">
        <f t="shared" si="4"/>
        <v>66.343556422499987</v>
      </c>
      <c r="AQ52" s="170"/>
      <c r="AR52" s="170">
        <f t="shared" si="5"/>
        <v>444.89684249999999</v>
      </c>
      <c r="AS52" s="170"/>
      <c r="AT52" s="170" t="e">
        <f>+(N52+P52)+((X52+Z52+AF52)/Datos_Generales!$E$15)</f>
        <v>#DIV/0!</v>
      </c>
      <c r="AU52" s="199"/>
      <c r="AV52" s="199">
        <f t="shared" si="6"/>
        <v>1793.0690924999999</v>
      </c>
      <c r="AW52" s="199"/>
      <c r="AX52" s="173" t="e">
        <f t="shared" si="7"/>
        <v>#DIV/0!</v>
      </c>
    </row>
    <row r="53" spans="1:50" x14ac:dyDescent="0.2">
      <c r="A53" s="178" t="s">
        <v>2279</v>
      </c>
      <c r="B53" s="179">
        <v>2019</v>
      </c>
      <c r="C53" s="174"/>
      <c r="D53" s="175"/>
      <c r="E53" s="164" t="s">
        <v>1073</v>
      </c>
      <c r="F53" s="165" t="s">
        <v>2282</v>
      </c>
      <c r="G53" s="166">
        <v>40</v>
      </c>
      <c r="H53" s="167">
        <v>8</v>
      </c>
      <c r="I53" s="167">
        <v>1128.8577150000001</v>
      </c>
      <c r="J53" s="168">
        <v>1128.8577150000001</v>
      </c>
      <c r="K53" s="169">
        <v>15</v>
      </c>
      <c r="L53" s="167">
        <f t="shared" si="1"/>
        <v>282.21442875000002</v>
      </c>
      <c r="M53" s="170">
        <v>11</v>
      </c>
      <c r="N53" s="168">
        <v>92.45</v>
      </c>
      <c r="O53" s="170">
        <v>12</v>
      </c>
      <c r="P53" s="168">
        <v>51.762500000000003</v>
      </c>
      <c r="Q53" s="170"/>
      <c r="R53" s="168">
        <v>41.43</v>
      </c>
      <c r="S53" s="171"/>
      <c r="T53" s="168"/>
      <c r="U53" s="167"/>
      <c r="V53" s="168"/>
      <c r="W53" s="167"/>
      <c r="X53" s="168">
        <v>15</v>
      </c>
      <c r="Y53" s="167"/>
      <c r="Z53" s="168">
        <v>20</v>
      </c>
      <c r="AA53" s="167"/>
      <c r="AB53" s="172">
        <f>+Datos_Generales!$K$9</f>
        <v>3.6999999999999998E-2</v>
      </c>
      <c r="AC53" s="167"/>
      <c r="AD53" s="172">
        <v>0.33</v>
      </c>
      <c r="AE53" s="167"/>
      <c r="AF53" s="168">
        <v>18.36</v>
      </c>
      <c r="AG53" s="170"/>
      <c r="AH53" s="170"/>
      <c r="AI53" s="170"/>
      <c r="AJ53" s="170"/>
      <c r="AK53" s="170"/>
      <c r="AL53" s="170">
        <f t="shared" si="2"/>
        <v>1411.0721437500001</v>
      </c>
      <c r="AM53" s="170"/>
      <c r="AN53" s="170">
        <f t="shared" si="3"/>
        <v>197.57249999999999</v>
      </c>
      <c r="AO53" s="170"/>
      <c r="AP53" s="170">
        <f t="shared" si="4"/>
        <v>69.438860193937501</v>
      </c>
      <c r="AQ53" s="170"/>
      <c r="AR53" s="170">
        <f t="shared" si="5"/>
        <v>465.65380743750006</v>
      </c>
      <c r="AS53" s="170"/>
      <c r="AT53" s="170" t="e">
        <f>+(N53+P53)+((X53+Z53+AF53)/Datos_Generales!$E$15)</f>
        <v>#DIV/0!</v>
      </c>
      <c r="AU53" s="199"/>
      <c r="AV53" s="199">
        <f t="shared" si="6"/>
        <v>1876.7259511875002</v>
      </c>
      <c r="AW53" s="199"/>
      <c r="AX53" s="173" t="e">
        <f t="shared" si="7"/>
        <v>#DIV/0!</v>
      </c>
    </row>
    <row r="54" spans="1:50" x14ac:dyDescent="0.2">
      <c r="A54" s="178" t="s">
        <v>2279</v>
      </c>
      <c r="B54" s="179">
        <v>2019</v>
      </c>
      <c r="C54" s="163"/>
      <c r="D54" s="163"/>
      <c r="E54" s="164" t="s">
        <v>2272</v>
      </c>
      <c r="F54" s="165" t="s">
        <v>2273</v>
      </c>
      <c r="G54" s="166">
        <v>40</v>
      </c>
      <c r="H54" s="167">
        <v>8</v>
      </c>
      <c r="I54" s="167">
        <v>1219.7430299999999</v>
      </c>
      <c r="J54" s="168">
        <v>1219.7430299999999</v>
      </c>
      <c r="K54" s="169">
        <v>12</v>
      </c>
      <c r="L54" s="167">
        <f t="shared" si="1"/>
        <v>0</v>
      </c>
      <c r="M54" s="170"/>
      <c r="N54" s="168"/>
      <c r="O54" s="170"/>
      <c r="P54" s="168"/>
      <c r="Q54" s="170"/>
      <c r="R54" s="168"/>
      <c r="S54" s="171"/>
      <c r="T54" s="168"/>
      <c r="U54" s="167"/>
      <c r="V54" s="168"/>
      <c r="W54" s="167"/>
      <c r="X54" s="168">
        <v>15</v>
      </c>
      <c r="Y54" s="167"/>
      <c r="Z54" s="168">
        <v>20</v>
      </c>
      <c r="AA54" s="167"/>
      <c r="AB54" s="172">
        <f>+Datos_Generales!$K$9</f>
        <v>3.6999999999999998E-2</v>
      </c>
      <c r="AC54" s="167"/>
      <c r="AD54" s="172">
        <v>0.33</v>
      </c>
      <c r="AE54" s="167"/>
      <c r="AF54" s="168">
        <v>18.36</v>
      </c>
      <c r="AG54" s="170"/>
      <c r="AH54" s="170"/>
      <c r="AI54" s="170"/>
      <c r="AJ54" s="170"/>
      <c r="AK54" s="170"/>
      <c r="AL54" s="170">
        <f t="shared" si="2"/>
        <v>1219.7430299999999</v>
      </c>
      <c r="AM54" s="170"/>
      <c r="AN54" s="170">
        <f t="shared" si="3"/>
        <v>53.36</v>
      </c>
      <c r="AO54" s="170"/>
      <c r="AP54" s="170">
        <f t="shared" si="4"/>
        <v>60.023554506299988</v>
      </c>
      <c r="AQ54" s="170"/>
      <c r="AR54" s="170">
        <f t="shared" si="5"/>
        <v>402.51519989999997</v>
      </c>
      <c r="AS54" s="170"/>
      <c r="AT54" s="170" t="e">
        <f>+(N54+P54)+((X54+Z54+AF54)/Datos_Generales!$E$15)</f>
        <v>#DIV/0!</v>
      </c>
      <c r="AU54" s="199"/>
      <c r="AV54" s="199">
        <f t="shared" si="6"/>
        <v>1622.2582298999998</v>
      </c>
      <c r="AW54" s="199"/>
      <c r="AX54" s="173" t="e">
        <f t="shared" si="7"/>
        <v>#DIV/0!</v>
      </c>
    </row>
    <row r="55" spans="1:50" x14ac:dyDescent="0.2">
      <c r="A55" s="161" t="s">
        <v>2279</v>
      </c>
      <c r="B55" s="179">
        <v>2019</v>
      </c>
      <c r="C55" s="174"/>
      <c r="D55" s="175"/>
      <c r="E55" s="176" t="s">
        <v>2286</v>
      </c>
      <c r="F55" s="165" t="s">
        <v>2287</v>
      </c>
      <c r="G55" s="166">
        <v>40</v>
      </c>
      <c r="H55" s="167">
        <v>8</v>
      </c>
      <c r="I55" s="167">
        <v>937.32211499999994</v>
      </c>
      <c r="J55" s="168">
        <v>937.32211499999994</v>
      </c>
      <c r="K55" s="169">
        <v>15</v>
      </c>
      <c r="L55" s="167">
        <f t="shared" si="1"/>
        <v>234.33052874999998</v>
      </c>
      <c r="M55" s="170">
        <v>11</v>
      </c>
      <c r="N55" s="168">
        <v>92.45</v>
      </c>
      <c r="O55" s="170">
        <v>12</v>
      </c>
      <c r="P55" s="168">
        <v>51.762500000000003</v>
      </c>
      <c r="Q55" s="170"/>
      <c r="R55" s="168">
        <v>41.43</v>
      </c>
      <c r="S55" s="171"/>
      <c r="T55" s="168"/>
      <c r="U55" s="167"/>
      <c r="V55" s="168"/>
      <c r="W55" s="167"/>
      <c r="X55" s="168">
        <v>15</v>
      </c>
      <c r="Y55" s="167"/>
      <c r="Z55" s="168">
        <v>20</v>
      </c>
      <c r="AA55" s="167"/>
      <c r="AB55" s="172">
        <f>+Datos_Generales!$K$9</f>
        <v>3.6999999999999998E-2</v>
      </c>
      <c r="AC55" s="167"/>
      <c r="AD55" s="172">
        <v>0.33</v>
      </c>
      <c r="AE55" s="167"/>
      <c r="AF55" s="168">
        <v>18.36</v>
      </c>
      <c r="AG55" s="170"/>
      <c r="AH55" s="170"/>
      <c r="AI55" s="170"/>
      <c r="AJ55" s="170"/>
      <c r="AK55" s="170"/>
      <c r="AL55" s="170">
        <f t="shared" si="2"/>
        <v>1171.6526437499999</v>
      </c>
      <c r="AM55" s="170"/>
      <c r="AN55" s="170">
        <f t="shared" si="3"/>
        <v>197.57249999999999</v>
      </c>
      <c r="AO55" s="170"/>
      <c r="AP55" s="170">
        <f t="shared" si="4"/>
        <v>57.657026598937499</v>
      </c>
      <c r="AQ55" s="170"/>
      <c r="AR55" s="170">
        <f t="shared" si="5"/>
        <v>386.64537243749999</v>
      </c>
      <c r="AS55" s="170"/>
      <c r="AT55" s="170" t="e">
        <f>+(N55+P55)+((X55+Z55+AF55)/Datos_Generales!$E$15)</f>
        <v>#DIV/0!</v>
      </c>
      <c r="AU55" s="199"/>
      <c r="AV55" s="199">
        <f t="shared" si="6"/>
        <v>1558.2980161875</v>
      </c>
      <c r="AW55" s="199"/>
      <c r="AX55" s="173" t="e">
        <f t="shared" si="7"/>
        <v>#DIV/0!</v>
      </c>
    </row>
    <row r="56" spans="1:50" x14ac:dyDescent="0.2">
      <c r="A56" s="161" t="s">
        <v>2288</v>
      </c>
      <c r="B56" s="179">
        <v>2018</v>
      </c>
      <c r="C56" s="163">
        <v>0</v>
      </c>
      <c r="D56" s="163">
        <v>1784</v>
      </c>
      <c r="E56" s="164" t="s">
        <v>1067</v>
      </c>
      <c r="F56" s="165" t="s">
        <v>2282</v>
      </c>
      <c r="G56" s="166">
        <v>40</v>
      </c>
      <c r="H56" s="167">
        <v>8</v>
      </c>
      <c r="I56" s="167">
        <v>1037.7946649999999</v>
      </c>
      <c r="J56" s="168">
        <v>1037.7946649999999</v>
      </c>
      <c r="K56" s="169">
        <v>14</v>
      </c>
      <c r="L56" s="167">
        <f t="shared" si="1"/>
        <v>172.96577749999997</v>
      </c>
      <c r="M56" s="170">
        <v>11</v>
      </c>
      <c r="N56" s="168">
        <v>0</v>
      </c>
      <c r="O56" s="170">
        <v>12</v>
      </c>
      <c r="P56" s="168">
        <v>20.07</v>
      </c>
      <c r="Q56" s="170"/>
      <c r="R56" s="168"/>
      <c r="S56" s="171"/>
      <c r="T56" s="168">
        <v>18.579999999999998</v>
      </c>
      <c r="U56" s="167"/>
      <c r="V56" s="168">
        <v>32.869999999999997</v>
      </c>
      <c r="W56" s="167"/>
      <c r="X56" s="168">
        <v>15</v>
      </c>
      <c r="Y56" s="167"/>
      <c r="Z56" s="168">
        <v>20</v>
      </c>
      <c r="AA56" s="167"/>
      <c r="AB56" s="172">
        <f>+Datos_Generales!$K$9</f>
        <v>3.6999999999999998E-2</v>
      </c>
      <c r="AC56" s="167"/>
      <c r="AD56" s="172">
        <v>0.33</v>
      </c>
      <c r="AE56" s="167"/>
      <c r="AF56" s="168">
        <v>18.36</v>
      </c>
      <c r="AG56" s="170"/>
      <c r="AH56" s="170"/>
      <c r="AI56" s="170"/>
      <c r="AJ56" s="170"/>
      <c r="AK56" s="170"/>
      <c r="AL56" s="170">
        <f t="shared" si="2"/>
        <v>1210.7604425</v>
      </c>
      <c r="AM56" s="170"/>
      <c r="AN56" s="170">
        <f t="shared" si="3"/>
        <v>73.430000000000007</v>
      </c>
      <c r="AO56" s="170"/>
      <c r="AP56" s="170">
        <f t="shared" si="4"/>
        <v>59.581521375424998</v>
      </c>
      <c r="AQ56" s="170"/>
      <c r="AR56" s="170">
        <f t="shared" si="5"/>
        <v>399.55094602500003</v>
      </c>
      <c r="AS56" s="170"/>
      <c r="AT56" s="170" t="e">
        <f>+(N56+P56)+((X56+Z56+AF56)/Datos_Generales!$E$15)</f>
        <v>#DIV/0!</v>
      </c>
      <c r="AU56" s="199"/>
      <c r="AV56" s="199">
        <f t="shared" si="6"/>
        <v>1610.311388525</v>
      </c>
      <c r="AW56" s="199"/>
      <c r="AX56" s="173" t="e">
        <f t="shared" si="7"/>
        <v>#DIV/0!</v>
      </c>
    </row>
    <row r="57" spans="1:50" x14ac:dyDescent="0.2">
      <c r="A57" s="161" t="s">
        <v>2288</v>
      </c>
      <c r="B57" s="179">
        <v>2018</v>
      </c>
      <c r="C57" s="163"/>
      <c r="D57" s="163"/>
      <c r="E57" s="164" t="s">
        <v>2271</v>
      </c>
      <c r="F57" s="165" t="s">
        <v>2283</v>
      </c>
      <c r="G57" s="166">
        <v>40</v>
      </c>
      <c r="H57" s="167">
        <v>8</v>
      </c>
      <c r="I57" s="167">
        <v>940.69907999999987</v>
      </c>
      <c r="J57" s="168">
        <v>940.69907999999987</v>
      </c>
      <c r="K57" s="169">
        <v>14</v>
      </c>
      <c r="L57" s="167">
        <f t="shared" si="1"/>
        <v>156.78317999999999</v>
      </c>
      <c r="M57" s="170">
        <v>11</v>
      </c>
      <c r="N57" s="168">
        <v>0</v>
      </c>
      <c r="O57" s="170">
        <v>12</v>
      </c>
      <c r="P57" s="168">
        <v>20.07</v>
      </c>
      <c r="Q57" s="170"/>
      <c r="R57" s="168"/>
      <c r="S57" s="171"/>
      <c r="T57" s="168">
        <v>18.579999999999998</v>
      </c>
      <c r="U57" s="167"/>
      <c r="V57" s="168">
        <v>29.8</v>
      </c>
      <c r="W57" s="167"/>
      <c r="X57" s="168">
        <v>15</v>
      </c>
      <c r="Y57" s="167"/>
      <c r="Z57" s="168">
        <v>20</v>
      </c>
      <c r="AA57" s="167"/>
      <c r="AB57" s="172">
        <f>+Datos_Generales!$K$9</f>
        <v>3.6999999999999998E-2</v>
      </c>
      <c r="AC57" s="167"/>
      <c r="AD57" s="172">
        <v>0.33</v>
      </c>
      <c r="AE57" s="167"/>
      <c r="AF57" s="168">
        <v>18.36</v>
      </c>
      <c r="AG57" s="170"/>
      <c r="AH57" s="170"/>
      <c r="AI57" s="170"/>
      <c r="AJ57" s="170"/>
      <c r="AK57" s="170"/>
      <c r="AL57" s="170">
        <f t="shared" si="2"/>
        <v>1097.4822599999998</v>
      </c>
      <c r="AM57" s="170"/>
      <c r="AN57" s="170">
        <f t="shared" si="3"/>
        <v>73.430000000000007</v>
      </c>
      <c r="AO57" s="170"/>
      <c r="AP57" s="170">
        <f t="shared" si="4"/>
        <v>54.007102014599987</v>
      </c>
      <c r="AQ57" s="170"/>
      <c r="AR57" s="170">
        <f t="shared" si="5"/>
        <v>362.16914579999997</v>
      </c>
      <c r="AS57" s="170"/>
      <c r="AT57" s="170" t="e">
        <f>+(N57+P57)+((X57+Z57+AF57)/Datos_Generales!$E$15)</f>
        <v>#DIV/0!</v>
      </c>
      <c r="AU57" s="199"/>
      <c r="AV57" s="199">
        <f t="shared" si="6"/>
        <v>1459.6514057999998</v>
      </c>
      <c r="AW57" s="199"/>
      <c r="AX57" s="173" t="e">
        <f t="shared" si="7"/>
        <v>#DIV/0!</v>
      </c>
    </row>
    <row r="58" spans="1:50" x14ac:dyDescent="0.2">
      <c r="A58" s="161" t="s">
        <v>2288</v>
      </c>
      <c r="B58" s="179">
        <v>2018</v>
      </c>
      <c r="C58" s="163"/>
      <c r="D58" s="163"/>
      <c r="E58" s="164" t="s">
        <v>2289</v>
      </c>
      <c r="F58" s="165" t="s">
        <v>2283</v>
      </c>
      <c r="G58" s="166">
        <v>40</v>
      </c>
      <c r="H58" s="167">
        <v>8</v>
      </c>
      <c r="I58" s="167">
        <v>940.69907999999987</v>
      </c>
      <c r="J58" s="168">
        <v>940.69907999999987</v>
      </c>
      <c r="K58" s="169">
        <v>14</v>
      </c>
      <c r="L58" s="167">
        <f t="shared" si="1"/>
        <v>156.78317999999999</v>
      </c>
      <c r="M58" s="170">
        <v>11</v>
      </c>
      <c r="N58" s="168">
        <v>0</v>
      </c>
      <c r="O58" s="170">
        <v>12</v>
      </c>
      <c r="P58" s="168">
        <v>20.07</v>
      </c>
      <c r="Q58" s="170"/>
      <c r="R58" s="168"/>
      <c r="S58" s="171"/>
      <c r="T58" s="168">
        <v>18.579999999999998</v>
      </c>
      <c r="U58" s="167"/>
      <c r="V58" s="168">
        <v>29.8</v>
      </c>
      <c r="W58" s="167"/>
      <c r="X58" s="168">
        <v>15</v>
      </c>
      <c r="Y58" s="167"/>
      <c r="Z58" s="168">
        <v>20</v>
      </c>
      <c r="AA58" s="167"/>
      <c r="AB58" s="172">
        <f>+Datos_Generales!$K$9</f>
        <v>3.6999999999999998E-2</v>
      </c>
      <c r="AC58" s="167"/>
      <c r="AD58" s="172">
        <v>0.33</v>
      </c>
      <c r="AE58" s="167"/>
      <c r="AF58" s="168">
        <v>18.36</v>
      </c>
      <c r="AG58" s="170"/>
      <c r="AH58" s="170"/>
      <c r="AI58" s="170"/>
      <c r="AJ58" s="170"/>
      <c r="AK58" s="170"/>
      <c r="AL58" s="170">
        <f t="shared" si="2"/>
        <v>1097.4822599999998</v>
      </c>
      <c r="AM58" s="170"/>
      <c r="AN58" s="170">
        <f t="shared" si="3"/>
        <v>73.430000000000007</v>
      </c>
      <c r="AO58" s="170"/>
      <c r="AP58" s="170">
        <f t="shared" si="4"/>
        <v>54.007102014599987</v>
      </c>
      <c r="AQ58" s="170"/>
      <c r="AR58" s="170">
        <f t="shared" si="5"/>
        <v>362.16914579999997</v>
      </c>
      <c r="AS58" s="170"/>
      <c r="AT58" s="170" t="e">
        <f>+(N58+P58)+((X58+Z58+AF58)/Datos_Generales!$E$15)</f>
        <v>#DIV/0!</v>
      </c>
      <c r="AU58" s="199"/>
      <c r="AV58" s="199">
        <f t="shared" si="6"/>
        <v>1459.6514057999998</v>
      </c>
      <c r="AW58" s="199"/>
      <c r="AX58" s="173" t="e">
        <f t="shared" si="7"/>
        <v>#DIV/0!</v>
      </c>
    </row>
    <row r="59" spans="1:50" x14ac:dyDescent="0.2">
      <c r="A59" s="161" t="s">
        <v>2290</v>
      </c>
      <c r="B59" s="179">
        <v>2015</v>
      </c>
      <c r="C59" s="163">
        <v>0</v>
      </c>
      <c r="D59" s="163">
        <v>1742</v>
      </c>
      <c r="E59" s="164" t="s">
        <v>2291</v>
      </c>
      <c r="F59" s="165" t="s">
        <v>1068</v>
      </c>
      <c r="G59" s="166">
        <v>38.5</v>
      </c>
      <c r="H59" s="167">
        <v>7.7</v>
      </c>
      <c r="I59" s="167">
        <v>1108.6272900000001</v>
      </c>
      <c r="J59" s="168">
        <v>1108.6272900000001</v>
      </c>
      <c r="K59" s="169">
        <v>14</v>
      </c>
      <c r="L59" s="167">
        <f t="shared" si="1"/>
        <v>184.77121500000001</v>
      </c>
      <c r="M59" s="170">
        <v>11</v>
      </c>
      <c r="N59" s="168"/>
      <c r="O59" s="170">
        <v>11</v>
      </c>
      <c r="P59" s="168"/>
      <c r="Q59" s="170"/>
      <c r="R59" s="168"/>
      <c r="S59" s="171"/>
      <c r="T59" s="168"/>
      <c r="U59" s="167"/>
      <c r="V59" s="168"/>
      <c r="W59" s="167"/>
      <c r="X59" s="168">
        <v>15</v>
      </c>
      <c r="Y59" s="167"/>
      <c r="Z59" s="168">
        <v>20</v>
      </c>
      <c r="AA59" s="167"/>
      <c r="AB59" s="172">
        <f>+Datos_Generales!$K$9</f>
        <v>3.6999999999999998E-2</v>
      </c>
      <c r="AC59" s="167"/>
      <c r="AD59" s="172">
        <v>0.33</v>
      </c>
      <c r="AE59" s="167"/>
      <c r="AF59" s="168">
        <v>18.36</v>
      </c>
      <c r="AG59" s="170"/>
      <c r="AH59" s="170"/>
      <c r="AI59" s="170"/>
      <c r="AJ59" s="170"/>
      <c r="AK59" s="170"/>
      <c r="AL59" s="170">
        <f t="shared" si="2"/>
        <v>1293.3985050000001</v>
      </c>
      <c r="AM59" s="170"/>
      <c r="AN59" s="170">
        <f t="shared" si="3"/>
        <v>53.36</v>
      </c>
      <c r="AO59" s="170"/>
      <c r="AP59" s="170">
        <f t="shared" si="4"/>
        <v>63.64814043105001</v>
      </c>
      <c r="AQ59" s="170"/>
      <c r="AR59" s="170">
        <f t="shared" si="5"/>
        <v>426.82150665000006</v>
      </c>
      <c r="AS59" s="170"/>
      <c r="AT59" s="170" t="e">
        <f>+(N59+P59)+((X59+Z59+AF59)/Datos_Generales!$E$15)</f>
        <v>#DIV/0!</v>
      </c>
      <c r="AU59" s="199"/>
      <c r="AV59" s="199">
        <f t="shared" si="6"/>
        <v>1720.2200116500003</v>
      </c>
      <c r="AW59" s="199"/>
      <c r="AX59" s="173" t="e">
        <f t="shared" si="7"/>
        <v>#DIV/0!</v>
      </c>
    </row>
    <row r="60" spans="1:50" x14ac:dyDescent="0.2">
      <c r="A60" s="161" t="s">
        <v>2290</v>
      </c>
      <c r="B60" s="162">
        <v>2015</v>
      </c>
      <c r="C60" s="174"/>
      <c r="D60" s="175"/>
      <c r="E60" s="176" t="s">
        <v>1073</v>
      </c>
      <c r="F60" s="165" t="s">
        <v>1068</v>
      </c>
      <c r="G60" s="166">
        <v>38.5</v>
      </c>
      <c r="H60" s="167">
        <v>7.7</v>
      </c>
      <c r="I60" s="167">
        <v>970.04626500000006</v>
      </c>
      <c r="J60" s="168">
        <v>970.04626500000006</v>
      </c>
      <c r="K60" s="169">
        <v>14</v>
      </c>
      <c r="L60" s="167">
        <f t="shared" si="1"/>
        <v>161.67437750000002</v>
      </c>
      <c r="M60" s="170">
        <v>11</v>
      </c>
      <c r="N60" s="168"/>
      <c r="O60" s="170">
        <v>11</v>
      </c>
      <c r="P60" s="168"/>
      <c r="Q60" s="170"/>
      <c r="R60" s="168"/>
      <c r="S60" s="171"/>
      <c r="T60" s="168"/>
      <c r="U60" s="167"/>
      <c r="V60" s="168"/>
      <c r="W60" s="167"/>
      <c r="X60" s="168">
        <v>15</v>
      </c>
      <c r="Y60" s="167"/>
      <c r="Z60" s="168">
        <v>20</v>
      </c>
      <c r="AA60" s="167"/>
      <c r="AB60" s="172">
        <f>+Datos_Generales!$K$9</f>
        <v>3.6999999999999998E-2</v>
      </c>
      <c r="AC60" s="167"/>
      <c r="AD60" s="172">
        <v>0.33</v>
      </c>
      <c r="AE60" s="167"/>
      <c r="AF60" s="168">
        <v>18.36</v>
      </c>
      <c r="AG60" s="170"/>
      <c r="AH60" s="170"/>
      <c r="AI60" s="170"/>
      <c r="AJ60" s="170"/>
      <c r="AK60" s="170"/>
      <c r="AL60" s="170">
        <f t="shared" si="2"/>
        <v>1131.7206425000002</v>
      </c>
      <c r="AM60" s="170"/>
      <c r="AN60" s="170">
        <f t="shared" si="3"/>
        <v>53.36</v>
      </c>
      <c r="AO60" s="170"/>
      <c r="AP60" s="170">
        <f t="shared" si="4"/>
        <v>55.691972817425004</v>
      </c>
      <c r="AQ60" s="170"/>
      <c r="AR60" s="170">
        <f t="shared" si="5"/>
        <v>373.46781202500006</v>
      </c>
      <c r="AS60" s="170"/>
      <c r="AT60" s="170" t="e">
        <f>+(N60+P60)+((X60+Z60+AF60)/Datos_Generales!$E$15)</f>
        <v>#DIV/0!</v>
      </c>
      <c r="AU60" s="199"/>
      <c r="AV60" s="199">
        <f t="shared" si="6"/>
        <v>1505.1884545250002</v>
      </c>
      <c r="AW60" s="199"/>
      <c r="AX60" s="173" t="e">
        <f t="shared" si="7"/>
        <v>#DIV/0!</v>
      </c>
    </row>
    <row r="61" spans="1:50" x14ac:dyDescent="0.2">
      <c r="A61" s="161" t="s">
        <v>2292</v>
      </c>
      <c r="B61" s="162">
        <v>2015</v>
      </c>
      <c r="C61" s="163">
        <v>6.0000000000000001E-3</v>
      </c>
      <c r="D61" s="163">
        <v>1794</v>
      </c>
      <c r="E61" s="164" t="s">
        <v>1063</v>
      </c>
      <c r="F61" s="165" t="s">
        <v>1064</v>
      </c>
      <c r="G61" s="166">
        <v>40</v>
      </c>
      <c r="H61" s="167">
        <v>8</v>
      </c>
      <c r="I61" s="167">
        <v>1043.16949686</v>
      </c>
      <c r="J61" s="168">
        <v>1043.16949686</v>
      </c>
      <c r="K61" s="169">
        <v>15</v>
      </c>
      <c r="L61" s="167">
        <f t="shared" si="1"/>
        <v>260.792374215</v>
      </c>
      <c r="M61" s="170">
        <v>11</v>
      </c>
      <c r="N61" s="168">
        <v>43.08</v>
      </c>
      <c r="O61" s="170">
        <v>11</v>
      </c>
      <c r="P61" s="168">
        <v>38.03</v>
      </c>
      <c r="Q61" s="170"/>
      <c r="R61" s="168"/>
      <c r="S61" s="171"/>
      <c r="T61" s="168"/>
      <c r="U61" s="167"/>
      <c r="V61" s="168"/>
      <c r="W61" s="167"/>
      <c r="X61" s="168">
        <v>15</v>
      </c>
      <c r="Y61" s="167"/>
      <c r="Z61" s="168">
        <v>20</v>
      </c>
      <c r="AA61" s="167"/>
      <c r="AB61" s="172">
        <f>+Datos_Generales!$K$9</f>
        <v>3.6999999999999998E-2</v>
      </c>
      <c r="AC61" s="167"/>
      <c r="AD61" s="172">
        <v>0.33</v>
      </c>
      <c r="AE61" s="167"/>
      <c r="AF61" s="168">
        <v>18.36</v>
      </c>
      <c r="AG61" s="170"/>
      <c r="AH61" s="170"/>
      <c r="AI61" s="170"/>
      <c r="AJ61" s="170"/>
      <c r="AK61" s="170"/>
      <c r="AL61" s="170">
        <f t="shared" si="2"/>
        <v>1303.9618710750001</v>
      </c>
      <c r="AM61" s="170"/>
      <c r="AN61" s="170">
        <f t="shared" si="3"/>
        <v>134.47</v>
      </c>
      <c r="AO61" s="170"/>
      <c r="AP61" s="170">
        <f t="shared" si="4"/>
        <v>64.16796367560076</v>
      </c>
      <c r="AQ61" s="170"/>
      <c r="AR61" s="170">
        <f t="shared" si="5"/>
        <v>430.30741745475007</v>
      </c>
      <c r="AS61" s="170"/>
      <c r="AT61" s="170" t="e">
        <f>+(N61+P61)+((X61+Z61+AF61)/Datos_Generales!$E$15)</f>
        <v>#DIV/0!</v>
      </c>
      <c r="AU61" s="199"/>
      <c r="AV61" s="199">
        <f t="shared" si="6"/>
        <v>1734.2692885297502</v>
      </c>
      <c r="AW61" s="199"/>
      <c r="AX61" s="173" t="e">
        <f t="shared" si="7"/>
        <v>#DIV/0!</v>
      </c>
    </row>
    <row r="62" spans="1:50" x14ac:dyDescent="0.2">
      <c r="A62" s="161" t="s">
        <v>2292</v>
      </c>
      <c r="B62" s="162">
        <v>2015</v>
      </c>
      <c r="C62" s="163"/>
      <c r="D62" s="163"/>
      <c r="E62" s="164" t="s">
        <v>1067</v>
      </c>
      <c r="F62" s="165" t="s">
        <v>1066</v>
      </c>
      <c r="G62" s="166">
        <v>40</v>
      </c>
      <c r="H62" s="167">
        <v>8</v>
      </c>
      <c r="I62" s="167">
        <v>994.30412327999989</v>
      </c>
      <c r="J62" s="168">
        <v>994.30412327999989</v>
      </c>
      <c r="K62" s="169">
        <v>15</v>
      </c>
      <c r="L62" s="167">
        <f t="shared" si="1"/>
        <v>248.57603082</v>
      </c>
      <c r="M62" s="170">
        <v>11</v>
      </c>
      <c r="N62" s="168">
        <v>45.537429519999996</v>
      </c>
      <c r="O62" s="170">
        <v>11</v>
      </c>
      <c r="P62" s="168">
        <v>40.196366759999997</v>
      </c>
      <c r="Q62" s="170"/>
      <c r="R62" s="168"/>
      <c r="S62" s="171"/>
      <c r="T62" s="168"/>
      <c r="U62" s="167"/>
      <c r="V62" s="168"/>
      <c r="W62" s="167"/>
      <c r="X62" s="168">
        <v>15</v>
      </c>
      <c r="Y62" s="167"/>
      <c r="Z62" s="168">
        <v>20</v>
      </c>
      <c r="AA62" s="167"/>
      <c r="AB62" s="172">
        <f>+Datos_Generales!$K$9</f>
        <v>3.6999999999999998E-2</v>
      </c>
      <c r="AC62" s="167"/>
      <c r="AD62" s="172">
        <v>0.33</v>
      </c>
      <c r="AE62" s="167"/>
      <c r="AF62" s="168">
        <v>18.36</v>
      </c>
      <c r="AG62" s="170"/>
      <c r="AH62" s="170"/>
      <c r="AI62" s="170"/>
      <c r="AJ62" s="170"/>
      <c r="AK62" s="170"/>
      <c r="AL62" s="170">
        <f t="shared" si="2"/>
        <v>1242.8801540999998</v>
      </c>
      <c r="AM62" s="170"/>
      <c r="AN62" s="170">
        <f t="shared" si="3"/>
        <v>139.09379627999999</v>
      </c>
      <c r="AO62" s="170"/>
      <c r="AP62" s="170">
        <f t="shared" si="4"/>
        <v>61.162132383260989</v>
      </c>
      <c r="AQ62" s="170"/>
      <c r="AR62" s="170">
        <f t="shared" si="5"/>
        <v>410.15045085299994</v>
      </c>
      <c r="AS62" s="170"/>
      <c r="AT62" s="170" t="e">
        <f>+(N62+P62)+((X62+Z62+AF62)/Datos_Generales!$E$15)</f>
        <v>#DIV/0!</v>
      </c>
      <c r="AU62" s="199"/>
      <c r="AV62" s="199">
        <f t="shared" si="6"/>
        <v>1653.0306049529997</v>
      </c>
      <c r="AW62" s="199"/>
      <c r="AX62" s="173" t="e">
        <f t="shared" si="7"/>
        <v>#DIV/0!</v>
      </c>
    </row>
    <row r="63" spans="1:50" x14ac:dyDescent="0.2">
      <c r="A63" s="161" t="s">
        <v>2292</v>
      </c>
      <c r="B63" s="162">
        <v>2015</v>
      </c>
      <c r="C63" s="163"/>
      <c r="D63" s="163"/>
      <c r="E63" s="164" t="s">
        <v>1069</v>
      </c>
      <c r="F63" s="165" t="s">
        <v>1068</v>
      </c>
      <c r="G63" s="166">
        <v>40</v>
      </c>
      <c r="H63" s="167">
        <v>8</v>
      </c>
      <c r="I63" s="167">
        <v>954.50503295999999</v>
      </c>
      <c r="J63" s="168">
        <v>954.50503295999999</v>
      </c>
      <c r="K63" s="169">
        <v>15</v>
      </c>
      <c r="L63" s="167">
        <f t="shared" si="1"/>
        <v>238.62625824</v>
      </c>
      <c r="M63" s="170">
        <v>11</v>
      </c>
      <c r="N63" s="168">
        <v>45.537429519999996</v>
      </c>
      <c r="O63" s="170">
        <v>11</v>
      </c>
      <c r="P63" s="168">
        <v>40.196366759999997</v>
      </c>
      <c r="Q63" s="170"/>
      <c r="R63" s="168"/>
      <c r="S63" s="171"/>
      <c r="T63" s="168"/>
      <c r="U63" s="167"/>
      <c r="V63" s="168"/>
      <c r="W63" s="167"/>
      <c r="X63" s="168">
        <v>15</v>
      </c>
      <c r="Y63" s="167"/>
      <c r="Z63" s="168">
        <v>20</v>
      </c>
      <c r="AA63" s="167"/>
      <c r="AB63" s="172">
        <f>+Datos_Generales!$K$9</f>
        <v>3.6999999999999998E-2</v>
      </c>
      <c r="AC63" s="167"/>
      <c r="AD63" s="172">
        <v>0.33</v>
      </c>
      <c r="AE63" s="167"/>
      <c r="AF63" s="168">
        <v>18.36</v>
      </c>
      <c r="AG63" s="170"/>
      <c r="AH63" s="170"/>
      <c r="AI63" s="170"/>
      <c r="AJ63" s="170"/>
      <c r="AK63" s="170"/>
      <c r="AL63" s="170">
        <f t="shared" si="2"/>
        <v>1193.1312912000001</v>
      </c>
      <c r="AM63" s="170"/>
      <c r="AN63" s="170">
        <f t="shared" si="3"/>
        <v>139.09379627999999</v>
      </c>
      <c r="AO63" s="170"/>
      <c r="AP63" s="170">
        <f t="shared" si="4"/>
        <v>58.713990839952004</v>
      </c>
      <c r="AQ63" s="170"/>
      <c r="AR63" s="170">
        <f t="shared" si="5"/>
        <v>393.73332609600004</v>
      </c>
      <c r="AS63" s="170"/>
      <c r="AT63" s="170" t="e">
        <f>+(N63+P63)+((X63+Z63+AF63)/Datos_Generales!$E$15)</f>
        <v>#DIV/0!</v>
      </c>
      <c r="AU63" s="199"/>
      <c r="AV63" s="199">
        <f t="shared" si="6"/>
        <v>1586.8646172960002</v>
      </c>
      <c r="AW63" s="199"/>
      <c r="AX63" s="173" t="e">
        <f t="shared" si="7"/>
        <v>#DIV/0!</v>
      </c>
    </row>
    <row r="64" spans="1:50" x14ac:dyDescent="0.2">
      <c r="A64" s="161" t="s">
        <v>2292</v>
      </c>
      <c r="B64" s="162">
        <v>2015</v>
      </c>
      <c r="C64" s="163"/>
      <c r="D64" s="163"/>
      <c r="E64" s="164" t="s">
        <v>1168</v>
      </c>
      <c r="F64" s="165" t="s">
        <v>1070</v>
      </c>
      <c r="G64" s="166">
        <v>40</v>
      </c>
      <c r="H64" s="167">
        <v>8</v>
      </c>
      <c r="I64" s="167">
        <v>913.02310583999997</v>
      </c>
      <c r="J64" s="168">
        <v>913.02310583999997</v>
      </c>
      <c r="K64" s="169">
        <v>15</v>
      </c>
      <c r="L64" s="167">
        <f t="shared" si="1"/>
        <v>228.25577645999999</v>
      </c>
      <c r="M64" s="170">
        <v>11</v>
      </c>
      <c r="N64" s="168">
        <v>45.537429519999996</v>
      </c>
      <c r="O64" s="170">
        <v>11</v>
      </c>
      <c r="P64" s="168">
        <v>40.196366759999997</v>
      </c>
      <c r="Q64" s="170"/>
      <c r="R64" s="168"/>
      <c r="S64" s="171"/>
      <c r="T64" s="168"/>
      <c r="U64" s="167"/>
      <c r="V64" s="168"/>
      <c r="W64" s="167"/>
      <c r="X64" s="168">
        <v>15</v>
      </c>
      <c r="Y64" s="167"/>
      <c r="Z64" s="168">
        <v>20</v>
      </c>
      <c r="AA64" s="167"/>
      <c r="AB64" s="172">
        <f>+Datos_Generales!$K$9</f>
        <v>3.6999999999999998E-2</v>
      </c>
      <c r="AC64" s="167"/>
      <c r="AD64" s="172">
        <v>0.33</v>
      </c>
      <c r="AE64" s="167"/>
      <c r="AF64" s="168">
        <v>18.36</v>
      </c>
      <c r="AG64" s="170"/>
      <c r="AH64" s="170"/>
      <c r="AI64" s="170"/>
      <c r="AJ64" s="170"/>
      <c r="AK64" s="170"/>
      <c r="AL64" s="170">
        <f t="shared" si="2"/>
        <v>1141.2788823000001</v>
      </c>
      <c r="AM64" s="170"/>
      <c r="AN64" s="170">
        <f t="shared" si="3"/>
        <v>139.09379627999999</v>
      </c>
      <c r="AO64" s="170"/>
      <c r="AP64" s="170">
        <f t="shared" si="4"/>
        <v>56.162333797983003</v>
      </c>
      <c r="AQ64" s="170"/>
      <c r="AR64" s="170">
        <f t="shared" si="5"/>
        <v>376.62203115900002</v>
      </c>
      <c r="AS64" s="170"/>
      <c r="AT64" s="170" t="e">
        <f>+(N64+P64)+((X64+Z64+AF64)/Datos_Generales!$E$15)</f>
        <v>#DIV/0!</v>
      </c>
      <c r="AU64" s="199"/>
      <c r="AV64" s="199">
        <f t="shared" si="6"/>
        <v>1517.9009134590001</v>
      </c>
      <c r="AW64" s="199"/>
      <c r="AX64" s="173" t="e">
        <f t="shared" si="7"/>
        <v>#DIV/0!</v>
      </c>
    </row>
    <row r="65" spans="1:50" x14ac:dyDescent="0.2">
      <c r="A65" s="161" t="s">
        <v>2292</v>
      </c>
      <c r="B65" s="162">
        <v>2015</v>
      </c>
      <c r="C65" s="163"/>
      <c r="D65" s="163"/>
      <c r="E65" s="164" t="s">
        <v>2293</v>
      </c>
      <c r="F65" s="165" t="s">
        <v>1070</v>
      </c>
      <c r="G65" s="166">
        <v>40</v>
      </c>
      <c r="H65" s="167">
        <v>8</v>
      </c>
      <c r="I65" s="167">
        <v>913.02310583999997</v>
      </c>
      <c r="J65" s="168">
        <v>913.02310583999997</v>
      </c>
      <c r="K65" s="169">
        <v>15</v>
      </c>
      <c r="L65" s="167">
        <f t="shared" si="1"/>
        <v>228.25577645999999</v>
      </c>
      <c r="M65" s="170">
        <v>11</v>
      </c>
      <c r="N65" s="168">
        <v>45.537429519999996</v>
      </c>
      <c r="O65" s="170">
        <v>11</v>
      </c>
      <c r="P65" s="168">
        <v>40.196366759999997</v>
      </c>
      <c r="Q65" s="170"/>
      <c r="R65" s="168"/>
      <c r="S65" s="171"/>
      <c r="T65" s="168"/>
      <c r="U65" s="167"/>
      <c r="V65" s="168"/>
      <c r="W65" s="167"/>
      <c r="X65" s="168">
        <v>15</v>
      </c>
      <c r="Y65" s="167"/>
      <c r="Z65" s="168">
        <v>20</v>
      </c>
      <c r="AA65" s="167"/>
      <c r="AB65" s="172">
        <f>+Datos_Generales!$K$9</f>
        <v>3.6999999999999998E-2</v>
      </c>
      <c r="AC65" s="167"/>
      <c r="AD65" s="172">
        <v>0.33</v>
      </c>
      <c r="AE65" s="167"/>
      <c r="AF65" s="168">
        <v>18.36</v>
      </c>
      <c r="AG65" s="170"/>
      <c r="AH65" s="170"/>
      <c r="AI65" s="170"/>
      <c r="AJ65" s="170"/>
      <c r="AK65" s="170"/>
      <c r="AL65" s="170">
        <f t="shared" si="2"/>
        <v>1141.2788823000001</v>
      </c>
      <c r="AM65" s="170"/>
      <c r="AN65" s="170">
        <f t="shared" si="3"/>
        <v>139.09379627999999</v>
      </c>
      <c r="AO65" s="170"/>
      <c r="AP65" s="170">
        <f t="shared" si="4"/>
        <v>56.162333797983003</v>
      </c>
      <c r="AQ65" s="170"/>
      <c r="AR65" s="170">
        <f t="shared" si="5"/>
        <v>376.62203115900002</v>
      </c>
      <c r="AS65" s="170"/>
      <c r="AT65" s="170" t="e">
        <f>+(N65+P65)+((X65+Z65+AF65)/Datos_Generales!$E$15)</f>
        <v>#DIV/0!</v>
      </c>
      <c r="AU65" s="199"/>
      <c r="AV65" s="199">
        <f t="shared" si="6"/>
        <v>1517.9009134590001</v>
      </c>
      <c r="AW65" s="199"/>
      <c r="AX65" s="173" t="e">
        <f t="shared" si="7"/>
        <v>#DIV/0!</v>
      </c>
    </row>
    <row r="66" spans="1:50" x14ac:dyDescent="0.2">
      <c r="A66" s="161" t="s">
        <v>2294</v>
      </c>
      <c r="B66" s="162">
        <v>2019</v>
      </c>
      <c r="C66" s="163">
        <v>0</v>
      </c>
      <c r="D66" s="163">
        <v>1794</v>
      </c>
      <c r="E66" s="164" t="s">
        <v>1063</v>
      </c>
      <c r="F66" s="165" t="s">
        <v>1064</v>
      </c>
      <c r="G66" s="166">
        <v>40</v>
      </c>
      <c r="H66" s="167">
        <v>8</v>
      </c>
      <c r="I66" s="167">
        <v>1111.2410400000001</v>
      </c>
      <c r="J66" s="168">
        <v>1111.2410400000001</v>
      </c>
      <c r="K66" s="169">
        <v>14</v>
      </c>
      <c r="L66" s="167">
        <f t="shared" si="1"/>
        <v>185.20684000000003</v>
      </c>
      <c r="M66" s="170">
        <v>12</v>
      </c>
      <c r="N66" s="168">
        <v>165.08</v>
      </c>
      <c r="O66" s="170">
        <v>12</v>
      </c>
      <c r="P66" s="168">
        <v>47.33</v>
      </c>
      <c r="Q66" s="170"/>
      <c r="R66" s="168"/>
      <c r="S66" s="171"/>
      <c r="T66" s="168"/>
      <c r="U66" s="167"/>
      <c r="V66" s="168"/>
      <c r="W66" s="167"/>
      <c r="X66" s="168">
        <v>15</v>
      </c>
      <c r="Y66" s="167"/>
      <c r="Z66" s="168">
        <v>20</v>
      </c>
      <c r="AA66" s="167"/>
      <c r="AB66" s="172">
        <f>+Datos_Generales!$K$9</f>
        <v>3.6999999999999998E-2</v>
      </c>
      <c r="AC66" s="167"/>
      <c r="AD66" s="172">
        <v>0.33</v>
      </c>
      <c r="AE66" s="167"/>
      <c r="AF66" s="168">
        <v>18.36</v>
      </c>
      <c r="AG66" s="170"/>
      <c r="AH66" s="170"/>
      <c r="AI66" s="170"/>
      <c r="AJ66" s="170"/>
      <c r="AK66" s="170"/>
      <c r="AL66" s="170">
        <f t="shared" si="2"/>
        <v>1296.4478800000002</v>
      </c>
      <c r="AM66" s="170"/>
      <c r="AN66" s="170">
        <f t="shared" si="3"/>
        <v>265.77000000000004</v>
      </c>
      <c r="AO66" s="170"/>
      <c r="AP66" s="170">
        <f t="shared" si="4"/>
        <v>63.798200174800009</v>
      </c>
      <c r="AQ66" s="170"/>
      <c r="AR66" s="170">
        <f t="shared" si="5"/>
        <v>427.82780040000006</v>
      </c>
      <c r="AS66" s="170"/>
      <c r="AT66" s="170" t="e">
        <f>+(N66+P66)+((X66+Z66+AF66)/Datos_Generales!$E$15)</f>
        <v>#DIV/0!</v>
      </c>
      <c r="AU66" s="199"/>
      <c r="AV66" s="199">
        <f t="shared" si="6"/>
        <v>1724.2756804000003</v>
      </c>
      <c r="AW66" s="199"/>
      <c r="AX66" s="173" t="e">
        <f t="shared" si="7"/>
        <v>#DIV/0!</v>
      </c>
    </row>
    <row r="67" spans="1:50" x14ac:dyDescent="0.2">
      <c r="A67" s="161" t="s">
        <v>2294</v>
      </c>
      <c r="B67" s="162">
        <v>2019</v>
      </c>
      <c r="C67" s="163"/>
      <c r="D67" s="163"/>
      <c r="E67" s="164" t="s">
        <v>1067</v>
      </c>
      <c r="F67" s="165" t="s">
        <v>1066</v>
      </c>
      <c r="G67" s="166">
        <v>40</v>
      </c>
      <c r="H67" s="167">
        <v>8</v>
      </c>
      <c r="I67" s="167">
        <v>1078.2241499999998</v>
      </c>
      <c r="J67" s="168">
        <v>1078.2241499999998</v>
      </c>
      <c r="K67" s="169">
        <v>14</v>
      </c>
      <c r="L67" s="167">
        <f t="shared" si="1"/>
        <v>179.70402499999997</v>
      </c>
      <c r="M67" s="170">
        <v>12</v>
      </c>
      <c r="N67" s="168">
        <v>165.08</v>
      </c>
      <c r="O67" s="170">
        <v>12</v>
      </c>
      <c r="P67" s="168">
        <v>47.33</v>
      </c>
      <c r="Q67" s="170"/>
      <c r="R67" s="168"/>
      <c r="S67" s="171"/>
      <c r="T67" s="168"/>
      <c r="U67" s="167"/>
      <c r="V67" s="168"/>
      <c r="W67" s="167"/>
      <c r="X67" s="168">
        <v>15</v>
      </c>
      <c r="Y67" s="167"/>
      <c r="Z67" s="168">
        <v>20</v>
      </c>
      <c r="AA67" s="167"/>
      <c r="AB67" s="172">
        <f>+Datos_Generales!$K$9</f>
        <v>3.6999999999999998E-2</v>
      </c>
      <c r="AC67" s="167"/>
      <c r="AD67" s="172">
        <v>0.33</v>
      </c>
      <c r="AE67" s="167"/>
      <c r="AF67" s="168">
        <v>18.36</v>
      </c>
      <c r="AG67" s="170"/>
      <c r="AH67" s="170"/>
      <c r="AI67" s="170"/>
      <c r="AJ67" s="170"/>
      <c r="AK67" s="170"/>
      <c r="AL67" s="170">
        <f t="shared" si="2"/>
        <v>1257.9281749999998</v>
      </c>
      <c r="AM67" s="170"/>
      <c r="AN67" s="170">
        <f t="shared" si="3"/>
        <v>265.77000000000004</v>
      </c>
      <c r="AO67" s="170"/>
      <c r="AP67" s="170">
        <f t="shared" si="4"/>
        <v>61.902645491749993</v>
      </c>
      <c r="AQ67" s="170"/>
      <c r="AR67" s="170">
        <f t="shared" si="5"/>
        <v>415.11629774999994</v>
      </c>
      <c r="AS67" s="170"/>
      <c r="AT67" s="170" t="e">
        <f>+(N67+P67)+((X67+Z67+AF67)/Datos_Generales!$E$15)</f>
        <v>#DIV/0!</v>
      </c>
      <c r="AU67" s="199"/>
      <c r="AV67" s="199">
        <f t="shared" si="6"/>
        <v>1673.0444727499998</v>
      </c>
      <c r="AW67" s="199"/>
      <c r="AX67" s="173" t="e">
        <f t="shared" si="7"/>
        <v>#DIV/0!</v>
      </c>
    </row>
    <row r="68" spans="1:50" x14ac:dyDescent="0.2">
      <c r="A68" s="161" t="s">
        <v>2294</v>
      </c>
      <c r="B68" s="162">
        <v>2023</v>
      </c>
      <c r="C68" s="174"/>
      <c r="D68" s="175"/>
      <c r="E68" s="176" t="s">
        <v>1069</v>
      </c>
      <c r="F68" s="165" t="s">
        <v>1068</v>
      </c>
      <c r="G68" s="166">
        <v>40</v>
      </c>
      <c r="H68" s="167">
        <v>8</v>
      </c>
      <c r="I68" s="167">
        <v>1103.6297999999997</v>
      </c>
      <c r="J68" s="168">
        <v>1103.6297999999997</v>
      </c>
      <c r="K68" s="169">
        <v>14</v>
      </c>
      <c r="L68" s="167">
        <f t="shared" ref="L68:L131" si="9">+(J68*(K68-12))/12</f>
        <v>183.93829999999994</v>
      </c>
      <c r="M68" s="170">
        <v>12</v>
      </c>
      <c r="N68" s="168">
        <v>165.08</v>
      </c>
      <c r="O68" s="170">
        <v>12</v>
      </c>
      <c r="P68" s="168">
        <v>47.33</v>
      </c>
      <c r="Q68" s="170"/>
      <c r="R68" s="168"/>
      <c r="S68" s="171"/>
      <c r="T68" s="168"/>
      <c r="U68" s="167"/>
      <c r="V68" s="168"/>
      <c r="W68" s="167"/>
      <c r="X68" s="168">
        <v>15</v>
      </c>
      <c r="Y68" s="167"/>
      <c r="Z68" s="168">
        <v>20</v>
      </c>
      <c r="AA68" s="167"/>
      <c r="AB68" s="172">
        <f>+Datos_Generales!$K$9</f>
        <v>3.6999999999999998E-2</v>
      </c>
      <c r="AC68" s="167"/>
      <c r="AD68" s="172">
        <v>0.33</v>
      </c>
      <c r="AE68" s="167"/>
      <c r="AF68" s="168">
        <v>18.36</v>
      </c>
      <c r="AG68" s="170"/>
      <c r="AH68" s="170"/>
      <c r="AI68" s="170"/>
      <c r="AJ68" s="170"/>
      <c r="AK68" s="170"/>
      <c r="AL68" s="170">
        <f t="shared" ref="AL68:AL131" si="10">+J68+L68</f>
        <v>1287.5680999999997</v>
      </c>
      <c r="AM68" s="170"/>
      <c r="AN68" s="170">
        <f t="shared" ref="AN68:AN131" si="11">+N68+P68+X68+Z68+AF68</f>
        <v>265.77000000000004</v>
      </c>
      <c r="AO68" s="170"/>
      <c r="AP68" s="170">
        <f t="shared" ref="AP68:AP131" si="12">(AL68*1.33)*AB68</f>
        <v>63.361226200999987</v>
      </c>
      <c r="AQ68" s="170"/>
      <c r="AR68" s="170">
        <f t="shared" ref="AR68:AR131" si="13">+AL68*AD68</f>
        <v>424.89747299999993</v>
      </c>
      <c r="AS68" s="170"/>
      <c r="AT68" s="170" t="e">
        <f>+(N68+P68)+((X68+Z68+AF68)/Datos_Generales!$E$15)</f>
        <v>#DIV/0!</v>
      </c>
      <c r="AU68" s="199"/>
      <c r="AV68" s="199">
        <f t="shared" ref="AV68:AV131" si="14">+AL68*(1+AD68)</f>
        <v>1712.4655729999997</v>
      </c>
      <c r="AW68" s="199"/>
      <c r="AX68" s="173" t="e">
        <f t="shared" si="7"/>
        <v>#DIV/0!</v>
      </c>
    </row>
    <row r="69" spans="1:50" x14ac:dyDescent="0.2">
      <c r="A69" s="161" t="s">
        <v>2294</v>
      </c>
      <c r="B69" s="162">
        <v>2023</v>
      </c>
      <c r="C69" s="163"/>
      <c r="D69" s="163"/>
      <c r="E69" s="164" t="s">
        <v>1146</v>
      </c>
      <c r="F69" s="165" t="s">
        <v>1070</v>
      </c>
      <c r="G69" s="166">
        <v>40</v>
      </c>
      <c r="H69" s="167">
        <v>8</v>
      </c>
      <c r="I69" s="167">
        <v>1068.4905449999999</v>
      </c>
      <c r="J69" s="168">
        <v>1068.4905449999999</v>
      </c>
      <c r="K69" s="169">
        <v>14</v>
      </c>
      <c r="L69" s="167">
        <f t="shared" si="9"/>
        <v>178.08175749999998</v>
      </c>
      <c r="M69" s="170">
        <v>12</v>
      </c>
      <c r="N69" s="168">
        <v>165.08</v>
      </c>
      <c r="O69" s="170">
        <v>12</v>
      </c>
      <c r="P69" s="168">
        <v>47.33</v>
      </c>
      <c r="Q69" s="170"/>
      <c r="R69" s="168"/>
      <c r="S69" s="171"/>
      <c r="T69" s="168"/>
      <c r="U69" s="167"/>
      <c r="V69" s="168"/>
      <c r="W69" s="167"/>
      <c r="X69" s="168">
        <v>15</v>
      </c>
      <c r="Y69" s="167"/>
      <c r="Z69" s="168">
        <v>20</v>
      </c>
      <c r="AA69" s="167"/>
      <c r="AB69" s="172">
        <f>+Datos_Generales!$K$9</f>
        <v>3.6999999999999998E-2</v>
      </c>
      <c r="AC69" s="167"/>
      <c r="AD69" s="172">
        <v>0.33</v>
      </c>
      <c r="AE69" s="167"/>
      <c r="AF69" s="168">
        <v>18.36</v>
      </c>
      <c r="AG69" s="170"/>
      <c r="AH69" s="170"/>
      <c r="AI69" s="170"/>
      <c r="AJ69" s="170"/>
      <c r="AK69" s="170"/>
      <c r="AL69" s="170">
        <f t="shared" si="10"/>
        <v>1246.5723024999998</v>
      </c>
      <c r="AM69" s="170"/>
      <c r="AN69" s="170">
        <f t="shared" si="11"/>
        <v>265.77000000000004</v>
      </c>
      <c r="AO69" s="170"/>
      <c r="AP69" s="170">
        <f t="shared" si="12"/>
        <v>61.343823006024991</v>
      </c>
      <c r="AQ69" s="170"/>
      <c r="AR69" s="170">
        <f t="shared" si="13"/>
        <v>411.36885982499996</v>
      </c>
      <c r="AS69" s="170"/>
      <c r="AT69" s="170" t="e">
        <f>+(N69+P69)+((X69+Z69+AF69)/Datos_Generales!$E$15)</f>
        <v>#DIV/0!</v>
      </c>
      <c r="AU69" s="199"/>
      <c r="AV69" s="199">
        <f t="shared" si="14"/>
        <v>1657.9411623249998</v>
      </c>
      <c r="AW69" s="199"/>
      <c r="AX69" s="173" t="e">
        <f t="shared" si="7"/>
        <v>#DIV/0!</v>
      </c>
    </row>
    <row r="70" spans="1:50" x14ac:dyDescent="0.2">
      <c r="A70" s="161" t="s">
        <v>2294</v>
      </c>
      <c r="B70" s="162">
        <v>2023</v>
      </c>
      <c r="C70" s="163"/>
      <c r="D70" s="163"/>
      <c r="E70" s="164" t="s">
        <v>2295</v>
      </c>
      <c r="F70" s="165" t="s">
        <v>2296</v>
      </c>
      <c r="G70" s="166">
        <v>40</v>
      </c>
      <c r="H70" s="167">
        <v>8</v>
      </c>
      <c r="I70" s="167">
        <v>1068.4905449999999</v>
      </c>
      <c r="J70" s="168">
        <v>1068.4905449999999</v>
      </c>
      <c r="K70" s="169">
        <v>14</v>
      </c>
      <c r="L70" s="167">
        <f t="shared" si="9"/>
        <v>178.08175749999998</v>
      </c>
      <c r="M70" s="170">
        <v>12</v>
      </c>
      <c r="N70" s="168">
        <v>165.08</v>
      </c>
      <c r="O70" s="170">
        <v>12</v>
      </c>
      <c r="P70" s="168">
        <v>47.33</v>
      </c>
      <c r="Q70" s="170"/>
      <c r="R70" s="168"/>
      <c r="S70" s="171"/>
      <c r="T70" s="168"/>
      <c r="U70" s="167"/>
      <c r="V70" s="168"/>
      <c r="W70" s="167"/>
      <c r="X70" s="168">
        <v>15</v>
      </c>
      <c r="Y70" s="167"/>
      <c r="Z70" s="168">
        <v>20</v>
      </c>
      <c r="AA70" s="167"/>
      <c r="AB70" s="172">
        <f>+Datos_Generales!$K$9</f>
        <v>3.6999999999999998E-2</v>
      </c>
      <c r="AC70" s="167"/>
      <c r="AD70" s="172">
        <v>0.33</v>
      </c>
      <c r="AE70" s="167"/>
      <c r="AF70" s="168">
        <v>18.36</v>
      </c>
      <c r="AG70" s="170"/>
      <c r="AH70" s="170"/>
      <c r="AI70" s="170"/>
      <c r="AJ70" s="170"/>
      <c r="AK70" s="170"/>
      <c r="AL70" s="170">
        <f t="shared" si="10"/>
        <v>1246.5723024999998</v>
      </c>
      <c r="AM70" s="170"/>
      <c r="AN70" s="170">
        <f t="shared" si="11"/>
        <v>265.77000000000004</v>
      </c>
      <c r="AO70" s="170"/>
      <c r="AP70" s="170">
        <f t="shared" si="12"/>
        <v>61.343823006024991</v>
      </c>
      <c r="AQ70" s="170"/>
      <c r="AR70" s="170">
        <f t="shared" si="13"/>
        <v>411.36885982499996</v>
      </c>
      <c r="AS70" s="170"/>
      <c r="AT70" s="170" t="e">
        <f>+(N70+P70)+((X70+Z70+AF70)/Datos_Generales!$E$15)</f>
        <v>#DIV/0!</v>
      </c>
      <c r="AU70" s="199"/>
      <c r="AV70" s="199">
        <f t="shared" si="14"/>
        <v>1657.9411623249998</v>
      </c>
      <c r="AW70" s="199"/>
      <c r="AX70" s="173" t="e">
        <f t="shared" si="7"/>
        <v>#DIV/0!</v>
      </c>
    </row>
    <row r="71" spans="1:50" x14ac:dyDescent="0.2">
      <c r="A71" s="161" t="s">
        <v>2294</v>
      </c>
      <c r="B71" s="162">
        <v>2023</v>
      </c>
      <c r="C71" s="163"/>
      <c r="D71" s="163"/>
      <c r="E71" s="164" t="s">
        <v>2297</v>
      </c>
      <c r="F71" s="165" t="s">
        <v>2296</v>
      </c>
      <c r="G71" s="166">
        <v>40</v>
      </c>
      <c r="H71" s="167">
        <v>8</v>
      </c>
      <c r="I71" s="167">
        <v>1068.4905449999999</v>
      </c>
      <c r="J71" s="168">
        <v>1068.4905449999999</v>
      </c>
      <c r="K71" s="169">
        <v>14</v>
      </c>
      <c r="L71" s="167">
        <f t="shared" si="9"/>
        <v>178.08175749999998</v>
      </c>
      <c r="M71" s="170">
        <v>12</v>
      </c>
      <c r="N71" s="168">
        <v>60.85</v>
      </c>
      <c r="O71" s="170">
        <v>12</v>
      </c>
      <c r="P71" s="168">
        <v>47.33</v>
      </c>
      <c r="Q71" s="170"/>
      <c r="R71" s="168"/>
      <c r="S71" s="171"/>
      <c r="T71" s="168"/>
      <c r="U71" s="167"/>
      <c r="V71" s="168"/>
      <c r="W71" s="167"/>
      <c r="X71" s="168">
        <v>15</v>
      </c>
      <c r="Y71" s="167"/>
      <c r="Z71" s="168">
        <v>20</v>
      </c>
      <c r="AA71" s="167"/>
      <c r="AB71" s="172">
        <f>+Datos_Generales!$K$9</f>
        <v>3.6999999999999998E-2</v>
      </c>
      <c r="AC71" s="167"/>
      <c r="AD71" s="172">
        <v>0.33</v>
      </c>
      <c r="AE71" s="167"/>
      <c r="AF71" s="168">
        <v>18.36</v>
      </c>
      <c r="AG71" s="170"/>
      <c r="AH71" s="170"/>
      <c r="AI71" s="170"/>
      <c r="AJ71" s="170"/>
      <c r="AK71" s="170"/>
      <c r="AL71" s="170">
        <f t="shared" si="10"/>
        <v>1246.5723024999998</v>
      </c>
      <c r="AM71" s="170"/>
      <c r="AN71" s="170">
        <f t="shared" si="11"/>
        <v>161.54000000000002</v>
      </c>
      <c r="AO71" s="170"/>
      <c r="AP71" s="170">
        <f t="shared" si="12"/>
        <v>61.343823006024991</v>
      </c>
      <c r="AQ71" s="170"/>
      <c r="AR71" s="170">
        <f t="shared" si="13"/>
        <v>411.36885982499996</v>
      </c>
      <c r="AS71" s="170"/>
      <c r="AT71" s="170" t="e">
        <f>+(N71+P71)+((X71+Z71+AF71)/Datos_Generales!$E$15)</f>
        <v>#DIV/0!</v>
      </c>
      <c r="AU71" s="199"/>
      <c r="AV71" s="199">
        <f t="shared" si="14"/>
        <v>1657.9411623249998</v>
      </c>
      <c r="AW71" s="199"/>
      <c r="AX71" s="173" t="e">
        <f t="shared" si="7"/>
        <v>#DIV/0!</v>
      </c>
    </row>
    <row r="72" spans="1:50" x14ac:dyDescent="0.2">
      <c r="A72" s="161" t="s">
        <v>2294</v>
      </c>
      <c r="B72" s="162">
        <v>2023</v>
      </c>
      <c r="C72" s="163"/>
      <c r="D72" s="163"/>
      <c r="E72" s="164" t="s">
        <v>1073</v>
      </c>
      <c r="F72" s="165" t="s">
        <v>2273</v>
      </c>
      <c r="G72" s="166">
        <v>40</v>
      </c>
      <c r="H72" s="167">
        <v>8</v>
      </c>
      <c r="I72" s="167">
        <v>1068.4905449999999</v>
      </c>
      <c r="J72" s="168">
        <v>1068.4905449999999</v>
      </c>
      <c r="K72" s="169">
        <v>12</v>
      </c>
      <c r="L72" s="167">
        <f t="shared" si="9"/>
        <v>0</v>
      </c>
      <c r="M72" s="170">
        <v>12</v>
      </c>
      <c r="N72" s="168"/>
      <c r="O72" s="170"/>
      <c r="P72" s="168"/>
      <c r="Q72" s="170"/>
      <c r="R72" s="168"/>
      <c r="S72" s="171"/>
      <c r="T72" s="168"/>
      <c r="U72" s="167"/>
      <c r="V72" s="168"/>
      <c r="W72" s="167"/>
      <c r="X72" s="168">
        <v>15</v>
      </c>
      <c r="Y72" s="167"/>
      <c r="Z72" s="168">
        <v>20</v>
      </c>
      <c r="AA72" s="167"/>
      <c r="AB72" s="172">
        <f>+Datos_Generales!$K$9</f>
        <v>3.6999999999999998E-2</v>
      </c>
      <c r="AC72" s="167"/>
      <c r="AD72" s="172">
        <v>0.33</v>
      </c>
      <c r="AE72" s="167"/>
      <c r="AF72" s="168">
        <v>18.36</v>
      </c>
      <c r="AG72" s="170"/>
      <c r="AH72" s="170"/>
      <c r="AI72" s="170"/>
      <c r="AJ72" s="170"/>
      <c r="AK72" s="170"/>
      <c r="AL72" s="170">
        <f t="shared" si="10"/>
        <v>1068.4905449999999</v>
      </c>
      <c r="AM72" s="170"/>
      <c r="AN72" s="170">
        <f t="shared" si="11"/>
        <v>53.36</v>
      </c>
      <c r="AO72" s="170"/>
      <c r="AP72" s="170">
        <f t="shared" si="12"/>
        <v>52.580419719449992</v>
      </c>
      <c r="AQ72" s="170"/>
      <c r="AR72" s="170">
        <f t="shared" si="13"/>
        <v>352.60187984999999</v>
      </c>
      <c r="AS72" s="170"/>
      <c r="AT72" s="170" t="e">
        <f>+(N72+P72)+((X72+Z72+AF72)/Datos_Generales!$E$15)</f>
        <v>#DIV/0!</v>
      </c>
      <c r="AU72" s="199"/>
      <c r="AV72" s="199">
        <f t="shared" si="14"/>
        <v>1421.0924248499998</v>
      </c>
      <c r="AW72" s="199"/>
      <c r="AX72" s="173" t="e">
        <f t="shared" si="7"/>
        <v>#DIV/0!</v>
      </c>
    </row>
    <row r="73" spans="1:50" x14ac:dyDescent="0.2">
      <c r="A73" s="161" t="s">
        <v>2294</v>
      </c>
      <c r="B73" s="162">
        <v>2023</v>
      </c>
      <c r="C73" s="163"/>
      <c r="D73" s="163"/>
      <c r="E73" s="164" t="s">
        <v>1067</v>
      </c>
      <c r="F73" s="165"/>
      <c r="G73" s="166">
        <v>40</v>
      </c>
      <c r="H73" s="167">
        <v>8</v>
      </c>
      <c r="I73" s="167">
        <v>0</v>
      </c>
      <c r="J73" s="168">
        <v>0</v>
      </c>
      <c r="K73" s="169">
        <v>14</v>
      </c>
      <c r="L73" s="167">
        <f t="shared" si="9"/>
        <v>0</v>
      </c>
      <c r="M73" s="170">
        <v>12</v>
      </c>
      <c r="N73" s="168"/>
      <c r="O73" s="170"/>
      <c r="P73" s="168"/>
      <c r="Q73" s="170"/>
      <c r="R73" s="168"/>
      <c r="S73" s="171"/>
      <c r="T73" s="168"/>
      <c r="U73" s="167"/>
      <c r="V73" s="168"/>
      <c r="W73" s="167"/>
      <c r="X73" s="168">
        <v>15</v>
      </c>
      <c r="Y73" s="167"/>
      <c r="Z73" s="168">
        <v>20</v>
      </c>
      <c r="AA73" s="167"/>
      <c r="AB73" s="172">
        <f>+Datos_Generales!$K$9</f>
        <v>3.6999999999999998E-2</v>
      </c>
      <c r="AC73" s="167"/>
      <c r="AD73" s="172">
        <v>0.33</v>
      </c>
      <c r="AE73" s="167"/>
      <c r="AF73" s="168">
        <v>18.36</v>
      </c>
      <c r="AG73" s="170"/>
      <c r="AH73" s="170"/>
      <c r="AI73" s="170"/>
      <c r="AJ73" s="170"/>
      <c r="AK73" s="170"/>
      <c r="AL73" s="170">
        <f t="shared" si="10"/>
        <v>0</v>
      </c>
      <c r="AM73" s="170"/>
      <c r="AN73" s="170">
        <f t="shared" si="11"/>
        <v>53.36</v>
      </c>
      <c r="AO73" s="170"/>
      <c r="AP73" s="170">
        <f t="shared" si="12"/>
        <v>0</v>
      </c>
      <c r="AQ73" s="170"/>
      <c r="AR73" s="170">
        <f t="shared" si="13"/>
        <v>0</v>
      </c>
      <c r="AS73" s="170"/>
      <c r="AT73" s="170" t="e">
        <f>+(N73+P73)+((X73+Z73+AF73)/Datos_Generales!$E$15)</f>
        <v>#DIV/0!</v>
      </c>
      <c r="AU73" s="199"/>
      <c r="AV73" s="199">
        <f t="shared" si="14"/>
        <v>0</v>
      </c>
      <c r="AW73" s="199"/>
      <c r="AX73" s="173" t="e">
        <f t="shared" si="7"/>
        <v>#DIV/0!</v>
      </c>
    </row>
    <row r="74" spans="1:50" x14ac:dyDescent="0.2">
      <c r="A74" s="161" t="s">
        <v>2298</v>
      </c>
      <c r="B74" s="162">
        <v>2019</v>
      </c>
      <c r="C74" s="163">
        <v>0</v>
      </c>
      <c r="D74" s="163">
        <v>1794</v>
      </c>
      <c r="E74" s="164" t="s">
        <v>1063</v>
      </c>
      <c r="F74" s="165" t="s">
        <v>1064</v>
      </c>
      <c r="G74" s="166">
        <v>40</v>
      </c>
      <c r="H74" s="167">
        <v>8</v>
      </c>
      <c r="I74" s="167">
        <v>1023.1994849999999</v>
      </c>
      <c r="J74" s="168">
        <v>1023.1994849999999</v>
      </c>
      <c r="K74" s="169">
        <v>15</v>
      </c>
      <c r="L74" s="167">
        <f t="shared" si="9"/>
        <v>255.79987124999994</v>
      </c>
      <c r="M74" s="170">
        <v>11</v>
      </c>
      <c r="N74" s="168">
        <v>45.54</v>
      </c>
      <c r="O74" s="170">
        <v>11</v>
      </c>
      <c r="P74" s="168">
        <v>40.200000000000003</v>
      </c>
      <c r="Q74" s="170"/>
      <c r="R74" s="168"/>
      <c r="S74" s="171"/>
      <c r="T74" s="168"/>
      <c r="U74" s="167"/>
      <c r="V74" s="168"/>
      <c r="W74" s="167"/>
      <c r="X74" s="168">
        <v>15</v>
      </c>
      <c r="Y74" s="167"/>
      <c r="Z74" s="168">
        <v>20</v>
      </c>
      <c r="AA74" s="167"/>
      <c r="AB74" s="172">
        <f>+Datos_Generales!$K$9</f>
        <v>3.6999999999999998E-2</v>
      </c>
      <c r="AC74" s="167"/>
      <c r="AD74" s="172">
        <v>0.33</v>
      </c>
      <c r="AE74" s="167"/>
      <c r="AF74" s="168">
        <v>18.36</v>
      </c>
      <c r="AG74" s="170"/>
      <c r="AH74" s="170"/>
      <c r="AI74" s="170"/>
      <c r="AJ74" s="170"/>
      <c r="AK74" s="170"/>
      <c r="AL74" s="170">
        <f t="shared" si="10"/>
        <v>1278.9993562499999</v>
      </c>
      <c r="AM74" s="170"/>
      <c r="AN74" s="170">
        <f t="shared" si="11"/>
        <v>139.10000000000002</v>
      </c>
      <c r="AO74" s="170"/>
      <c r="AP74" s="170">
        <f t="shared" si="12"/>
        <v>62.939558321062499</v>
      </c>
      <c r="AQ74" s="170"/>
      <c r="AR74" s="170">
        <f t="shared" si="13"/>
        <v>422.06978756249998</v>
      </c>
      <c r="AS74" s="170"/>
      <c r="AT74" s="170" t="e">
        <f>+(N74+P74)+((X74+Z74+AF74)/Datos_Generales!$E$15)</f>
        <v>#DIV/0!</v>
      </c>
      <c r="AU74" s="199"/>
      <c r="AV74" s="199">
        <f t="shared" si="14"/>
        <v>1701.0691438125</v>
      </c>
      <c r="AW74" s="199"/>
      <c r="AX74" s="173" t="e">
        <f t="shared" si="7"/>
        <v>#DIV/0!</v>
      </c>
    </row>
    <row r="75" spans="1:50" x14ac:dyDescent="0.2">
      <c r="A75" s="161" t="s">
        <v>2298</v>
      </c>
      <c r="B75" s="162">
        <v>2019</v>
      </c>
      <c r="C75" s="163"/>
      <c r="D75" s="163"/>
      <c r="E75" s="164" t="s">
        <v>1065</v>
      </c>
      <c r="F75" s="165" t="s">
        <v>1064</v>
      </c>
      <c r="G75" s="166">
        <v>40</v>
      </c>
      <c r="H75" s="167">
        <v>8</v>
      </c>
      <c r="I75" s="167">
        <v>1023.1994849999999</v>
      </c>
      <c r="J75" s="168">
        <v>1023.1994849999999</v>
      </c>
      <c r="K75" s="169">
        <v>15</v>
      </c>
      <c r="L75" s="167">
        <f t="shared" si="9"/>
        <v>255.79987124999994</v>
      </c>
      <c r="M75" s="170">
        <v>11</v>
      </c>
      <c r="N75" s="168">
        <v>45.537429519999996</v>
      </c>
      <c r="O75" s="170">
        <v>11</v>
      </c>
      <c r="P75" s="168">
        <v>40.196366759999997</v>
      </c>
      <c r="Q75" s="170"/>
      <c r="R75" s="168"/>
      <c r="S75" s="171"/>
      <c r="T75" s="168"/>
      <c r="U75" s="167"/>
      <c r="V75" s="168"/>
      <c r="W75" s="167"/>
      <c r="X75" s="168">
        <v>15</v>
      </c>
      <c r="Y75" s="167"/>
      <c r="Z75" s="168">
        <v>20</v>
      </c>
      <c r="AA75" s="167"/>
      <c r="AB75" s="172">
        <f>+Datos_Generales!$K$9</f>
        <v>3.6999999999999998E-2</v>
      </c>
      <c r="AC75" s="167"/>
      <c r="AD75" s="172">
        <v>0.33</v>
      </c>
      <c r="AE75" s="167"/>
      <c r="AF75" s="168">
        <v>18.36</v>
      </c>
      <c r="AG75" s="170"/>
      <c r="AH75" s="170"/>
      <c r="AI75" s="170"/>
      <c r="AJ75" s="170"/>
      <c r="AK75" s="170"/>
      <c r="AL75" s="170">
        <f t="shared" si="10"/>
        <v>1278.9993562499999</v>
      </c>
      <c r="AM75" s="170"/>
      <c r="AN75" s="170">
        <f t="shared" si="11"/>
        <v>139.09379627999999</v>
      </c>
      <c r="AO75" s="170"/>
      <c r="AP75" s="170">
        <f t="shared" si="12"/>
        <v>62.939558321062499</v>
      </c>
      <c r="AQ75" s="170"/>
      <c r="AR75" s="170">
        <f t="shared" si="13"/>
        <v>422.06978756249998</v>
      </c>
      <c r="AS75" s="170"/>
      <c r="AT75" s="170" t="e">
        <f>+(N75+P75)+((X75+Z75+AF75)/Datos_Generales!$E$15)</f>
        <v>#DIV/0!</v>
      </c>
      <c r="AU75" s="199"/>
      <c r="AV75" s="199">
        <f t="shared" si="14"/>
        <v>1701.0691438125</v>
      </c>
      <c r="AW75" s="199"/>
      <c r="AX75" s="173" t="e">
        <f t="shared" si="7"/>
        <v>#DIV/0!</v>
      </c>
    </row>
    <row r="76" spans="1:50" x14ac:dyDescent="0.2">
      <c r="A76" s="178" t="s">
        <v>2298</v>
      </c>
      <c r="B76" s="179">
        <v>2019</v>
      </c>
      <c r="C76" s="174"/>
      <c r="D76" s="175"/>
      <c r="E76" s="176" t="s">
        <v>1067</v>
      </c>
      <c r="F76" s="165" t="s">
        <v>1066</v>
      </c>
      <c r="G76" s="166">
        <v>40</v>
      </c>
      <c r="H76" s="167">
        <v>8</v>
      </c>
      <c r="I76" s="167">
        <v>999.71755499999995</v>
      </c>
      <c r="J76" s="168">
        <v>999.71755499999995</v>
      </c>
      <c r="K76" s="169">
        <v>15</v>
      </c>
      <c r="L76" s="167">
        <f t="shared" si="9"/>
        <v>249.92938874999996</v>
      </c>
      <c r="M76" s="170">
        <v>11</v>
      </c>
      <c r="N76" s="168">
        <v>45.537429519999996</v>
      </c>
      <c r="O76" s="170">
        <v>11</v>
      </c>
      <c r="P76" s="168">
        <v>40.196366759999997</v>
      </c>
      <c r="Q76" s="170"/>
      <c r="R76" s="168"/>
      <c r="S76" s="171"/>
      <c r="T76" s="168"/>
      <c r="U76" s="167"/>
      <c r="V76" s="168"/>
      <c r="W76" s="167"/>
      <c r="X76" s="168">
        <v>15</v>
      </c>
      <c r="Y76" s="167"/>
      <c r="Z76" s="168">
        <v>20</v>
      </c>
      <c r="AA76" s="167"/>
      <c r="AB76" s="172">
        <f>+Datos_Generales!$K$9</f>
        <v>3.6999999999999998E-2</v>
      </c>
      <c r="AC76" s="167"/>
      <c r="AD76" s="172">
        <v>0.33</v>
      </c>
      <c r="AE76" s="167"/>
      <c r="AF76" s="168">
        <v>18.36</v>
      </c>
      <c r="AG76" s="170"/>
      <c r="AH76" s="170"/>
      <c r="AI76" s="170"/>
      <c r="AJ76" s="170"/>
      <c r="AK76" s="170"/>
      <c r="AL76" s="170">
        <f t="shared" si="10"/>
        <v>1249.64694375</v>
      </c>
      <c r="AM76" s="170"/>
      <c r="AN76" s="170">
        <f t="shared" si="11"/>
        <v>139.09379627999999</v>
      </c>
      <c r="AO76" s="170"/>
      <c r="AP76" s="170">
        <f t="shared" si="12"/>
        <v>61.495126101937501</v>
      </c>
      <c r="AQ76" s="170"/>
      <c r="AR76" s="170">
        <f t="shared" si="13"/>
        <v>412.38349143750003</v>
      </c>
      <c r="AS76" s="170"/>
      <c r="AT76" s="170" t="e">
        <f>+(N76+P76)+((X76+Z76+AF76)/Datos_Generales!$E$15)</f>
        <v>#DIV/0!</v>
      </c>
      <c r="AU76" s="199"/>
      <c r="AV76" s="199">
        <f t="shared" si="14"/>
        <v>1662.0304351875002</v>
      </c>
      <c r="AW76" s="199"/>
      <c r="AX76" s="173" t="e">
        <f t="shared" si="7"/>
        <v>#DIV/0!</v>
      </c>
    </row>
    <row r="77" spans="1:50" x14ac:dyDescent="0.2">
      <c r="A77" s="161" t="s">
        <v>2298</v>
      </c>
      <c r="B77" s="179">
        <v>2019</v>
      </c>
      <c r="C77" s="163"/>
      <c r="D77" s="163"/>
      <c r="E77" s="164" t="s">
        <v>1069</v>
      </c>
      <c r="F77" s="165" t="s">
        <v>1068</v>
      </c>
      <c r="G77" s="166">
        <v>40</v>
      </c>
      <c r="H77" s="167">
        <v>8</v>
      </c>
      <c r="I77" s="167">
        <v>979.36166999999989</v>
      </c>
      <c r="J77" s="168">
        <v>979.36166999999989</v>
      </c>
      <c r="K77" s="169">
        <v>15</v>
      </c>
      <c r="L77" s="167">
        <f t="shared" si="9"/>
        <v>244.84041749999997</v>
      </c>
      <c r="M77" s="170">
        <v>11</v>
      </c>
      <c r="N77" s="168">
        <v>45.537429519999996</v>
      </c>
      <c r="O77" s="170">
        <v>11</v>
      </c>
      <c r="P77" s="168">
        <v>40.196366759999997</v>
      </c>
      <c r="Q77" s="170"/>
      <c r="R77" s="168"/>
      <c r="S77" s="171"/>
      <c r="T77" s="168"/>
      <c r="U77" s="167"/>
      <c r="V77" s="168"/>
      <c r="W77" s="167"/>
      <c r="X77" s="168">
        <v>15</v>
      </c>
      <c r="Y77" s="167"/>
      <c r="Z77" s="168">
        <v>20</v>
      </c>
      <c r="AA77" s="167"/>
      <c r="AB77" s="172">
        <f>+Datos_Generales!$K$9</f>
        <v>3.6999999999999998E-2</v>
      </c>
      <c r="AC77" s="167"/>
      <c r="AD77" s="172">
        <v>0.33</v>
      </c>
      <c r="AE77" s="167"/>
      <c r="AF77" s="168">
        <v>18.36</v>
      </c>
      <c r="AG77" s="170"/>
      <c r="AH77" s="170"/>
      <c r="AI77" s="170"/>
      <c r="AJ77" s="170"/>
      <c r="AK77" s="170"/>
      <c r="AL77" s="170">
        <f t="shared" si="10"/>
        <v>1224.2020874999998</v>
      </c>
      <c r="AM77" s="170"/>
      <c r="AN77" s="170">
        <f t="shared" si="11"/>
        <v>139.09379627999999</v>
      </c>
      <c r="AO77" s="170"/>
      <c r="AP77" s="170">
        <f t="shared" si="12"/>
        <v>60.24298472587499</v>
      </c>
      <c r="AQ77" s="170"/>
      <c r="AR77" s="170">
        <f t="shared" si="13"/>
        <v>403.98668887499997</v>
      </c>
      <c r="AS77" s="170"/>
      <c r="AT77" s="170" t="e">
        <f>+(N77+P77)+((X77+Z77+AF77)/Datos_Generales!$E$15)</f>
        <v>#DIV/0!</v>
      </c>
      <c r="AU77" s="199"/>
      <c r="AV77" s="199">
        <f t="shared" si="14"/>
        <v>1628.1887763749999</v>
      </c>
      <c r="AW77" s="199"/>
      <c r="AX77" s="173" t="e">
        <f t="shared" ref="AX77:AX140" si="15">+AL77+AT77+AP77+AR77</f>
        <v>#DIV/0!</v>
      </c>
    </row>
    <row r="78" spans="1:50" x14ac:dyDescent="0.2">
      <c r="A78" s="161" t="s">
        <v>2298</v>
      </c>
      <c r="B78" s="179">
        <v>2019</v>
      </c>
      <c r="C78" s="163"/>
      <c r="D78" s="163"/>
      <c r="E78" s="164" t="s">
        <v>2271</v>
      </c>
      <c r="F78" s="165" t="s">
        <v>1070</v>
      </c>
      <c r="G78" s="166">
        <v>40</v>
      </c>
      <c r="H78" s="167">
        <v>8</v>
      </c>
      <c r="I78" s="167">
        <v>966.38701499999991</v>
      </c>
      <c r="J78" s="168">
        <v>966.38701499999991</v>
      </c>
      <c r="K78" s="169">
        <v>15</v>
      </c>
      <c r="L78" s="167">
        <f t="shared" si="9"/>
        <v>241.59675374999998</v>
      </c>
      <c r="M78" s="170">
        <v>11</v>
      </c>
      <c r="N78" s="168">
        <v>45.537429519999996</v>
      </c>
      <c r="O78" s="170">
        <v>11</v>
      </c>
      <c r="P78" s="168">
        <v>40.196366759999997</v>
      </c>
      <c r="Q78" s="170"/>
      <c r="R78" s="168"/>
      <c r="S78" s="171"/>
      <c r="T78" s="168"/>
      <c r="U78" s="167"/>
      <c r="V78" s="168"/>
      <c r="W78" s="167"/>
      <c r="X78" s="168">
        <v>15</v>
      </c>
      <c r="Y78" s="167"/>
      <c r="Z78" s="168">
        <v>20</v>
      </c>
      <c r="AA78" s="167"/>
      <c r="AB78" s="172">
        <f>+Datos_Generales!$K$9</f>
        <v>3.6999999999999998E-2</v>
      </c>
      <c r="AC78" s="167"/>
      <c r="AD78" s="172">
        <v>0.33</v>
      </c>
      <c r="AE78" s="167"/>
      <c r="AF78" s="168">
        <v>18.36</v>
      </c>
      <c r="AG78" s="170"/>
      <c r="AH78" s="170"/>
      <c r="AI78" s="170"/>
      <c r="AJ78" s="170"/>
      <c r="AK78" s="170"/>
      <c r="AL78" s="170">
        <f t="shared" si="10"/>
        <v>1207.9837687499999</v>
      </c>
      <c r="AM78" s="170"/>
      <c r="AN78" s="170">
        <f t="shared" si="11"/>
        <v>139.09379627999999</v>
      </c>
      <c r="AO78" s="170"/>
      <c r="AP78" s="170">
        <f t="shared" si="12"/>
        <v>59.444881260187493</v>
      </c>
      <c r="AQ78" s="170"/>
      <c r="AR78" s="170">
        <f t="shared" si="13"/>
        <v>398.63464368749999</v>
      </c>
      <c r="AS78" s="170"/>
      <c r="AT78" s="170" t="e">
        <f>+(N78+P78)+((X78+Z78+AF78)/Datos_Generales!$E$15)</f>
        <v>#DIV/0!</v>
      </c>
      <c r="AU78" s="199"/>
      <c r="AV78" s="199">
        <f t="shared" si="14"/>
        <v>1606.6184124375</v>
      </c>
      <c r="AW78" s="199"/>
      <c r="AX78" s="173" t="e">
        <f t="shared" si="15"/>
        <v>#DIV/0!</v>
      </c>
    </row>
    <row r="79" spans="1:50" x14ac:dyDescent="0.2">
      <c r="A79" s="161" t="s">
        <v>2298</v>
      </c>
      <c r="B79" s="179">
        <v>2019</v>
      </c>
      <c r="C79" s="163"/>
      <c r="D79" s="163"/>
      <c r="E79" s="164" t="s">
        <v>1168</v>
      </c>
      <c r="F79" s="165" t="s">
        <v>1070</v>
      </c>
      <c r="G79" s="166">
        <v>40</v>
      </c>
      <c r="H79" s="167">
        <v>8</v>
      </c>
      <c r="I79" s="167">
        <v>966.38701499999991</v>
      </c>
      <c r="J79" s="168">
        <v>966.38701499999991</v>
      </c>
      <c r="K79" s="169">
        <v>15</v>
      </c>
      <c r="L79" s="167">
        <f t="shared" si="9"/>
        <v>241.59675374999998</v>
      </c>
      <c r="M79" s="170">
        <v>11</v>
      </c>
      <c r="N79" s="168">
        <v>45.537429519999996</v>
      </c>
      <c r="O79" s="170">
        <v>11</v>
      </c>
      <c r="P79" s="168">
        <v>40.196366759999997</v>
      </c>
      <c r="Q79" s="170"/>
      <c r="R79" s="168"/>
      <c r="S79" s="171"/>
      <c r="T79" s="168"/>
      <c r="U79" s="167"/>
      <c r="V79" s="168"/>
      <c r="W79" s="167"/>
      <c r="X79" s="168">
        <v>15</v>
      </c>
      <c r="Y79" s="167"/>
      <c r="Z79" s="168">
        <v>20</v>
      </c>
      <c r="AA79" s="167"/>
      <c r="AB79" s="172">
        <f>+Datos_Generales!$K$9</f>
        <v>3.6999999999999998E-2</v>
      </c>
      <c r="AC79" s="167"/>
      <c r="AD79" s="172">
        <v>0.33</v>
      </c>
      <c r="AE79" s="167"/>
      <c r="AF79" s="168">
        <v>18.36</v>
      </c>
      <c r="AG79" s="170"/>
      <c r="AH79" s="170"/>
      <c r="AI79" s="170"/>
      <c r="AJ79" s="170"/>
      <c r="AK79" s="170"/>
      <c r="AL79" s="170">
        <f t="shared" si="10"/>
        <v>1207.9837687499999</v>
      </c>
      <c r="AM79" s="170"/>
      <c r="AN79" s="170">
        <f t="shared" si="11"/>
        <v>139.09379627999999</v>
      </c>
      <c r="AO79" s="170"/>
      <c r="AP79" s="170">
        <f t="shared" si="12"/>
        <v>59.444881260187493</v>
      </c>
      <c r="AQ79" s="170"/>
      <c r="AR79" s="170">
        <f t="shared" si="13"/>
        <v>398.63464368749999</v>
      </c>
      <c r="AS79" s="170"/>
      <c r="AT79" s="170" t="e">
        <f>+(N79+P79)+((X79+Z79+AF79)/Datos_Generales!$E$15)</f>
        <v>#DIV/0!</v>
      </c>
      <c r="AU79" s="199"/>
      <c r="AV79" s="199">
        <f t="shared" si="14"/>
        <v>1606.6184124375</v>
      </c>
      <c r="AW79" s="199"/>
      <c r="AX79" s="173" t="e">
        <f t="shared" si="15"/>
        <v>#DIV/0!</v>
      </c>
    </row>
    <row r="80" spans="1:50" x14ac:dyDescent="0.2">
      <c r="A80" s="161" t="s">
        <v>2298</v>
      </c>
      <c r="B80" s="179">
        <v>2019</v>
      </c>
      <c r="C80" s="163"/>
      <c r="D80" s="163"/>
      <c r="E80" s="164" t="s">
        <v>2272</v>
      </c>
      <c r="F80" s="165" t="s">
        <v>2273</v>
      </c>
      <c r="G80" s="166">
        <v>40</v>
      </c>
      <c r="H80" s="167">
        <v>8</v>
      </c>
      <c r="I80" s="167">
        <v>1219.7430299999999</v>
      </c>
      <c r="J80" s="168">
        <v>1219.7430299999999</v>
      </c>
      <c r="K80" s="169">
        <v>12</v>
      </c>
      <c r="L80" s="167">
        <f t="shared" si="9"/>
        <v>0</v>
      </c>
      <c r="M80" s="170"/>
      <c r="N80" s="168"/>
      <c r="O80" s="170"/>
      <c r="P80" s="168"/>
      <c r="Q80" s="170"/>
      <c r="R80" s="168"/>
      <c r="S80" s="171"/>
      <c r="T80" s="168"/>
      <c r="U80" s="167"/>
      <c r="V80" s="168"/>
      <c r="W80" s="167"/>
      <c r="X80" s="168">
        <v>15</v>
      </c>
      <c r="Y80" s="167"/>
      <c r="Z80" s="168">
        <v>20</v>
      </c>
      <c r="AA80" s="167"/>
      <c r="AB80" s="172">
        <f>+Datos_Generales!$K$9</f>
        <v>3.6999999999999998E-2</v>
      </c>
      <c r="AC80" s="167"/>
      <c r="AD80" s="172">
        <v>0.33</v>
      </c>
      <c r="AE80" s="167"/>
      <c r="AF80" s="168">
        <v>18.36</v>
      </c>
      <c r="AG80" s="170"/>
      <c r="AH80" s="170"/>
      <c r="AI80" s="170"/>
      <c r="AJ80" s="170"/>
      <c r="AK80" s="170"/>
      <c r="AL80" s="170">
        <f t="shared" si="10"/>
        <v>1219.7430299999999</v>
      </c>
      <c r="AM80" s="170"/>
      <c r="AN80" s="170">
        <f t="shared" si="11"/>
        <v>53.36</v>
      </c>
      <c r="AO80" s="170"/>
      <c r="AP80" s="170">
        <f t="shared" si="12"/>
        <v>60.023554506299988</v>
      </c>
      <c r="AQ80" s="170"/>
      <c r="AR80" s="170">
        <f t="shared" si="13"/>
        <v>402.51519989999997</v>
      </c>
      <c r="AS80" s="170"/>
      <c r="AT80" s="170" t="e">
        <f>+(N80+P80)+((X80+Z80+AF80)/Datos_Generales!$E$15)</f>
        <v>#DIV/0!</v>
      </c>
      <c r="AU80" s="199"/>
      <c r="AV80" s="199">
        <f t="shared" si="14"/>
        <v>1622.2582298999998</v>
      </c>
      <c r="AW80" s="199"/>
      <c r="AX80" s="173" t="e">
        <f t="shared" si="15"/>
        <v>#DIV/0!</v>
      </c>
    </row>
    <row r="81" spans="1:50" x14ac:dyDescent="0.2">
      <c r="A81" s="161" t="s">
        <v>2298</v>
      </c>
      <c r="B81" s="179">
        <v>2019</v>
      </c>
      <c r="C81" s="163"/>
      <c r="D81" s="163"/>
      <c r="E81" s="164" t="s">
        <v>1073</v>
      </c>
      <c r="F81" s="165" t="s">
        <v>1070</v>
      </c>
      <c r="G81" s="166">
        <v>40</v>
      </c>
      <c r="H81" s="167">
        <v>8</v>
      </c>
      <c r="I81" s="167">
        <v>966.38701499999991</v>
      </c>
      <c r="J81" s="168">
        <v>966.38701499999991</v>
      </c>
      <c r="K81" s="169">
        <v>15</v>
      </c>
      <c r="L81" s="167">
        <f t="shared" si="9"/>
        <v>241.59675374999998</v>
      </c>
      <c r="M81" s="170">
        <v>11</v>
      </c>
      <c r="N81" s="168">
        <v>45.537429519999996</v>
      </c>
      <c r="O81" s="170">
        <v>11</v>
      </c>
      <c r="P81" s="168">
        <v>40.196366759999997</v>
      </c>
      <c r="Q81" s="170"/>
      <c r="R81" s="168"/>
      <c r="S81" s="171"/>
      <c r="T81" s="168"/>
      <c r="U81" s="167"/>
      <c r="V81" s="168"/>
      <c r="W81" s="167"/>
      <c r="X81" s="168">
        <v>15</v>
      </c>
      <c r="Y81" s="167"/>
      <c r="Z81" s="168">
        <v>20</v>
      </c>
      <c r="AA81" s="167"/>
      <c r="AB81" s="172">
        <f>+Datos_Generales!$K$9</f>
        <v>3.6999999999999998E-2</v>
      </c>
      <c r="AC81" s="167"/>
      <c r="AD81" s="172">
        <v>0.33</v>
      </c>
      <c r="AE81" s="167"/>
      <c r="AF81" s="168">
        <v>18.36</v>
      </c>
      <c r="AG81" s="170"/>
      <c r="AH81" s="170"/>
      <c r="AI81" s="170"/>
      <c r="AJ81" s="170"/>
      <c r="AK81" s="170"/>
      <c r="AL81" s="170">
        <f t="shared" si="10"/>
        <v>1207.9837687499999</v>
      </c>
      <c r="AM81" s="170"/>
      <c r="AN81" s="170">
        <f t="shared" si="11"/>
        <v>139.09379627999999</v>
      </c>
      <c r="AO81" s="170"/>
      <c r="AP81" s="170">
        <f t="shared" si="12"/>
        <v>59.444881260187493</v>
      </c>
      <c r="AQ81" s="170"/>
      <c r="AR81" s="170">
        <f t="shared" si="13"/>
        <v>398.63464368749999</v>
      </c>
      <c r="AS81" s="170"/>
      <c r="AT81" s="170" t="e">
        <f>+(N81+P81)+((X81+Z81+AF81)/Datos_Generales!$E$15)</f>
        <v>#DIV/0!</v>
      </c>
      <c r="AU81" s="199"/>
      <c r="AV81" s="199">
        <f t="shared" si="14"/>
        <v>1606.6184124375</v>
      </c>
      <c r="AW81" s="199"/>
      <c r="AX81" s="173" t="e">
        <f t="shared" si="15"/>
        <v>#DIV/0!</v>
      </c>
    </row>
    <row r="82" spans="1:50" x14ac:dyDescent="0.2">
      <c r="A82" s="161" t="s">
        <v>2299</v>
      </c>
      <c r="B82" s="179">
        <v>2015</v>
      </c>
      <c r="C82" s="163">
        <v>0</v>
      </c>
      <c r="D82" s="163">
        <v>1794</v>
      </c>
      <c r="E82" s="164" t="s">
        <v>1063</v>
      </c>
      <c r="F82" s="165" t="s">
        <v>1064</v>
      </c>
      <c r="G82" s="166">
        <v>40</v>
      </c>
      <c r="H82" s="167">
        <v>8</v>
      </c>
      <c r="I82" s="167">
        <v>0</v>
      </c>
      <c r="J82" s="168">
        <v>0</v>
      </c>
      <c r="K82" s="169"/>
      <c r="L82" s="167">
        <f t="shared" si="9"/>
        <v>0</v>
      </c>
      <c r="M82" s="170">
        <v>11</v>
      </c>
      <c r="N82" s="168">
        <v>43.08</v>
      </c>
      <c r="O82" s="170">
        <v>11</v>
      </c>
      <c r="P82" s="168">
        <v>38.03</v>
      </c>
      <c r="Q82" s="170"/>
      <c r="R82" s="168"/>
      <c r="S82" s="171"/>
      <c r="T82" s="168"/>
      <c r="U82" s="167"/>
      <c r="V82" s="168"/>
      <c r="W82" s="167"/>
      <c r="X82" s="168">
        <v>15</v>
      </c>
      <c r="Y82" s="167"/>
      <c r="Z82" s="168">
        <v>20</v>
      </c>
      <c r="AA82" s="167"/>
      <c r="AB82" s="172">
        <f>+Datos_Generales!$K$9</f>
        <v>3.6999999999999998E-2</v>
      </c>
      <c r="AC82" s="167"/>
      <c r="AD82" s="172">
        <v>0.33</v>
      </c>
      <c r="AE82" s="167"/>
      <c r="AF82" s="168">
        <v>18.36</v>
      </c>
      <c r="AG82" s="170"/>
      <c r="AH82" s="170"/>
      <c r="AI82" s="170"/>
      <c r="AJ82" s="170"/>
      <c r="AK82" s="170"/>
      <c r="AL82" s="170">
        <f t="shared" si="10"/>
        <v>0</v>
      </c>
      <c r="AM82" s="170"/>
      <c r="AN82" s="170">
        <f t="shared" si="11"/>
        <v>134.47</v>
      </c>
      <c r="AO82" s="170"/>
      <c r="AP82" s="170">
        <f t="shared" si="12"/>
        <v>0</v>
      </c>
      <c r="AQ82" s="170"/>
      <c r="AR82" s="170">
        <f t="shared" si="13"/>
        <v>0</v>
      </c>
      <c r="AS82" s="170"/>
      <c r="AT82" s="170" t="e">
        <f>+(N82+P82)+((X82+Z82+AF82)/Datos_Generales!$E$15)</f>
        <v>#DIV/0!</v>
      </c>
      <c r="AU82" s="199"/>
      <c r="AV82" s="199">
        <f t="shared" si="14"/>
        <v>0</v>
      </c>
      <c r="AW82" s="199"/>
      <c r="AX82" s="173" t="e">
        <f t="shared" si="15"/>
        <v>#DIV/0!</v>
      </c>
    </row>
    <row r="83" spans="1:50" x14ac:dyDescent="0.2">
      <c r="A83" s="161" t="s">
        <v>2299</v>
      </c>
      <c r="B83" s="179">
        <v>2015</v>
      </c>
      <c r="C83" s="174"/>
      <c r="D83" s="175"/>
      <c r="E83" s="176" t="s">
        <v>1065</v>
      </c>
      <c r="F83" s="165" t="s">
        <v>1066</v>
      </c>
      <c r="G83" s="166">
        <v>40</v>
      </c>
      <c r="H83" s="167">
        <v>8</v>
      </c>
      <c r="I83" s="167">
        <v>0</v>
      </c>
      <c r="J83" s="168">
        <v>0</v>
      </c>
      <c r="K83" s="169"/>
      <c r="L83" s="167">
        <f t="shared" si="9"/>
        <v>0</v>
      </c>
      <c r="M83" s="170">
        <v>11</v>
      </c>
      <c r="N83" s="168">
        <v>45.537429519999996</v>
      </c>
      <c r="O83" s="170">
        <v>11</v>
      </c>
      <c r="P83" s="168">
        <v>40.196366759999997</v>
      </c>
      <c r="Q83" s="170"/>
      <c r="R83" s="168"/>
      <c r="S83" s="171"/>
      <c r="T83" s="168"/>
      <c r="U83" s="167"/>
      <c r="V83" s="168"/>
      <c r="W83" s="167"/>
      <c r="X83" s="168">
        <v>15</v>
      </c>
      <c r="Y83" s="167"/>
      <c r="Z83" s="168">
        <v>20</v>
      </c>
      <c r="AA83" s="167"/>
      <c r="AB83" s="172">
        <f>+Datos_Generales!$K$9</f>
        <v>3.6999999999999998E-2</v>
      </c>
      <c r="AC83" s="167"/>
      <c r="AD83" s="172">
        <v>0.33</v>
      </c>
      <c r="AE83" s="167"/>
      <c r="AF83" s="168">
        <v>18.36</v>
      </c>
      <c r="AG83" s="170"/>
      <c r="AH83" s="170"/>
      <c r="AI83" s="170"/>
      <c r="AJ83" s="170"/>
      <c r="AK83" s="170"/>
      <c r="AL83" s="170">
        <f t="shared" si="10"/>
        <v>0</v>
      </c>
      <c r="AM83" s="170"/>
      <c r="AN83" s="170">
        <f t="shared" si="11"/>
        <v>139.09379627999999</v>
      </c>
      <c r="AO83" s="170"/>
      <c r="AP83" s="170">
        <f t="shared" si="12"/>
        <v>0</v>
      </c>
      <c r="AQ83" s="170"/>
      <c r="AR83" s="170">
        <f t="shared" si="13"/>
        <v>0</v>
      </c>
      <c r="AS83" s="170"/>
      <c r="AT83" s="170" t="e">
        <f>+(N83+P83)+((X83+Z83+AF83)/Datos_Generales!$E$15)</f>
        <v>#DIV/0!</v>
      </c>
      <c r="AU83" s="199"/>
      <c r="AV83" s="199">
        <f t="shared" si="14"/>
        <v>0</v>
      </c>
      <c r="AW83" s="199"/>
      <c r="AX83" s="173" t="e">
        <f t="shared" si="15"/>
        <v>#DIV/0!</v>
      </c>
    </row>
    <row r="84" spans="1:50" x14ac:dyDescent="0.2">
      <c r="A84" s="161" t="s">
        <v>2299</v>
      </c>
      <c r="B84" s="179">
        <v>2015</v>
      </c>
      <c r="C84" s="163"/>
      <c r="D84" s="163"/>
      <c r="E84" s="164" t="s">
        <v>1067</v>
      </c>
      <c r="F84" s="165" t="s">
        <v>1068</v>
      </c>
      <c r="G84" s="166">
        <v>40</v>
      </c>
      <c r="H84" s="167">
        <v>8</v>
      </c>
      <c r="I84" s="167">
        <v>0</v>
      </c>
      <c r="J84" s="168">
        <v>0</v>
      </c>
      <c r="K84" s="169"/>
      <c r="L84" s="167">
        <f t="shared" si="9"/>
        <v>0</v>
      </c>
      <c r="M84" s="170">
        <v>11</v>
      </c>
      <c r="N84" s="168">
        <v>45.537429519999996</v>
      </c>
      <c r="O84" s="170">
        <v>11</v>
      </c>
      <c r="P84" s="168">
        <v>40.196366759999997</v>
      </c>
      <c r="Q84" s="170"/>
      <c r="R84" s="168"/>
      <c r="S84" s="171"/>
      <c r="T84" s="168"/>
      <c r="U84" s="167"/>
      <c r="V84" s="168"/>
      <c r="W84" s="167"/>
      <c r="X84" s="168">
        <v>15</v>
      </c>
      <c r="Y84" s="167"/>
      <c r="Z84" s="168">
        <v>20</v>
      </c>
      <c r="AA84" s="167"/>
      <c r="AB84" s="172">
        <f>+Datos_Generales!$K$9</f>
        <v>3.6999999999999998E-2</v>
      </c>
      <c r="AC84" s="167"/>
      <c r="AD84" s="172">
        <v>0.33</v>
      </c>
      <c r="AE84" s="167"/>
      <c r="AF84" s="168">
        <v>18.36</v>
      </c>
      <c r="AG84" s="170"/>
      <c r="AH84" s="170"/>
      <c r="AI84" s="170"/>
      <c r="AJ84" s="170"/>
      <c r="AK84" s="170"/>
      <c r="AL84" s="170">
        <f t="shared" si="10"/>
        <v>0</v>
      </c>
      <c r="AM84" s="170"/>
      <c r="AN84" s="170">
        <f t="shared" si="11"/>
        <v>139.09379627999999</v>
      </c>
      <c r="AO84" s="170"/>
      <c r="AP84" s="170">
        <f t="shared" si="12"/>
        <v>0</v>
      </c>
      <c r="AQ84" s="170"/>
      <c r="AR84" s="170">
        <f t="shared" si="13"/>
        <v>0</v>
      </c>
      <c r="AS84" s="170"/>
      <c r="AT84" s="170" t="e">
        <f>+(N84+P84)+((X84+Z84+AF84)/Datos_Generales!$E$15)</f>
        <v>#DIV/0!</v>
      </c>
      <c r="AU84" s="199"/>
      <c r="AV84" s="199">
        <f t="shared" si="14"/>
        <v>0</v>
      </c>
      <c r="AW84" s="199"/>
      <c r="AX84" s="173" t="e">
        <f t="shared" si="15"/>
        <v>#DIV/0!</v>
      </c>
    </row>
    <row r="85" spans="1:50" x14ac:dyDescent="0.2">
      <c r="A85" s="161" t="s">
        <v>2299</v>
      </c>
      <c r="B85" s="179">
        <v>2015</v>
      </c>
      <c r="C85" s="163"/>
      <c r="D85" s="163"/>
      <c r="E85" s="164" t="s">
        <v>1069</v>
      </c>
      <c r="F85" s="165" t="s">
        <v>1070</v>
      </c>
      <c r="G85" s="166">
        <v>40</v>
      </c>
      <c r="H85" s="167">
        <v>8</v>
      </c>
      <c r="I85" s="167">
        <v>0</v>
      </c>
      <c r="J85" s="168">
        <v>0</v>
      </c>
      <c r="K85" s="169"/>
      <c r="L85" s="167">
        <f t="shared" si="9"/>
        <v>0</v>
      </c>
      <c r="M85" s="170">
        <v>11</v>
      </c>
      <c r="N85" s="168">
        <v>45.537429519999996</v>
      </c>
      <c r="O85" s="170">
        <v>11</v>
      </c>
      <c r="P85" s="168">
        <v>40.196366759999997</v>
      </c>
      <c r="Q85" s="170"/>
      <c r="R85" s="168"/>
      <c r="S85" s="171"/>
      <c r="T85" s="168"/>
      <c r="U85" s="167"/>
      <c r="V85" s="168"/>
      <c r="W85" s="167"/>
      <c r="X85" s="168">
        <v>15</v>
      </c>
      <c r="Y85" s="167"/>
      <c r="Z85" s="168">
        <v>20</v>
      </c>
      <c r="AA85" s="167"/>
      <c r="AB85" s="172">
        <f>+Datos_Generales!$K$9</f>
        <v>3.6999999999999998E-2</v>
      </c>
      <c r="AC85" s="167"/>
      <c r="AD85" s="172">
        <v>0.33</v>
      </c>
      <c r="AE85" s="167"/>
      <c r="AF85" s="168">
        <v>18.36</v>
      </c>
      <c r="AG85" s="170"/>
      <c r="AH85" s="170"/>
      <c r="AI85" s="170"/>
      <c r="AJ85" s="170"/>
      <c r="AK85" s="170"/>
      <c r="AL85" s="170">
        <f t="shared" si="10"/>
        <v>0</v>
      </c>
      <c r="AM85" s="170"/>
      <c r="AN85" s="170">
        <f t="shared" si="11"/>
        <v>139.09379627999999</v>
      </c>
      <c r="AO85" s="170"/>
      <c r="AP85" s="170">
        <f t="shared" si="12"/>
        <v>0</v>
      </c>
      <c r="AQ85" s="170"/>
      <c r="AR85" s="170">
        <f t="shared" si="13"/>
        <v>0</v>
      </c>
      <c r="AS85" s="170"/>
      <c r="AT85" s="170" t="e">
        <f>+(N85+P85)+((X85+Z85+AF85)/Datos_Generales!$E$15)</f>
        <v>#DIV/0!</v>
      </c>
      <c r="AU85" s="199"/>
      <c r="AV85" s="199">
        <f t="shared" si="14"/>
        <v>0</v>
      </c>
      <c r="AW85" s="199"/>
      <c r="AX85" s="173" t="e">
        <f t="shared" si="15"/>
        <v>#DIV/0!</v>
      </c>
    </row>
    <row r="86" spans="1:50" x14ac:dyDescent="0.2">
      <c r="A86" s="161" t="s">
        <v>2299</v>
      </c>
      <c r="B86" s="179">
        <v>2015</v>
      </c>
      <c r="C86" s="163"/>
      <c r="D86" s="163"/>
      <c r="E86" s="164" t="s">
        <v>2271</v>
      </c>
      <c r="F86" s="165" t="s">
        <v>1072</v>
      </c>
      <c r="G86" s="166">
        <v>40</v>
      </c>
      <c r="H86" s="167">
        <v>8</v>
      </c>
      <c r="I86" s="167">
        <v>0</v>
      </c>
      <c r="J86" s="168">
        <v>0</v>
      </c>
      <c r="K86" s="169"/>
      <c r="L86" s="167">
        <f t="shared" si="9"/>
        <v>0</v>
      </c>
      <c r="M86" s="170">
        <v>11</v>
      </c>
      <c r="N86" s="168">
        <v>45.537429519999996</v>
      </c>
      <c r="O86" s="170">
        <v>11</v>
      </c>
      <c r="P86" s="168">
        <v>40.196366759999997</v>
      </c>
      <c r="Q86" s="170"/>
      <c r="R86" s="168"/>
      <c r="S86" s="171"/>
      <c r="T86" s="168"/>
      <c r="U86" s="167"/>
      <c r="V86" s="168"/>
      <c r="W86" s="167"/>
      <c r="X86" s="168">
        <v>15</v>
      </c>
      <c r="Y86" s="167"/>
      <c r="Z86" s="168">
        <v>20</v>
      </c>
      <c r="AA86" s="167"/>
      <c r="AB86" s="172">
        <f>+Datos_Generales!$K$9</f>
        <v>3.6999999999999998E-2</v>
      </c>
      <c r="AC86" s="167"/>
      <c r="AD86" s="172">
        <v>0.33</v>
      </c>
      <c r="AE86" s="167"/>
      <c r="AF86" s="168">
        <v>18.36</v>
      </c>
      <c r="AG86" s="170"/>
      <c r="AH86" s="170"/>
      <c r="AI86" s="170"/>
      <c r="AJ86" s="170"/>
      <c r="AK86" s="170"/>
      <c r="AL86" s="170">
        <f t="shared" si="10"/>
        <v>0</v>
      </c>
      <c r="AM86" s="170"/>
      <c r="AN86" s="170">
        <f t="shared" si="11"/>
        <v>139.09379627999999</v>
      </c>
      <c r="AO86" s="170"/>
      <c r="AP86" s="170">
        <f t="shared" si="12"/>
        <v>0</v>
      </c>
      <c r="AQ86" s="170"/>
      <c r="AR86" s="170">
        <f t="shared" si="13"/>
        <v>0</v>
      </c>
      <c r="AS86" s="170"/>
      <c r="AT86" s="170" t="e">
        <f>+(N86+P86)+((X86+Z86+AF86)/Datos_Generales!$E$15)</f>
        <v>#DIV/0!</v>
      </c>
      <c r="AU86" s="199"/>
      <c r="AV86" s="199">
        <f t="shared" si="14"/>
        <v>0</v>
      </c>
      <c r="AW86" s="199"/>
      <c r="AX86" s="173" t="e">
        <f t="shared" si="15"/>
        <v>#DIV/0!</v>
      </c>
    </row>
    <row r="87" spans="1:50" x14ac:dyDescent="0.2">
      <c r="A87" s="161" t="s">
        <v>2299</v>
      </c>
      <c r="B87" s="179">
        <v>2015</v>
      </c>
      <c r="C87" s="163"/>
      <c r="D87" s="163"/>
      <c r="E87" s="164" t="s">
        <v>1168</v>
      </c>
      <c r="F87" s="165" t="s">
        <v>1072</v>
      </c>
      <c r="G87" s="166">
        <v>40</v>
      </c>
      <c r="H87" s="167">
        <v>8</v>
      </c>
      <c r="I87" s="167">
        <v>0</v>
      </c>
      <c r="J87" s="168">
        <v>0</v>
      </c>
      <c r="K87" s="169"/>
      <c r="L87" s="167">
        <f t="shared" si="9"/>
        <v>0</v>
      </c>
      <c r="M87" s="170">
        <v>11</v>
      </c>
      <c r="N87" s="168">
        <v>45.537429519999996</v>
      </c>
      <c r="O87" s="170">
        <v>11</v>
      </c>
      <c r="P87" s="168">
        <v>40.196366759999997</v>
      </c>
      <c r="Q87" s="170"/>
      <c r="R87" s="168"/>
      <c r="S87" s="171"/>
      <c r="T87" s="168"/>
      <c r="U87" s="167"/>
      <c r="V87" s="168"/>
      <c r="W87" s="167"/>
      <c r="X87" s="168">
        <v>15</v>
      </c>
      <c r="Y87" s="167"/>
      <c r="Z87" s="168">
        <v>20</v>
      </c>
      <c r="AA87" s="167"/>
      <c r="AB87" s="172">
        <f>+Datos_Generales!$K$9</f>
        <v>3.6999999999999998E-2</v>
      </c>
      <c r="AC87" s="167"/>
      <c r="AD87" s="172">
        <v>0.33</v>
      </c>
      <c r="AE87" s="167"/>
      <c r="AF87" s="168">
        <v>18.36</v>
      </c>
      <c r="AG87" s="170"/>
      <c r="AH87" s="170"/>
      <c r="AI87" s="170"/>
      <c r="AJ87" s="170"/>
      <c r="AK87" s="170"/>
      <c r="AL87" s="170">
        <f t="shared" si="10"/>
        <v>0</v>
      </c>
      <c r="AM87" s="170"/>
      <c r="AN87" s="170">
        <f t="shared" si="11"/>
        <v>139.09379627999999</v>
      </c>
      <c r="AO87" s="170"/>
      <c r="AP87" s="170">
        <f t="shared" si="12"/>
        <v>0</v>
      </c>
      <c r="AQ87" s="170"/>
      <c r="AR87" s="170">
        <f t="shared" si="13"/>
        <v>0</v>
      </c>
      <c r="AS87" s="170"/>
      <c r="AT87" s="170" t="e">
        <f>+(N87+P87)+((X87+Z87+AF87)/Datos_Generales!$E$15)</f>
        <v>#DIV/0!</v>
      </c>
      <c r="AU87" s="199"/>
      <c r="AV87" s="199">
        <f t="shared" si="14"/>
        <v>0</v>
      </c>
      <c r="AW87" s="199"/>
      <c r="AX87" s="173" t="e">
        <f t="shared" si="15"/>
        <v>#DIV/0!</v>
      </c>
    </row>
    <row r="88" spans="1:50" x14ac:dyDescent="0.2">
      <c r="A88" s="161" t="s">
        <v>2299</v>
      </c>
      <c r="B88" s="179">
        <v>2015</v>
      </c>
      <c r="C88" s="163"/>
      <c r="D88" s="163"/>
      <c r="E88" s="164" t="s">
        <v>1073</v>
      </c>
      <c r="F88" s="165" t="s">
        <v>1072</v>
      </c>
      <c r="G88" s="166">
        <v>40</v>
      </c>
      <c r="H88" s="167">
        <v>8</v>
      </c>
      <c r="I88" s="167">
        <v>0</v>
      </c>
      <c r="J88" s="168">
        <v>0</v>
      </c>
      <c r="K88" s="169"/>
      <c r="L88" s="167">
        <f t="shared" si="9"/>
        <v>0</v>
      </c>
      <c r="M88" s="170">
        <v>11</v>
      </c>
      <c r="N88" s="168">
        <v>45.537429519999996</v>
      </c>
      <c r="O88" s="170">
        <v>11</v>
      </c>
      <c r="P88" s="168">
        <v>40.196366759999997</v>
      </c>
      <c r="Q88" s="170"/>
      <c r="R88" s="168"/>
      <c r="S88" s="171"/>
      <c r="T88" s="168"/>
      <c r="U88" s="167"/>
      <c r="V88" s="168"/>
      <c r="W88" s="167"/>
      <c r="X88" s="168">
        <v>15</v>
      </c>
      <c r="Y88" s="167"/>
      <c r="Z88" s="168">
        <v>20</v>
      </c>
      <c r="AA88" s="167"/>
      <c r="AB88" s="172">
        <f>+Datos_Generales!$K$9</f>
        <v>3.6999999999999998E-2</v>
      </c>
      <c r="AC88" s="167"/>
      <c r="AD88" s="172">
        <v>0.33</v>
      </c>
      <c r="AE88" s="167"/>
      <c r="AF88" s="168">
        <v>18.36</v>
      </c>
      <c r="AG88" s="170"/>
      <c r="AH88" s="170"/>
      <c r="AI88" s="170"/>
      <c r="AJ88" s="170"/>
      <c r="AK88" s="170"/>
      <c r="AL88" s="170">
        <f t="shared" si="10"/>
        <v>0</v>
      </c>
      <c r="AM88" s="170"/>
      <c r="AN88" s="170">
        <f t="shared" si="11"/>
        <v>139.09379627999999</v>
      </c>
      <c r="AO88" s="170"/>
      <c r="AP88" s="170">
        <f t="shared" si="12"/>
        <v>0</v>
      </c>
      <c r="AQ88" s="170"/>
      <c r="AR88" s="170">
        <f t="shared" si="13"/>
        <v>0</v>
      </c>
      <c r="AS88" s="170"/>
      <c r="AT88" s="170" t="e">
        <f>+(N88+P88)+((X88+Z88+AF88)/Datos_Generales!$E$15)</f>
        <v>#DIV/0!</v>
      </c>
      <c r="AU88" s="199"/>
      <c r="AV88" s="199">
        <f t="shared" si="14"/>
        <v>0</v>
      </c>
      <c r="AW88" s="199"/>
      <c r="AX88" s="173" t="e">
        <f t="shared" si="15"/>
        <v>#DIV/0!</v>
      </c>
    </row>
    <row r="89" spans="1:50" x14ac:dyDescent="0.2">
      <c r="A89" s="161" t="s">
        <v>2300</v>
      </c>
      <c r="B89" s="179">
        <v>2015</v>
      </c>
      <c r="C89" s="163">
        <v>0</v>
      </c>
      <c r="D89" s="163">
        <v>1794</v>
      </c>
      <c r="E89" s="164" t="s">
        <v>1063</v>
      </c>
      <c r="F89" s="165" t="s">
        <v>1064</v>
      </c>
      <c r="G89" s="166">
        <v>40</v>
      </c>
      <c r="H89" s="167">
        <v>8</v>
      </c>
      <c r="I89" s="167">
        <v>0</v>
      </c>
      <c r="J89" s="168">
        <v>0</v>
      </c>
      <c r="K89" s="169"/>
      <c r="L89" s="167">
        <f t="shared" si="9"/>
        <v>0</v>
      </c>
      <c r="M89" s="170">
        <v>11</v>
      </c>
      <c r="N89" s="168">
        <v>43.08</v>
      </c>
      <c r="O89" s="170">
        <v>11</v>
      </c>
      <c r="P89" s="168">
        <v>38.03</v>
      </c>
      <c r="Q89" s="170"/>
      <c r="R89" s="168"/>
      <c r="S89" s="171"/>
      <c r="T89" s="168"/>
      <c r="U89" s="167"/>
      <c r="V89" s="168"/>
      <c r="W89" s="167"/>
      <c r="X89" s="168">
        <v>15</v>
      </c>
      <c r="Y89" s="167"/>
      <c r="Z89" s="168">
        <v>20</v>
      </c>
      <c r="AA89" s="167"/>
      <c r="AB89" s="172">
        <f>+Datos_Generales!$K$9</f>
        <v>3.6999999999999998E-2</v>
      </c>
      <c r="AC89" s="167"/>
      <c r="AD89" s="172">
        <v>0.33</v>
      </c>
      <c r="AE89" s="167"/>
      <c r="AF89" s="168">
        <v>18.36</v>
      </c>
      <c r="AG89" s="170"/>
      <c r="AH89" s="170"/>
      <c r="AI89" s="170"/>
      <c r="AJ89" s="170"/>
      <c r="AK89" s="170"/>
      <c r="AL89" s="170">
        <f t="shared" si="10"/>
        <v>0</v>
      </c>
      <c r="AM89" s="170"/>
      <c r="AN89" s="170">
        <f t="shared" si="11"/>
        <v>134.47</v>
      </c>
      <c r="AO89" s="170"/>
      <c r="AP89" s="170">
        <f t="shared" si="12"/>
        <v>0</v>
      </c>
      <c r="AQ89" s="170"/>
      <c r="AR89" s="170">
        <f t="shared" si="13"/>
        <v>0</v>
      </c>
      <c r="AS89" s="170"/>
      <c r="AT89" s="170" t="e">
        <f>+(N89+P89)+((X89+Z89+AF89)/Datos_Generales!$E$15)</f>
        <v>#DIV/0!</v>
      </c>
      <c r="AU89" s="199"/>
      <c r="AV89" s="199">
        <f t="shared" si="14"/>
        <v>0</v>
      </c>
      <c r="AW89" s="199"/>
      <c r="AX89" s="173" t="e">
        <f t="shared" si="15"/>
        <v>#DIV/0!</v>
      </c>
    </row>
    <row r="90" spans="1:50" x14ac:dyDescent="0.2">
      <c r="A90" s="161" t="s">
        <v>2300</v>
      </c>
      <c r="B90" s="179">
        <v>2015</v>
      </c>
      <c r="C90" s="174"/>
      <c r="D90" s="175"/>
      <c r="E90" s="176" t="s">
        <v>1065</v>
      </c>
      <c r="F90" s="165" t="s">
        <v>1066</v>
      </c>
      <c r="G90" s="166">
        <v>40</v>
      </c>
      <c r="H90" s="167">
        <v>8</v>
      </c>
      <c r="I90" s="167">
        <v>0</v>
      </c>
      <c r="J90" s="168">
        <v>0</v>
      </c>
      <c r="K90" s="169"/>
      <c r="L90" s="167">
        <f t="shared" si="9"/>
        <v>0</v>
      </c>
      <c r="M90" s="170">
        <v>11</v>
      </c>
      <c r="N90" s="168">
        <v>45.537429519999996</v>
      </c>
      <c r="O90" s="170">
        <v>11</v>
      </c>
      <c r="P90" s="168">
        <v>40.196366759999997</v>
      </c>
      <c r="Q90" s="170"/>
      <c r="R90" s="168"/>
      <c r="S90" s="171"/>
      <c r="T90" s="168"/>
      <c r="U90" s="167"/>
      <c r="V90" s="168"/>
      <c r="W90" s="167"/>
      <c r="X90" s="168">
        <v>15</v>
      </c>
      <c r="Y90" s="167"/>
      <c r="Z90" s="168">
        <v>20</v>
      </c>
      <c r="AA90" s="167"/>
      <c r="AB90" s="172">
        <f>+Datos_Generales!$K$9</f>
        <v>3.6999999999999998E-2</v>
      </c>
      <c r="AC90" s="167"/>
      <c r="AD90" s="172">
        <v>0.33</v>
      </c>
      <c r="AE90" s="167"/>
      <c r="AF90" s="168">
        <v>18.36</v>
      </c>
      <c r="AG90" s="170"/>
      <c r="AH90" s="170"/>
      <c r="AI90" s="170"/>
      <c r="AJ90" s="170"/>
      <c r="AK90" s="170"/>
      <c r="AL90" s="170">
        <f t="shared" si="10"/>
        <v>0</v>
      </c>
      <c r="AM90" s="170"/>
      <c r="AN90" s="170">
        <f t="shared" si="11"/>
        <v>139.09379627999999</v>
      </c>
      <c r="AO90" s="170"/>
      <c r="AP90" s="170">
        <f t="shared" si="12"/>
        <v>0</v>
      </c>
      <c r="AQ90" s="170"/>
      <c r="AR90" s="170">
        <f t="shared" si="13"/>
        <v>0</v>
      </c>
      <c r="AS90" s="170"/>
      <c r="AT90" s="170" t="e">
        <f>+(N90+P90)+((X90+Z90+AF90)/Datos_Generales!$E$15)</f>
        <v>#DIV/0!</v>
      </c>
      <c r="AU90" s="199"/>
      <c r="AV90" s="199">
        <f t="shared" si="14"/>
        <v>0</v>
      </c>
      <c r="AW90" s="199"/>
      <c r="AX90" s="173" t="e">
        <f t="shared" si="15"/>
        <v>#DIV/0!</v>
      </c>
    </row>
    <row r="91" spans="1:50" x14ac:dyDescent="0.2">
      <c r="A91" s="161" t="s">
        <v>2300</v>
      </c>
      <c r="B91" s="179">
        <v>2015</v>
      </c>
      <c r="C91" s="163"/>
      <c r="D91" s="163"/>
      <c r="E91" s="164" t="s">
        <v>1067</v>
      </c>
      <c r="F91" s="165" t="s">
        <v>1068</v>
      </c>
      <c r="G91" s="166">
        <v>40</v>
      </c>
      <c r="H91" s="167">
        <v>8</v>
      </c>
      <c r="I91" s="167">
        <v>0</v>
      </c>
      <c r="J91" s="168">
        <v>0</v>
      </c>
      <c r="K91" s="169"/>
      <c r="L91" s="167">
        <f t="shared" si="9"/>
        <v>0</v>
      </c>
      <c r="M91" s="170">
        <v>11</v>
      </c>
      <c r="N91" s="168">
        <v>45.537429519999996</v>
      </c>
      <c r="O91" s="170">
        <v>11</v>
      </c>
      <c r="P91" s="168">
        <v>40.196366759999997</v>
      </c>
      <c r="Q91" s="170"/>
      <c r="R91" s="168"/>
      <c r="S91" s="171"/>
      <c r="T91" s="168"/>
      <c r="U91" s="167"/>
      <c r="V91" s="168"/>
      <c r="W91" s="167"/>
      <c r="X91" s="168">
        <v>15</v>
      </c>
      <c r="Y91" s="167"/>
      <c r="Z91" s="168">
        <v>20</v>
      </c>
      <c r="AA91" s="167"/>
      <c r="AB91" s="172">
        <f>+Datos_Generales!$K$9</f>
        <v>3.6999999999999998E-2</v>
      </c>
      <c r="AC91" s="167"/>
      <c r="AD91" s="172">
        <v>0.33</v>
      </c>
      <c r="AE91" s="167"/>
      <c r="AF91" s="168">
        <v>18.36</v>
      </c>
      <c r="AG91" s="170"/>
      <c r="AH91" s="170"/>
      <c r="AI91" s="170"/>
      <c r="AJ91" s="170"/>
      <c r="AK91" s="170"/>
      <c r="AL91" s="170">
        <f t="shared" si="10"/>
        <v>0</v>
      </c>
      <c r="AM91" s="170"/>
      <c r="AN91" s="170">
        <f t="shared" si="11"/>
        <v>139.09379627999999</v>
      </c>
      <c r="AO91" s="170"/>
      <c r="AP91" s="170">
        <f t="shared" si="12"/>
        <v>0</v>
      </c>
      <c r="AQ91" s="170"/>
      <c r="AR91" s="170">
        <f t="shared" si="13"/>
        <v>0</v>
      </c>
      <c r="AS91" s="170"/>
      <c r="AT91" s="170" t="e">
        <f>+(N91+P91)+((X91+Z91+AF91)/Datos_Generales!$E$15)</f>
        <v>#DIV/0!</v>
      </c>
      <c r="AU91" s="199"/>
      <c r="AV91" s="199">
        <f t="shared" si="14"/>
        <v>0</v>
      </c>
      <c r="AW91" s="199"/>
      <c r="AX91" s="173" t="e">
        <f t="shared" si="15"/>
        <v>#DIV/0!</v>
      </c>
    </row>
    <row r="92" spans="1:50" x14ac:dyDescent="0.2">
      <c r="A92" s="161" t="s">
        <v>2300</v>
      </c>
      <c r="B92" s="179">
        <v>2015</v>
      </c>
      <c r="C92" s="163"/>
      <c r="D92" s="163"/>
      <c r="E92" s="164" t="s">
        <v>1069</v>
      </c>
      <c r="F92" s="165" t="s">
        <v>1070</v>
      </c>
      <c r="G92" s="166">
        <v>40</v>
      </c>
      <c r="H92" s="167">
        <v>8</v>
      </c>
      <c r="I92" s="167">
        <v>0</v>
      </c>
      <c r="J92" s="168">
        <v>0</v>
      </c>
      <c r="K92" s="169"/>
      <c r="L92" s="167">
        <f t="shared" si="9"/>
        <v>0</v>
      </c>
      <c r="M92" s="170">
        <v>11</v>
      </c>
      <c r="N92" s="168">
        <v>45.537429519999996</v>
      </c>
      <c r="O92" s="170">
        <v>11</v>
      </c>
      <c r="P92" s="168">
        <v>40.196366759999997</v>
      </c>
      <c r="Q92" s="170"/>
      <c r="R92" s="168"/>
      <c r="S92" s="171"/>
      <c r="T92" s="168"/>
      <c r="U92" s="167"/>
      <c r="V92" s="168"/>
      <c r="W92" s="167"/>
      <c r="X92" s="168">
        <v>15</v>
      </c>
      <c r="Y92" s="167"/>
      <c r="Z92" s="168">
        <v>20</v>
      </c>
      <c r="AA92" s="167"/>
      <c r="AB92" s="172">
        <f>+Datos_Generales!$K$9</f>
        <v>3.6999999999999998E-2</v>
      </c>
      <c r="AC92" s="167"/>
      <c r="AD92" s="172">
        <v>0.33</v>
      </c>
      <c r="AE92" s="167"/>
      <c r="AF92" s="168">
        <v>18.36</v>
      </c>
      <c r="AG92" s="170"/>
      <c r="AH92" s="170"/>
      <c r="AI92" s="170"/>
      <c r="AJ92" s="170"/>
      <c r="AK92" s="170"/>
      <c r="AL92" s="170">
        <f t="shared" si="10"/>
        <v>0</v>
      </c>
      <c r="AM92" s="170"/>
      <c r="AN92" s="170">
        <f t="shared" si="11"/>
        <v>139.09379627999999</v>
      </c>
      <c r="AO92" s="170"/>
      <c r="AP92" s="170">
        <f t="shared" si="12"/>
        <v>0</v>
      </c>
      <c r="AQ92" s="170"/>
      <c r="AR92" s="170">
        <f t="shared" si="13"/>
        <v>0</v>
      </c>
      <c r="AS92" s="170"/>
      <c r="AT92" s="170" t="e">
        <f>+(N92+P92)+((X92+Z92+AF92)/Datos_Generales!$E$15)</f>
        <v>#DIV/0!</v>
      </c>
      <c r="AU92" s="199"/>
      <c r="AV92" s="199">
        <f t="shared" si="14"/>
        <v>0</v>
      </c>
      <c r="AW92" s="199"/>
      <c r="AX92" s="173" t="e">
        <f t="shared" si="15"/>
        <v>#DIV/0!</v>
      </c>
    </row>
    <row r="93" spans="1:50" x14ac:dyDescent="0.2">
      <c r="A93" s="161" t="s">
        <v>2300</v>
      </c>
      <c r="B93" s="179">
        <v>2015</v>
      </c>
      <c r="C93" s="163"/>
      <c r="D93" s="163"/>
      <c r="E93" s="164" t="s">
        <v>2271</v>
      </c>
      <c r="F93" s="165" t="s">
        <v>1072</v>
      </c>
      <c r="G93" s="166">
        <v>40</v>
      </c>
      <c r="H93" s="167">
        <v>8</v>
      </c>
      <c r="I93" s="167">
        <v>0</v>
      </c>
      <c r="J93" s="168">
        <v>0</v>
      </c>
      <c r="K93" s="169"/>
      <c r="L93" s="167">
        <f t="shared" si="9"/>
        <v>0</v>
      </c>
      <c r="M93" s="170">
        <v>11</v>
      </c>
      <c r="N93" s="168">
        <v>45.537429519999996</v>
      </c>
      <c r="O93" s="170">
        <v>11</v>
      </c>
      <c r="P93" s="168">
        <v>40.196366759999997</v>
      </c>
      <c r="Q93" s="170"/>
      <c r="R93" s="168"/>
      <c r="S93" s="171"/>
      <c r="T93" s="168"/>
      <c r="U93" s="167"/>
      <c r="V93" s="168"/>
      <c r="W93" s="167"/>
      <c r="X93" s="168">
        <v>15</v>
      </c>
      <c r="Y93" s="167"/>
      <c r="Z93" s="168">
        <v>20</v>
      </c>
      <c r="AA93" s="167"/>
      <c r="AB93" s="172">
        <f>+Datos_Generales!$K$9</f>
        <v>3.6999999999999998E-2</v>
      </c>
      <c r="AC93" s="167"/>
      <c r="AD93" s="172">
        <v>0.33</v>
      </c>
      <c r="AE93" s="167"/>
      <c r="AF93" s="168">
        <v>18.36</v>
      </c>
      <c r="AG93" s="170"/>
      <c r="AH93" s="170"/>
      <c r="AI93" s="170"/>
      <c r="AJ93" s="170"/>
      <c r="AK93" s="170"/>
      <c r="AL93" s="170">
        <f t="shared" si="10"/>
        <v>0</v>
      </c>
      <c r="AM93" s="170"/>
      <c r="AN93" s="170">
        <f t="shared" si="11"/>
        <v>139.09379627999999</v>
      </c>
      <c r="AO93" s="170"/>
      <c r="AP93" s="170">
        <f t="shared" si="12"/>
        <v>0</v>
      </c>
      <c r="AQ93" s="170"/>
      <c r="AR93" s="170">
        <f t="shared" si="13"/>
        <v>0</v>
      </c>
      <c r="AS93" s="170"/>
      <c r="AT93" s="170" t="e">
        <f>+(N93+P93)+((X93+Z93+AF93)/Datos_Generales!$E$15)</f>
        <v>#DIV/0!</v>
      </c>
      <c r="AU93" s="199"/>
      <c r="AV93" s="199">
        <f t="shared" si="14"/>
        <v>0</v>
      </c>
      <c r="AW93" s="199"/>
      <c r="AX93" s="173" t="e">
        <f t="shared" si="15"/>
        <v>#DIV/0!</v>
      </c>
    </row>
    <row r="94" spans="1:50" x14ac:dyDescent="0.2">
      <c r="A94" s="161" t="s">
        <v>2300</v>
      </c>
      <c r="B94" s="179">
        <v>2015</v>
      </c>
      <c r="C94" s="163"/>
      <c r="D94" s="163"/>
      <c r="E94" s="164" t="s">
        <v>1168</v>
      </c>
      <c r="F94" s="165" t="s">
        <v>1072</v>
      </c>
      <c r="G94" s="166">
        <v>40</v>
      </c>
      <c r="H94" s="167">
        <v>8</v>
      </c>
      <c r="I94" s="167">
        <v>0</v>
      </c>
      <c r="J94" s="168">
        <v>0</v>
      </c>
      <c r="K94" s="169"/>
      <c r="L94" s="167">
        <f t="shared" si="9"/>
        <v>0</v>
      </c>
      <c r="M94" s="170">
        <v>11</v>
      </c>
      <c r="N94" s="168">
        <v>45.537429519999996</v>
      </c>
      <c r="O94" s="170">
        <v>11</v>
      </c>
      <c r="P94" s="168">
        <v>40.196366759999997</v>
      </c>
      <c r="Q94" s="170"/>
      <c r="R94" s="168"/>
      <c r="S94" s="171"/>
      <c r="T94" s="168"/>
      <c r="U94" s="167"/>
      <c r="V94" s="168"/>
      <c r="W94" s="167"/>
      <c r="X94" s="168">
        <v>15</v>
      </c>
      <c r="Y94" s="167"/>
      <c r="Z94" s="168">
        <v>20</v>
      </c>
      <c r="AA94" s="167"/>
      <c r="AB94" s="172">
        <f>+Datos_Generales!$K$9</f>
        <v>3.6999999999999998E-2</v>
      </c>
      <c r="AC94" s="167"/>
      <c r="AD94" s="172">
        <v>0.33</v>
      </c>
      <c r="AE94" s="167"/>
      <c r="AF94" s="168">
        <v>18.36</v>
      </c>
      <c r="AG94" s="170"/>
      <c r="AH94" s="170"/>
      <c r="AI94" s="170"/>
      <c r="AJ94" s="170"/>
      <c r="AK94" s="170"/>
      <c r="AL94" s="170">
        <f t="shared" si="10"/>
        <v>0</v>
      </c>
      <c r="AM94" s="170"/>
      <c r="AN94" s="170">
        <f t="shared" si="11"/>
        <v>139.09379627999999</v>
      </c>
      <c r="AO94" s="170"/>
      <c r="AP94" s="170">
        <f t="shared" si="12"/>
        <v>0</v>
      </c>
      <c r="AQ94" s="170"/>
      <c r="AR94" s="170">
        <f t="shared" si="13"/>
        <v>0</v>
      </c>
      <c r="AS94" s="170"/>
      <c r="AT94" s="170" t="e">
        <f>+(N94+P94)+((X94+Z94+AF94)/Datos_Generales!$E$15)</f>
        <v>#DIV/0!</v>
      </c>
      <c r="AU94" s="199"/>
      <c r="AV94" s="199">
        <f t="shared" si="14"/>
        <v>0</v>
      </c>
      <c r="AW94" s="199"/>
      <c r="AX94" s="173" t="e">
        <f t="shared" si="15"/>
        <v>#DIV/0!</v>
      </c>
    </row>
    <row r="95" spans="1:50" x14ac:dyDescent="0.2">
      <c r="A95" s="161" t="s">
        <v>2300</v>
      </c>
      <c r="B95" s="179">
        <v>2015</v>
      </c>
      <c r="C95" s="163"/>
      <c r="D95" s="163"/>
      <c r="E95" s="164" t="s">
        <v>1073</v>
      </c>
      <c r="F95" s="165" t="s">
        <v>1072</v>
      </c>
      <c r="G95" s="166">
        <v>40</v>
      </c>
      <c r="H95" s="167">
        <v>8</v>
      </c>
      <c r="I95" s="167">
        <v>0</v>
      </c>
      <c r="J95" s="168">
        <v>0</v>
      </c>
      <c r="K95" s="169"/>
      <c r="L95" s="167">
        <f t="shared" si="9"/>
        <v>0</v>
      </c>
      <c r="M95" s="170">
        <v>11</v>
      </c>
      <c r="N95" s="168">
        <v>45.537429519999996</v>
      </c>
      <c r="O95" s="170">
        <v>11</v>
      </c>
      <c r="P95" s="168">
        <v>40.196366759999997</v>
      </c>
      <c r="Q95" s="170"/>
      <c r="R95" s="168"/>
      <c r="S95" s="171"/>
      <c r="T95" s="168"/>
      <c r="U95" s="167"/>
      <c r="V95" s="168"/>
      <c r="W95" s="167"/>
      <c r="X95" s="168">
        <v>15</v>
      </c>
      <c r="Y95" s="167"/>
      <c r="Z95" s="168">
        <v>20</v>
      </c>
      <c r="AA95" s="167"/>
      <c r="AB95" s="172">
        <f>+Datos_Generales!$K$9</f>
        <v>3.6999999999999998E-2</v>
      </c>
      <c r="AC95" s="167"/>
      <c r="AD95" s="172">
        <v>0.33</v>
      </c>
      <c r="AE95" s="167"/>
      <c r="AF95" s="168">
        <v>18.36</v>
      </c>
      <c r="AG95" s="170"/>
      <c r="AH95" s="170"/>
      <c r="AI95" s="170"/>
      <c r="AJ95" s="170"/>
      <c r="AK95" s="170"/>
      <c r="AL95" s="170">
        <f t="shared" si="10"/>
        <v>0</v>
      </c>
      <c r="AM95" s="170"/>
      <c r="AN95" s="170">
        <f t="shared" si="11"/>
        <v>139.09379627999999</v>
      </c>
      <c r="AO95" s="170"/>
      <c r="AP95" s="170">
        <f t="shared" si="12"/>
        <v>0</v>
      </c>
      <c r="AQ95" s="170"/>
      <c r="AR95" s="170">
        <f t="shared" si="13"/>
        <v>0</v>
      </c>
      <c r="AS95" s="170"/>
      <c r="AT95" s="170" t="e">
        <f>+(N95+P95)+((X95+Z95+AF95)/Datos_Generales!$E$15)</f>
        <v>#DIV/0!</v>
      </c>
      <c r="AU95" s="199"/>
      <c r="AV95" s="199">
        <f t="shared" si="14"/>
        <v>0</v>
      </c>
      <c r="AW95" s="199"/>
      <c r="AX95" s="173" t="e">
        <f t="shared" si="15"/>
        <v>#DIV/0!</v>
      </c>
    </row>
    <row r="96" spans="1:50" x14ac:dyDescent="0.2">
      <c r="A96" s="161" t="s">
        <v>2301</v>
      </c>
      <c r="B96" s="179">
        <v>2015</v>
      </c>
      <c r="C96" s="163">
        <v>0</v>
      </c>
      <c r="D96" s="163">
        <v>1794</v>
      </c>
      <c r="E96" s="164" t="s">
        <v>1063</v>
      </c>
      <c r="F96" s="165" t="s">
        <v>1064</v>
      </c>
      <c r="G96" s="166">
        <v>40</v>
      </c>
      <c r="H96" s="167">
        <v>8</v>
      </c>
      <c r="I96" s="167">
        <v>0</v>
      </c>
      <c r="J96" s="168">
        <v>0</v>
      </c>
      <c r="K96" s="169"/>
      <c r="L96" s="167">
        <f t="shared" si="9"/>
        <v>0</v>
      </c>
      <c r="M96" s="170">
        <v>11</v>
      </c>
      <c r="N96" s="168">
        <v>43.08</v>
      </c>
      <c r="O96" s="170">
        <v>11</v>
      </c>
      <c r="P96" s="168">
        <v>38.03</v>
      </c>
      <c r="Q96" s="170"/>
      <c r="R96" s="168"/>
      <c r="S96" s="171"/>
      <c r="T96" s="168"/>
      <c r="U96" s="167"/>
      <c r="V96" s="168"/>
      <c r="W96" s="167"/>
      <c r="X96" s="168">
        <v>15</v>
      </c>
      <c r="Y96" s="167"/>
      <c r="Z96" s="168">
        <v>20</v>
      </c>
      <c r="AA96" s="167"/>
      <c r="AB96" s="172">
        <f>+Datos_Generales!$K$9</f>
        <v>3.6999999999999998E-2</v>
      </c>
      <c r="AC96" s="167"/>
      <c r="AD96" s="172">
        <v>0.33</v>
      </c>
      <c r="AE96" s="167"/>
      <c r="AF96" s="168">
        <v>18.36</v>
      </c>
      <c r="AG96" s="170"/>
      <c r="AH96" s="170"/>
      <c r="AI96" s="170"/>
      <c r="AJ96" s="170"/>
      <c r="AK96" s="170"/>
      <c r="AL96" s="170">
        <f t="shared" si="10"/>
        <v>0</v>
      </c>
      <c r="AM96" s="170"/>
      <c r="AN96" s="170">
        <f t="shared" si="11"/>
        <v>134.47</v>
      </c>
      <c r="AO96" s="170"/>
      <c r="AP96" s="170">
        <f t="shared" si="12"/>
        <v>0</v>
      </c>
      <c r="AQ96" s="170"/>
      <c r="AR96" s="170">
        <f t="shared" si="13"/>
        <v>0</v>
      </c>
      <c r="AS96" s="170"/>
      <c r="AT96" s="170" t="e">
        <f>+(N96+P96)+((X96+Z96+AF96)/Datos_Generales!$E$15)</f>
        <v>#DIV/0!</v>
      </c>
      <c r="AU96" s="199"/>
      <c r="AV96" s="199">
        <f t="shared" si="14"/>
        <v>0</v>
      </c>
      <c r="AW96" s="199"/>
      <c r="AX96" s="173" t="e">
        <f t="shared" si="15"/>
        <v>#DIV/0!</v>
      </c>
    </row>
    <row r="97" spans="1:50" x14ac:dyDescent="0.2">
      <c r="A97" s="161" t="s">
        <v>2301</v>
      </c>
      <c r="B97" s="162">
        <v>2015</v>
      </c>
      <c r="C97" s="180"/>
      <c r="D97" s="175"/>
      <c r="E97" s="176" t="s">
        <v>1065</v>
      </c>
      <c r="F97" s="165" t="s">
        <v>1066</v>
      </c>
      <c r="G97" s="166">
        <v>40</v>
      </c>
      <c r="H97" s="167">
        <v>8</v>
      </c>
      <c r="I97" s="167">
        <v>0</v>
      </c>
      <c r="J97" s="168">
        <v>0</v>
      </c>
      <c r="K97" s="169"/>
      <c r="L97" s="167">
        <f t="shared" si="9"/>
        <v>0</v>
      </c>
      <c r="M97" s="170">
        <v>11</v>
      </c>
      <c r="N97" s="168">
        <v>45.537429519999996</v>
      </c>
      <c r="O97" s="170">
        <v>11</v>
      </c>
      <c r="P97" s="168">
        <v>40.196366759999997</v>
      </c>
      <c r="Q97" s="170"/>
      <c r="R97" s="168"/>
      <c r="S97" s="177"/>
      <c r="T97" s="168"/>
      <c r="U97" s="170"/>
      <c r="V97" s="168"/>
      <c r="W97" s="170"/>
      <c r="X97" s="168">
        <v>15</v>
      </c>
      <c r="Y97" s="170"/>
      <c r="Z97" s="168">
        <v>20</v>
      </c>
      <c r="AA97" s="170"/>
      <c r="AB97" s="172">
        <f>+Datos_Generales!$K$9</f>
        <v>3.6999999999999998E-2</v>
      </c>
      <c r="AC97" s="170"/>
      <c r="AD97" s="172">
        <v>0.33</v>
      </c>
      <c r="AE97" s="170"/>
      <c r="AF97" s="168">
        <v>18.36</v>
      </c>
      <c r="AG97" s="181"/>
      <c r="AH97" s="182"/>
      <c r="AI97" s="181"/>
      <c r="AJ97" s="182"/>
      <c r="AK97" s="181"/>
      <c r="AL97" s="170">
        <f t="shared" si="10"/>
        <v>0</v>
      </c>
      <c r="AM97" s="170"/>
      <c r="AN97" s="170">
        <f t="shared" si="11"/>
        <v>139.09379627999999</v>
      </c>
      <c r="AO97" s="170"/>
      <c r="AP97" s="170">
        <f t="shared" si="12"/>
        <v>0</v>
      </c>
      <c r="AQ97" s="170"/>
      <c r="AR97" s="170">
        <f t="shared" si="13"/>
        <v>0</v>
      </c>
      <c r="AS97" s="170"/>
      <c r="AT97" s="170" t="e">
        <f>+(N97+P97)+((X97+Z97+AF97)/Datos_Generales!$E$15)</f>
        <v>#DIV/0!</v>
      </c>
      <c r="AU97" s="199"/>
      <c r="AV97" s="199">
        <f t="shared" si="14"/>
        <v>0</v>
      </c>
      <c r="AW97" s="199"/>
      <c r="AX97" s="173" t="e">
        <f t="shared" si="15"/>
        <v>#DIV/0!</v>
      </c>
    </row>
    <row r="98" spans="1:50" x14ac:dyDescent="0.2">
      <c r="A98" s="161" t="s">
        <v>2301</v>
      </c>
      <c r="B98" s="162">
        <v>2015</v>
      </c>
      <c r="C98" s="163"/>
      <c r="D98" s="163"/>
      <c r="E98" s="164" t="s">
        <v>1067</v>
      </c>
      <c r="F98" s="165" t="s">
        <v>1068</v>
      </c>
      <c r="G98" s="166">
        <v>40</v>
      </c>
      <c r="H98" s="167">
        <v>8</v>
      </c>
      <c r="I98" s="167">
        <v>0</v>
      </c>
      <c r="J98" s="168">
        <v>0</v>
      </c>
      <c r="K98" s="169"/>
      <c r="L98" s="167">
        <f t="shared" si="9"/>
        <v>0</v>
      </c>
      <c r="M98" s="170">
        <v>11</v>
      </c>
      <c r="N98" s="168">
        <v>45.537429519999996</v>
      </c>
      <c r="O98" s="170">
        <v>11</v>
      </c>
      <c r="P98" s="168">
        <v>40.196366759999997</v>
      </c>
      <c r="Q98" s="170"/>
      <c r="R98" s="168"/>
      <c r="S98" s="177"/>
      <c r="T98" s="168"/>
      <c r="U98" s="170"/>
      <c r="V98" s="168"/>
      <c r="W98" s="170"/>
      <c r="X98" s="168">
        <v>15</v>
      </c>
      <c r="Y98" s="170"/>
      <c r="Z98" s="168">
        <v>20</v>
      </c>
      <c r="AA98" s="170"/>
      <c r="AB98" s="172">
        <f>+Datos_Generales!$K$9</f>
        <v>3.6999999999999998E-2</v>
      </c>
      <c r="AC98" s="170"/>
      <c r="AD98" s="172">
        <v>0.33</v>
      </c>
      <c r="AE98" s="170"/>
      <c r="AF98" s="168">
        <v>18.36</v>
      </c>
      <c r="AG98" s="181"/>
      <c r="AH98" s="182"/>
      <c r="AI98" s="181"/>
      <c r="AJ98" s="182"/>
      <c r="AK98" s="181"/>
      <c r="AL98" s="170">
        <f t="shared" si="10"/>
        <v>0</v>
      </c>
      <c r="AM98" s="170"/>
      <c r="AN98" s="170">
        <f t="shared" si="11"/>
        <v>139.09379627999999</v>
      </c>
      <c r="AO98" s="170"/>
      <c r="AP98" s="170">
        <f t="shared" si="12"/>
        <v>0</v>
      </c>
      <c r="AQ98" s="170"/>
      <c r="AR98" s="170">
        <f t="shared" si="13"/>
        <v>0</v>
      </c>
      <c r="AS98" s="170"/>
      <c r="AT98" s="170" t="e">
        <f>+(N98+P98)+((X98+Z98+AF98)/Datos_Generales!$E$15)</f>
        <v>#DIV/0!</v>
      </c>
      <c r="AU98" s="199"/>
      <c r="AV98" s="199">
        <f t="shared" si="14"/>
        <v>0</v>
      </c>
      <c r="AW98" s="199"/>
      <c r="AX98" s="173" t="e">
        <f t="shared" si="15"/>
        <v>#DIV/0!</v>
      </c>
    </row>
    <row r="99" spans="1:50" x14ac:dyDescent="0.2">
      <c r="A99" s="161" t="s">
        <v>2301</v>
      </c>
      <c r="B99" s="162">
        <v>2015</v>
      </c>
      <c r="C99" s="163"/>
      <c r="D99" s="163"/>
      <c r="E99" s="164" t="s">
        <v>1069</v>
      </c>
      <c r="F99" s="165" t="s">
        <v>1070</v>
      </c>
      <c r="G99" s="166">
        <v>40</v>
      </c>
      <c r="H99" s="167">
        <v>8</v>
      </c>
      <c r="I99" s="167">
        <v>0</v>
      </c>
      <c r="J99" s="168">
        <v>0</v>
      </c>
      <c r="K99" s="169"/>
      <c r="L99" s="167">
        <f t="shared" si="9"/>
        <v>0</v>
      </c>
      <c r="M99" s="170">
        <v>11</v>
      </c>
      <c r="N99" s="168">
        <v>45.537429519999996</v>
      </c>
      <c r="O99" s="170">
        <v>11</v>
      </c>
      <c r="P99" s="168">
        <v>40.196366759999997</v>
      </c>
      <c r="Q99" s="170"/>
      <c r="R99" s="168"/>
      <c r="S99" s="177"/>
      <c r="T99" s="168"/>
      <c r="U99" s="170"/>
      <c r="V99" s="168"/>
      <c r="W99" s="170"/>
      <c r="X99" s="168">
        <v>15</v>
      </c>
      <c r="Y99" s="170"/>
      <c r="Z99" s="168">
        <v>20</v>
      </c>
      <c r="AA99" s="170"/>
      <c r="AB99" s="172">
        <f>+Datos_Generales!$K$9</f>
        <v>3.6999999999999998E-2</v>
      </c>
      <c r="AC99" s="170"/>
      <c r="AD99" s="172">
        <v>0.33</v>
      </c>
      <c r="AE99" s="170"/>
      <c r="AF99" s="168">
        <v>18.36</v>
      </c>
      <c r="AG99" s="181"/>
      <c r="AH99" s="182"/>
      <c r="AI99" s="181"/>
      <c r="AJ99" s="182"/>
      <c r="AK99" s="181"/>
      <c r="AL99" s="170">
        <f t="shared" si="10"/>
        <v>0</v>
      </c>
      <c r="AM99" s="170"/>
      <c r="AN99" s="170">
        <f t="shared" si="11"/>
        <v>139.09379627999999</v>
      </c>
      <c r="AO99" s="170"/>
      <c r="AP99" s="170">
        <f t="shared" si="12"/>
        <v>0</v>
      </c>
      <c r="AQ99" s="170"/>
      <c r="AR99" s="170">
        <f t="shared" si="13"/>
        <v>0</v>
      </c>
      <c r="AS99" s="170"/>
      <c r="AT99" s="170" t="e">
        <f>+(N99+P99)+((X99+Z99+AF99)/Datos_Generales!$E$15)</f>
        <v>#DIV/0!</v>
      </c>
      <c r="AU99" s="199"/>
      <c r="AV99" s="199">
        <f t="shared" si="14"/>
        <v>0</v>
      </c>
      <c r="AW99" s="199"/>
      <c r="AX99" s="173" t="e">
        <f t="shared" si="15"/>
        <v>#DIV/0!</v>
      </c>
    </row>
    <row r="100" spans="1:50" x14ac:dyDescent="0.2">
      <c r="A100" s="161" t="s">
        <v>2301</v>
      </c>
      <c r="B100" s="162">
        <v>2015</v>
      </c>
      <c r="C100" s="163"/>
      <c r="D100" s="163"/>
      <c r="E100" s="164" t="s">
        <v>2271</v>
      </c>
      <c r="F100" s="165" t="s">
        <v>1072</v>
      </c>
      <c r="G100" s="166">
        <v>40</v>
      </c>
      <c r="H100" s="167">
        <v>8</v>
      </c>
      <c r="I100" s="167">
        <v>0</v>
      </c>
      <c r="J100" s="168">
        <v>0</v>
      </c>
      <c r="K100" s="169"/>
      <c r="L100" s="167">
        <f t="shared" si="9"/>
        <v>0</v>
      </c>
      <c r="M100" s="170">
        <v>11</v>
      </c>
      <c r="N100" s="168">
        <v>45.537429519999996</v>
      </c>
      <c r="O100" s="170">
        <v>11</v>
      </c>
      <c r="P100" s="168">
        <v>40.196366759999997</v>
      </c>
      <c r="Q100" s="170"/>
      <c r="R100" s="168"/>
      <c r="S100" s="177"/>
      <c r="T100" s="168"/>
      <c r="U100" s="170"/>
      <c r="V100" s="168"/>
      <c r="W100" s="170"/>
      <c r="X100" s="168">
        <v>15</v>
      </c>
      <c r="Y100" s="170"/>
      <c r="Z100" s="168">
        <v>20</v>
      </c>
      <c r="AA100" s="170"/>
      <c r="AB100" s="172">
        <f>+Datos_Generales!$K$9</f>
        <v>3.6999999999999998E-2</v>
      </c>
      <c r="AC100" s="170"/>
      <c r="AD100" s="172">
        <v>0.33</v>
      </c>
      <c r="AE100" s="170"/>
      <c r="AF100" s="168">
        <v>18.36</v>
      </c>
      <c r="AG100" s="181"/>
      <c r="AH100" s="182"/>
      <c r="AI100" s="181"/>
      <c r="AJ100" s="182"/>
      <c r="AK100" s="181"/>
      <c r="AL100" s="170">
        <f t="shared" si="10"/>
        <v>0</v>
      </c>
      <c r="AM100" s="170"/>
      <c r="AN100" s="170">
        <f t="shared" si="11"/>
        <v>139.09379627999999</v>
      </c>
      <c r="AO100" s="170"/>
      <c r="AP100" s="170">
        <f t="shared" si="12"/>
        <v>0</v>
      </c>
      <c r="AQ100" s="170"/>
      <c r="AR100" s="170">
        <f t="shared" si="13"/>
        <v>0</v>
      </c>
      <c r="AS100" s="170"/>
      <c r="AT100" s="170" t="e">
        <f>+(N100+P100)+((X100+Z100+AF100)/Datos_Generales!$E$15)</f>
        <v>#DIV/0!</v>
      </c>
      <c r="AU100" s="199"/>
      <c r="AV100" s="199">
        <f t="shared" si="14"/>
        <v>0</v>
      </c>
      <c r="AW100" s="199"/>
      <c r="AX100" s="173" t="e">
        <f t="shared" si="15"/>
        <v>#DIV/0!</v>
      </c>
    </row>
    <row r="101" spans="1:50" x14ac:dyDescent="0.2">
      <c r="A101" s="161" t="s">
        <v>2301</v>
      </c>
      <c r="B101" s="162">
        <v>2015</v>
      </c>
      <c r="C101" s="163"/>
      <c r="D101" s="163"/>
      <c r="E101" s="164" t="s">
        <v>1168</v>
      </c>
      <c r="F101" s="165" t="s">
        <v>1072</v>
      </c>
      <c r="G101" s="166">
        <v>40</v>
      </c>
      <c r="H101" s="167">
        <v>8</v>
      </c>
      <c r="I101" s="167">
        <v>0</v>
      </c>
      <c r="J101" s="168">
        <v>0</v>
      </c>
      <c r="K101" s="169"/>
      <c r="L101" s="167">
        <f t="shared" si="9"/>
        <v>0</v>
      </c>
      <c r="M101" s="170">
        <v>11</v>
      </c>
      <c r="N101" s="168">
        <v>45.537429519999996</v>
      </c>
      <c r="O101" s="170">
        <v>11</v>
      </c>
      <c r="P101" s="168">
        <v>40.196366759999997</v>
      </c>
      <c r="Q101" s="170"/>
      <c r="R101" s="168"/>
      <c r="S101" s="177"/>
      <c r="T101" s="168"/>
      <c r="U101" s="170"/>
      <c r="V101" s="168"/>
      <c r="W101" s="170"/>
      <c r="X101" s="168">
        <v>15</v>
      </c>
      <c r="Y101" s="170"/>
      <c r="Z101" s="168">
        <v>20</v>
      </c>
      <c r="AA101" s="170"/>
      <c r="AB101" s="172">
        <f>+Datos_Generales!$K$9</f>
        <v>3.6999999999999998E-2</v>
      </c>
      <c r="AC101" s="170"/>
      <c r="AD101" s="172">
        <v>0.33</v>
      </c>
      <c r="AE101" s="170"/>
      <c r="AF101" s="168">
        <v>18.36</v>
      </c>
      <c r="AG101" s="181"/>
      <c r="AH101" s="182"/>
      <c r="AI101" s="181"/>
      <c r="AJ101" s="182"/>
      <c r="AK101" s="181"/>
      <c r="AL101" s="170">
        <f t="shared" si="10"/>
        <v>0</v>
      </c>
      <c r="AM101" s="170"/>
      <c r="AN101" s="170">
        <f t="shared" si="11"/>
        <v>139.09379627999999</v>
      </c>
      <c r="AO101" s="170"/>
      <c r="AP101" s="170">
        <f t="shared" si="12"/>
        <v>0</v>
      </c>
      <c r="AQ101" s="170"/>
      <c r="AR101" s="170">
        <f t="shared" si="13"/>
        <v>0</v>
      </c>
      <c r="AS101" s="170"/>
      <c r="AT101" s="170" t="e">
        <f>+(N101+P101)+((X101+Z101+AF101)/Datos_Generales!$E$15)</f>
        <v>#DIV/0!</v>
      </c>
      <c r="AU101" s="199"/>
      <c r="AV101" s="199">
        <f t="shared" si="14"/>
        <v>0</v>
      </c>
      <c r="AW101" s="199"/>
      <c r="AX101" s="173" t="e">
        <f t="shared" si="15"/>
        <v>#DIV/0!</v>
      </c>
    </row>
    <row r="102" spans="1:50" x14ac:dyDescent="0.2">
      <c r="A102" s="161" t="s">
        <v>2301</v>
      </c>
      <c r="B102" s="162">
        <v>2015</v>
      </c>
      <c r="C102" s="163"/>
      <c r="D102" s="163"/>
      <c r="E102" s="164" t="s">
        <v>1073</v>
      </c>
      <c r="F102" s="165" t="s">
        <v>1072</v>
      </c>
      <c r="G102" s="166">
        <v>40</v>
      </c>
      <c r="H102" s="167">
        <v>8</v>
      </c>
      <c r="I102" s="167">
        <v>0</v>
      </c>
      <c r="J102" s="168">
        <v>0</v>
      </c>
      <c r="K102" s="169"/>
      <c r="L102" s="167">
        <f t="shared" si="9"/>
        <v>0</v>
      </c>
      <c r="M102" s="170">
        <v>11</v>
      </c>
      <c r="N102" s="168">
        <v>45.537429519999996</v>
      </c>
      <c r="O102" s="170">
        <v>11</v>
      </c>
      <c r="P102" s="168">
        <v>40.196366759999997</v>
      </c>
      <c r="Q102" s="170"/>
      <c r="R102" s="168"/>
      <c r="S102" s="177"/>
      <c r="T102" s="168"/>
      <c r="U102" s="170"/>
      <c r="V102" s="168"/>
      <c r="W102" s="170"/>
      <c r="X102" s="168">
        <v>15</v>
      </c>
      <c r="Y102" s="170"/>
      <c r="Z102" s="168">
        <v>20</v>
      </c>
      <c r="AA102" s="170"/>
      <c r="AB102" s="172">
        <f>+Datos_Generales!$K$9</f>
        <v>3.6999999999999998E-2</v>
      </c>
      <c r="AC102" s="170"/>
      <c r="AD102" s="172">
        <v>0.33</v>
      </c>
      <c r="AE102" s="170"/>
      <c r="AF102" s="168">
        <v>18.36</v>
      </c>
      <c r="AG102" s="181"/>
      <c r="AH102" s="182"/>
      <c r="AI102" s="181"/>
      <c r="AJ102" s="182"/>
      <c r="AK102" s="181"/>
      <c r="AL102" s="170">
        <f t="shared" si="10"/>
        <v>0</v>
      </c>
      <c r="AM102" s="170"/>
      <c r="AN102" s="170">
        <f t="shared" si="11"/>
        <v>139.09379627999999</v>
      </c>
      <c r="AO102" s="170"/>
      <c r="AP102" s="170">
        <f t="shared" si="12"/>
        <v>0</v>
      </c>
      <c r="AQ102" s="170"/>
      <c r="AR102" s="170">
        <f t="shared" si="13"/>
        <v>0</v>
      </c>
      <c r="AS102" s="170"/>
      <c r="AT102" s="170" t="e">
        <f>+(N102+P102)+((X102+Z102+AF102)/Datos_Generales!$E$15)</f>
        <v>#DIV/0!</v>
      </c>
      <c r="AU102" s="199"/>
      <c r="AV102" s="199">
        <f t="shared" si="14"/>
        <v>0</v>
      </c>
      <c r="AW102" s="199"/>
      <c r="AX102" s="173" t="e">
        <f t="shared" si="15"/>
        <v>#DIV/0!</v>
      </c>
    </row>
    <row r="103" spans="1:50" x14ac:dyDescent="0.2">
      <c r="A103" s="161" t="s">
        <v>2302</v>
      </c>
      <c r="B103" s="162">
        <v>2019</v>
      </c>
      <c r="C103" s="163">
        <v>0</v>
      </c>
      <c r="D103" s="163">
        <v>1794</v>
      </c>
      <c r="E103" s="164" t="s">
        <v>1063</v>
      </c>
      <c r="F103" s="165">
        <v>1</v>
      </c>
      <c r="G103" s="166">
        <v>40</v>
      </c>
      <c r="H103" s="167">
        <v>8</v>
      </c>
      <c r="I103" s="167">
        <v>1186.4333999999999</v>
      </c>
      <c r="J103" s="168">
        <v>1186.4333999999999</v>
      </c>
      <c r="K103" s="169">
        <v>15</v>
      </c>
      <c r="L103" s="167">
        <f t="shared" si="9"/>
        <v>296.60834999999997</v>
      </c>
      <c r="M103" s="170">
        <v>12</v>
      </c>
      <c r="N103" s="168">
        <v>85.76</v>
      </c>
      <c r="O103" s="170">
        <v>12</v>
      </c>
      <c r="P103" s="168">
        <v>38.15</v>
      </c>
      <c r="Q103" s="170"/>
      <c r="R103" s="168"/>
      <c r="S103" s="177"/>
      <c r="T103" s="168"/>
      <c r="U103" s="170"/>
      <c r="V103" s="168"/>
      <c r="W103" s="170"/>
      <c r="X103" s="168">
        <v>15</v>
      </c>
      <c r="Y103" s="170"/>
      <c r="Z103" s="168">
        <v>20</v>
      </c>
      <c r="AA103" s="170"/>
      <c r="AB103" s="172">
        <f>+Datos_Generales!$K$9</f>
        <v>3.6999999999999998E-2</v>
      </c>
      <c r="AC103" s="170"/>
      <c r="AD103" s="172">
        <v>0.33</v>
      </c>
      <c r="AE103" s="170"/>
      <c r="AF103" s="168">
        <v>18.36</v>
      </c>
      <c r="AG103" s="181"/>
      <c r="AH103" s="182"/>
      <c r="AI103" s="181"/>
      <c r="AJ103" s="182"/>
      <c r="AK103" s="181"/>
      <c r="AL103" s="170">
        <f t="shared" si="10"/>
        <v>1483.0417499999999</v>
      </c>
      <c r="AM103" s="170"/>
      <c r="AN103" s="170">
        <f t="shared" si="11"/>
        <v>177.26999999999998</v>
      </c>
      <c r="AO103" s="170"/>
      <c r="AP103" s="170">
        <f t="shared" si="12"/>
        <v>72.980484517500003</v>
      </c>
      <c r="AQ103" s="170"/>
      <c r="AR103" s="170">
        <f t="shared" si="13"/>
        <v>489.40377749999999</v>
      </c>
      <c r="AS103" s="170"/>
      <c r="AT103" s="170" t="e">
        <f>+(N103+P103)+((X103+Z103+AF103)/Datos_Generales!$E$15)</f>
        <v>#DIV/0!</v>
      </c>
      <c r="AU103" s="199"/>
      <c r="AV103" s="199">
        <f t="shared" si="14"/>
        <v>1972.4455275</v>
      </c>
      <c r="AW103" s="199"/>
      <c r="AX103" s="173" t="e">
        <f t="shared" si="15"/>
        <v>#DIV/0!</v>
      </c>
    </row>
    <row r="104" spans="1:50" x14ac:dyDescent="0.2">
      <c r="A104" s="161" t="s">
        <v>2302</v>
      </c>
      <c r="B104" s="162">
        <v>2019</v>
      </c>
      <c r="C104" s="163"/>
      <c r="D104" s="163"/>
      <c r="E104" s="164" t="s">
        <v>2303</v>
      </c>
      <c r="F104" s="165">
        <v>1</v>
      </c>
      <c r="G104" s="166">
        <v>40</v>
      </c>
      <c r="H104" s="167">
        <v>8</v>
      </c>
      <c r="I104" s="167">
        <v>1186.4333999999999</v>
      </c>
      <c r="J104" s="168">
        <v>1186.4333999999999</v>
      </c>
      <c r="K104" s="169">
        <v>15</v>
      </c>
      <c r="L104" s="167">
        <f t="shared" si="9"/>
        <v>296.60834999999997</v>
      </c>
      <c r="M104" s="170">
        <v>12</v>
      </c>
      <c r="N104" s="168">
        <v>85.76</v>
      </c>
      <c r="O104" s="170">
        <v>12</v>
      </c>
      <c r="P104" s="168">
        <v>38.15</v>
      </c>
      <c r="Q104" s="170"/>
      <c r="R104" s="168"/>
      <c r="S104" s="177"/>
      <c r="T104" s="168"/>
      <c r="U104" s="170"/>
      <c r="V104" s="168"/>
      <c r="W104" s="170"/>
      <c r="X104" s="168">
        <v>15</v>
      </c>
      <c r="Y104" s="170"/>
      <c r="Z104" s="168">
        <v>20</v>
      </c>
      <c r="AA104" s="170"/>
      <c r="AB104" s="172">
        <f>+Datos_Generales!$K$9</f>
        <v>3.6999999999999998E-2</v>
      </c>
      <c r="AC104" s="170"/>
      <c r="AD104" s="172">
        <v>0.33</v>
      </c>
      <c r="AE104" s="170"/>
      <c r="AF104" s="168">
        <v>18.36</v>
      </c>
      <c r="AG104" s="181"/>
      <c r="AH104" s="182"/>
      <c r="AI104" s="181"/>
      <c r="AJ104" s="182"/>
      <c r="AK104" s="181"/>
      <c r="AL104" s="170">
        <f t="shared" si="10"/>
        <v>1483.0417499999999</v>
      </c>
      <c r="AM104" s="170"/>
      <c r="AN104" s="170">
        <f t="shared" si="11"/>
        <v>177.26999999999998</v>
      </c>
      <c r="AO104" s="170"/>
      <c r="AP104" s="170">
        <f t="shared" si="12"/>
        <v>72.980484517500003</v>
      </c>
      <c r="AQ104" s="170"/>
      <c r="AR104" s="170">
        <f t="shared" si="13"/>
        <v>489.40377749999999</v>
      </c>
      <c r="AS104" s="170"/>
      <c r="AT104" s="170" t="e">
        <f>+(N104+P104)+((X104+Z104+AF104)/Datos_Generales!$E$15)</f>
        <v>#DIV/0!</v>
      </c>
      <c r="AU104" s="199"/>
      <c r="AV104" s="199">
        <f t="shared" si="14"/>
        <v>1972.4455275</v>
      </c>
      <c r="AW104" s="199"/>
      <c r="AX104" s="173" t="e">
        <f t="shared" si="15"/>
        <v>#DIV/0!</v>
      </c>
    </row>
    <row r="105" spans="1:50" x14ac:dyDescent="0.2">
      <c r="A105" s="161" t="s">
        <v>2302</v>
      </c>
      <c r="B105" s="162">
        <v>2019</v>
      </c>
      <c r="C105" s="163"/>
      <c r="D105" s="163"/>
      <c r="E105" s="164" t="s">
        <v>1065</v>
      </c>
      <c r="F105" s="165">
        <v>2</v>
      </c>
      <c r="G105" s="166">
        <v>40</v>
      </c>
      <c r="H105" s="167">
        <v>8</v>
      </c>
      <c r="I105" s="167">
        <v>1111.4501399999999</v>
      </c>
      <c r="J105" s="168">
        <v>1111.4501399999999</v>
      </c>
      <c r="K105" s="169">
        <v>15</v>
      </c>
      <c r="L105" s="167">
        <f t="shared" si="9"/>
        <v>277.86253499999998</v>
      </c>
      <c r="M105" s="170">
        <v>12</v>
      </c>
      <c r="N105" s="168">
        <v>85.76</v>
      </c>
      <c r="O105" s="170">
        <v>12</v>
      </c>
      <c r="P105" s="168">
        <v>38.15</v>
      </c>
      <c r="Q105" s="170"/>
      <c r="R105" s="168"/>
      <c r="S105" s="177"/>
      <c r="T105" s="168"/>
      <c r="U105" s="170"/>
      <c r="V105" s="168"/>
      <c r="W105" s="170"/>
      <c r="X105" s="168">
        <v>15</v>
      </c>
      <c r="Y105" s="170"/>
      <c r="Z105" s="168">
        <v>20</v>
      </c>
      <c r="AA105" s="170"/>
      <c r="AB105" s="172">
        <f>+Datos_Generales!$K$9</f>
        <v>3.6999999999999998E-2</v>
      </c>
      <c r="AC105" s="170"/>
      <c r="AD105" s="172">
        <v>0.33</v>
      </c>
      <c r="AE105" s="170"/>
      <c r="AF105" s="168">
        <v>18.36</v>
      </c>
      <c r="AG105" s="181"/>
      <c r="AH105" s="182"/>
      <c r="AI105" s="181"/>
      <c r="AJ105" s="182"/>
      <c r="AK105" s="181"/>
      <c r="AL105" s="170">
        <f t="shared" si="10"/>
        <v>1389.3126749999999</v>
      </c>
      <c r="AM105" s="170"/>
      <c r="AN105" s="170">
        <f t="shared" si="11"/>
        <v>177.26999999999998</v>
      </c>
      <c r="AO105" s="170"/>
      <c r="AP105" s="170">
        <f t="shared" si="12"/>
        <v>68.368076736749998</v>
      </c>
      <c r="AQ105" s="170"/>
      <c r="AR105" s="170">
        <f t="shared" si="13"/>
        <v>458.47318274999998</v>
      </c>
      <c r="AS105" s="170"/>
      <c r="AT105" s="170" t="e">
        <f>+(N105+P105)+((X105+Z105+AF105)/Datos_Generales!$E$15)</f>
        <v>#DIV/0!</v>
      </c>
      <c r="AU105" s="199"/>
      <c r="AV105" s="199">
        <f t="shared" si="14"/>
        <v>1847.7858577499999</v>
      </c>
      <c r="AW105" s="199"/>
      <c r="AX105" s="173" t="e">
        <f t="shared" si="15"/>
        <v>#DIV/0!</v>
      </c>
    </row>
    <row r="106" spans="1:50" x14ac:dyDescent="0.2">
      <c r="A106" s="161" t="s">
        <v>2302</v>
      </c>
      <c r="B106" s="162">
        <v>2019</v>
      </c>
      <c r="C106" s="163"/>
      <c r="D106" s="163"/>
      <c r="E106" s="164" t="s">
        <v>2304</v>
      </c>
      <c r="F106" s="165">
        <v>2</v>
      </c>
      <c r="G106" s="166">
        <v>40</v>
      </c>
      <c r="H106" s="167">
        <v>8</v>
      </c>
      <c r="I106" s="167">
        <v>1111.4501399999999</v>
      </c>
      <c r="J106" s="168">
        <v>1111.4501399999999</v>
      </c>
      <c r="K106" s="169">
        <v>15</v>
      </c>
      <c r="L106" s="167">
        <f t="shared" si="9"/>
        <v>277.86253499999998</v>
      </c>
      <c r="M106" s="170">
        <v>12</v>
      </c>
      <c r="N106" s="168">
        <v>85.76</v>
      </c>
      <c r="O106" s="170">
        <v>12</v>
      </c>
      <c r="P106" s="168">
        <v>38.15</v>
      </c>
      <c r="Q106" s="170"/>
      <c r="R106" s="168"/>
      <c r="S106" s="177"/>
      <c r="T106" s="168"/>
      <c r="U106" s="170"/>
      <c r="V106" s="168"/>
      <c r="W106" s="170"/>
      <c r="X106" s="168">
        <v>15</v>
      </c>
      <c r="Y106" s="170"/>
      <c r="Z106" s="168">
        <v>20</v>
      </c>
      <c r="AA106" s="170"/>
      <c r="AB106" s="172">
        <f>+Datos_Generales!$K$9</f>
        <v>3.6999999999999998E-2</v>
      </c>
      <c r="AC106" s="170"/>
      <c r="AD106" s="172">
        <v>0.33</v>
      </c>
      <c r="AE106" s="170"/>
      <c r="AF106" s="168">
        <v>18.36</v>
      </c>
      <c r="AG106" s="181"/>
      <c r="AH106" s="182"/>
      <c r="AI106" s="181"/>
      <c r="AJ106" s="182"/>
      <c r="AK106" s="181"/>
      <c r="AL106" s="170">
        <f t="shared" si="10"/>
        <v>1389.3126749999999</v>
      </c>
      <c r="AM106" s="170"/>
      <c r="AN106" s="170">
        <f t="shared" si="11"/>
        <v>177.26999999999998</v>
      </c>
      <c r="AO106" s="170"/>
      <c r="AP106" s="170">
        <f t="shared" si="12"/>
        <v>68.368076736749998</v>
      </c>
      <c r="AQ106" s="170"/>
      <c r="AR106" s="170">
        <f t="shared" si="13"/>
        <v>458.47318274999998</v>
      </c>
      <c r="AS106" s="170"/>
      <c r="AT106" s="170" t="e">
        <f>+(N106+P106)+((X106+Z106+AF106)/Datos_Generales!$E$15)</f>
        <v>#DIV/0!</v>
      </c>
      <c r="AU106" s="199"/>
      <c r="AV106" s="199">
        <f t="shared" si="14"/>
        <v>1847.7858577499999</v>
      </c>
      <c r="AW106" s="199"/>
      <c r="AX106" s="173" t="e">
        <f t="shared" si="15"/>
        <v>#DIV/0!</v>
      </c>
    </row>
    <row r="107" spans="1:50" x14ac:dyDescent="0.2">
      <c r="A107" s="161" t="s">
        <v>2302</v>
      </c>
      <c r="B107" s="162">
        <v>2019</v>
      </c>
      <c r="C107" s="163"/>
      <c r="D107" s="163"/>
      <c r="E107" s="164" t="s">
        <v>2305</v>
      </c>
      <c r="F107" s="165">
        <v>2</v>
      </c>
      <c r="G107" s="166">
        <v>40</v>
      </c>
      <c r="H107" s="167">
        <v>8</v>
      </c>
      <c r="I107" s="167">
        <v>1111.4501399999999</v>
      </c>
      <c r="J107" s="168">
        <v>1111.4501399999999</v>
      </c>
      <c r="K107" s="169">
        <v>15</v>
      </c>
      <c r="L107" s="167">
        <f t="shared" si="9"/>
        <v>277.86253499999998</v>
      </c>
      <c r="M107" s="170">
        <v>12</v>
      </c>
      <c r="N107" s="168">
        <v>85.76</v>
      </c>
      <c r="O107" s="170">
        <v>12</v>
      </c>
      <c r="P107" s="168">
        <v>38.15</v>
      </c>
      <c r="Q107" s="170"/>
      <c r="R107" s="168"/>
      <c r="S107" s="177"/>
      <c r="T107" s="168"/>
      <c r="U107" s="170"/>
      <c r="V107" s="168"/>
      <c r="W107" s="170"/>
      <c r="X107" s="168">
        <v>15</v>
      </c>
      <c r="Y107" s="170"/>
      <c r="Z107" s="168">
        <v>20</v>
      </c>
      <c r="AA107" s="170"/>
      <c r="AB107" s="172">
        <f>+Datos_Generales!$K$9</f>
        <v>3.6999999999999998E-2</v>
      </c>
      <c r="AC107" s="170"/>
      <c r="AD107" s="172">
        <v>0.33</v>
      </c>
      <c r="AE107" s="170"/>
      <c r="AF107" s="168">
        <v>18.36</v>
      </c>
      <c r="AG107" s="181"/>
      <c r="AH107" s="182"/>
      <c r="AI107" s="181"/>
      <c r="AJ107" s="182"/>
      <c r="AK107" s="181"/>
      <c r="AL107" s="170">
        <f t="shared" si="10"/>
        <v>1389.3126749999999</v>
      </c>
      <c r="AM107" s="170"/>
      <c r="AN107" s="170">
        <f t="shared" si="11"/>
        <v>177.26999999999998</v>
      </c>
      <c r="AO107" s="170"/>
      <c r="AP107" s="170">
        <f t="shared" si="12"/>
        <v>68.368076736749998</v>
      </c>
      <c r="AQ107" s="170"/>
      <c r="AR107" s="170">
        <f t="shared" si="13"/>
        <v>458.47318274999998</v>
      </c>
      <c r="AS107" s="170"/>
      <c r="AT107" s="170" t="e">
        <f>+(N107+P107)+((X107+Z107+AF107)/Datos_Generales!$E$15)</f>
        <v>#DIV/0!</v>
      </c>
      <c r="AU107" s="199"/>
      <c r="AV107" s="199">
        <f t="shared" si="14"/>
        <v>1847.7858577499999</v>
      </c>
      <c r="AW107" s="199"/>
      <c r="AX107" s="173" t="e">
        <f t="shared" si="15"/>
        <v>#DIV/0!</v>
      </c>
    </row>
    <row r="108" spans="1:50" x14ac:dyDescent="0.2">
      <c r="A108" s="161" t="s">
        <v>2302</v>
      </c>
      <c r="B108" s="162">
        <v>2019</v>
      </c>
      <c r="C108" s="180"/>
      <c r="D108" s="175"/>
      <c r="E108" s="176" t="s">
        <v>1084</v>
      </c>
      <c r="F108" s="165">
        <v>4</v>
      </c>
      <c r="G108" s="166">
        <v>40</v>
      </c>
      <c r="H108" s="167">
        <v>8</v>
      </c>
      <c r="I108" s="167">
        <v>1028.27016</v>
      </c>
      <c r="J108" s="168">
        <v>1028.27016</v>
      </c>
      <c r="K108" s="169">
        <v>15</v>
      </c>
      <c r="L108" s="167">
        <f t="shared" si="9"/>
        <v>257.06754000000001</v>
      </c>
      <c r="M108" s="170">
        <v>12</v>
      </c>
      <c r="N108" s="168">
        <v>85.76</v>
      </c>
      <c r="O108" s="170">
        <v>12</v>
      </c>
      <c r="P108" s="168">
        <v>38.15</v>
      </c>
      <c r="Q108" s="170"/>
      <c r="R108" s="168"/>
      <c r="S108" s="171"/>
      <c r="T108" s="168"/>
      <c r="U108" s="167"/>
      <c r="V108" s="168"/>
      <c r="W108" s="167"/>
      <c r="X108" s="168">
        <v>15</v>
      </c>
      <c r="Y108" s="167"/>
      <c r="Z108" s="168">
        <v>20</v>
      </c>
      <c r="AA108" s="167"/>
      <c r="AB108" s="172">
        <f>+Datos_Generales!$K$9</f>
        <v>3.6999999999999998E-2</v>
      </c>
      <c r="AC108" s="167"/>
      <c r="AD108" s="172">
        <v>0.33</v>
      </c>
      <c r="AE108" s="167"/>
      <c r="AF108" s="168">
        <v>18.36</v>
      </c>
      <c r="AG108" s="170"/>
      <c r="AH108" s="182"/>
      <c r="AI108" s="170"/>
      <c r="AJ108" s="182"/>
      <c r="AK108" s="170"/>
      <c r="AL108" s="170">
        <f t="shared" si="10"/>
        <v>1285.3377</v>
      </c>
      <c r="AM108" s="170"/>
      <c r="AN108" s="170">
        <f t="shared" si="11"/>
        <v>177.26999999999998</v>
      </c>
      <c r="AO108" s="170"/>
      <c r="AP108" s="170">
        <f t="shared" si="12"/>
        <v>63.251468217000003</v>
      </c>
      <c r="AQ108" s="170"/>
      <c r="AR108" s="170">
        <f t="shared" si="13"/>
        <v>424.16144100000002</v>
      </c>
      <c r="AS108" s="170"/>
      <c r="AT108" s="170" t="e">
        <f>+(N108+P108)+((X108+Z108+AF108)/Datos_Generales!$E$15)</f>
        <v>#DIV/0!</v>
      </c>
      <c r="AU108" s="199"/>
      <c r="AV108" s="199">
        <f t="shared" si="14"/>
        <v>1709.4991410000002</v>
      </c>
      <c r="AW108" s="199"/>
      <c r="AX108" s="173" t="e">
        <f t="shared" si="15"/>
        <v>#DIV/0!</v>
      </c>
    </row>
    <row r="109" spans="1:50" x14ac:dyDescent="0.2">
      <c r="A109" s="161" t="s">
        <v>2302</v>
      </c>
      <c r="B109" s="162">
        <v>2019</v>
      </c>
      <c r="C109" s="163"/>
      <c r="D109" s="163"/>
      <c r="E109" s="164" t="s">
        <v>1067</v>
      </c>
      <c r="F109" s="165">
        <v>4</v>
      </c>
      <c r="G109" s="166">
        <v>40</v>
      </c>
      <c r="H109" s="167">
        <v>8</v>
      </c>
      <c r="I109" s="167">
        <v>1028.27016</v>
      </c>
      <c r="J109" s="168">
        <v>1028.27016</v>
      </c>
      <c r="K109" s="169">
        <v>15</v>
      </c>
      <c r="L109" s="167">
        <f t="shared" si="9"/>
        <v>257.06754000000001</v>
      </c>
      <c r="M109" s="170">
        <v>12</v>
      </c>
      <c r="N109" s="168">
        <v>85.76</v>
      </c>
      <c r="O109" s="170">
        <v>12</v>
      </c>
      <c r="P109" s="168">
        <v>38.15</v>
      </c>
      <c r="Q109" s="170"/>
      <c r="R109" s="168"/>
      <c r="S109" s="171"/>
      <c r="T109" s="168"/>
      <c r="U109" s="167"/>
      <c r="V109" s="168"/>
      <c r="W109" s="167"/>
      <c r="X109" s="168">
        <v>15</v>
      </c>
      <c r="Y109" s="167"/>
      <c r="Z109" s="168">
        <v>20</v>
      </c>
      <c r="AA109" s="167"/>
      <c r="AB109" s="172">
        <f>+Datos_Generales!$K$9</f>
        <v>3.6999999999999998E-2</v>
      </c>
      <c r="AC109" s="167"/>
      <c r="AD109" s="172">
        <v>0.33</v>
      </c>
      <c r="AE109" s="167"/>
      <c r="AF109" s="168">
        <v>18.36</v>
      </c>
      <c r="AG109" s="170"/>
      <c r="AH109" s="182"/>
      <c r="AI109" s="170"/>
      <c r="AJ109" s="182"/>
      <c r="AK109" s="170"/>
      <c r="AL109" s="170">
        <f t="shared" si="10"/>
        <v>1285.3377</v>
      </c>
      <c r="AM109" s="170"/>
      <c r="AN109" s="170">
        <f t="shared" si="11"/>
        <v>177.26999999999998</v>
      </c>
      <c r="AO109" s="170"/>
      <c r="AP109" s="170">
        <f t="shared" si="12"/>
        <v>63.251468217000003</v>
      </c>
      <c r="AQ109" s="170"/>
      <c r="AR109" s="170">
        <f t="shared" si="13"/>
        <v>424.16144100000002</v>
      </c>
      <c r="AS109" s="170"/>
      <c r="AT109" s="170" t="e">
        <f>+(N109+P109)+((X109+Z109+AF109)/Datos_Generales!$E$15)</f>
        <v>#DIV/0!</v>
      </c>
      <c r="AU109" s="199"/>
      <c r="AV109" s="199">
        <f t="shared" si="14"/>
        <v>1709.4991410000002</v>
      </c>
      <c r="AW109" s="199"/>
      <c r="AX109" s="173" t="e">
        <f t="shared" si="15"/>
        <v>#DIV/0!</v>
      </c>
    </row>
    <row r="110" spans="1:50" x14ac:dyDescent="0.2">
      <c r="A110" s="161" t="s">
        <v>2302</v>
      </c>
      <c r="B110" s="162">
        <v>2019</v>
      </c>
      <c r="C110" s="163"/>
      <c r="D110" s="163"/>
      <c r="E110" s="164" t="s">
        <v>1069</v>
      </c>
      <c r="F110" s="165">
        <v>5</v>
      </c>
      <c r="G110" s="166">
        <v>40</v>
      </c>
      <c r="H110" s="167">
        <v>8</v>
      </c>
      <c r="I110" s="167">
        <v>986.17832999999985</v>
      </c>
      <c r="J110" s="168">
        <v>986.17832999999985</v>
      </c>
      <c r="K110" s="169">
        <v>15</v>
      </c>
      <c r="L110" s="167">
        <f t="shared" si="9"/>
        <v>246.54458249999996</v>
      </c>
      <c r="M110" s="170">
        <v>12</v>
      </c>
      <c r="N110" s="168">
        <v>85.76</v>
      </c>
      <c r="O110" s="170">
        <v>12</v>
      </c>
      <c r="P110" s="168">
        <v>38.15</v>
      </c>
      <c r="Q110" s="170"/>
      <c r="R110" s="168"/>
      <c r="S110" s="171"/>
      <c r="T110" s="168"/>
      <c r="U110" s="167"/>
      <c r="V110" s="168"/>
      <c r="W110" s="167"/>
      <c r="X110" s="168">
        <v>15</v>
      </c>
      <c r="Y110" s="167"/>
      <c r="Z110" s="168">
        <v>20</v>
      </c>
      <c r="AA110" s="167"/>
      <c r="AB110" s="172">
        <f>+Datos_Generales!$K$9</f>
        <v>3.6999999999999998E-2</v>
      </c>
      <c r="AC110" s="167"/>
      <c r="AD110" s="172">
        <v>0.33</v>
      </c>
      <c r="AE110" s="167"/>
      <c r="AF110" s="168">
        <v>18.36</v>
      </c>
      <c r="AG110" s="170"/>
      <c r="AH110" s="182"/>
      <c r="AI110" s="170"/>
      <c r="AJ110" s="182"/>
      <c r="AK110" s="170"/>
      <c r="AL110" s="170">
        <f t="shared" si="10"/>
        <v>1232.7229124999999</v>
      </c>
      <c r="AM110" s="170"/>
      <c r="AN110" s="170">
        <f t="shared" si="11"/>
        <v>177.26999999999998</v>
      </c>
      <c r="AO110" s="170"/>
      <c r="AP110" s="170">
        <f t="shared" si="12"/>
        <v>60.662294524124995</v>
      </c>
      <c r="AQ110" s="170"/>
      <c r="AR110" s="170">
        <f t="shared" si="13"/>
        <v>406.79856112499999</v>
      </c>
      <c r="AS110" s="170"/>
      <c r="AT110" s="170" t="e">
        <f>+(N110+P110)+((X110+Z110+AF110)/Datos_Generales!$E$15)</f>
        <v>#DIV/0!</v>
      </c>
      <c r="AU110" s="199"/>
      <c r="AV110" s="199">
        <f t="shared" si="14"/>
        <v>1639.521473625</v>
      </c>
      <c r="AW110" s="199"/>
      <c r="AX110" s="173" t="e">
        <f t="shared" si="15"/>
        <v>#DIV/0!</v>
      </c>
    </row>
    <row r="111" spans="1:50" x14ac:dyDescent="0.2">
      <c r="A111" s="161" t="s">
        <v>2302</v>
      </c>
      <c r="B111" s="162">
        <v>2019</v>
      </c>
      <c r="C111" s="163"/>
      <c r="D111" s="163"/>
      <c r="E111" s="164" t="s">
        <v>2306</v>
      </c>
      <c r="F111" s="165">
        <v>5</v>
      </c>
      <c r="G111" s="166">
        <v>40</v>
      </c>
      <c r="H111" s="167">
        <v>8</v>
      </c>
      <c r="I111" s="167">
        <v>986.17832999999985</v>
      </c>
      <c r="J111" s="168">
        <v>986.17832999999985</v>
      </c>
      <c r="K111" s="169">
        <v>15</v>
      </c>
      <c r="L111" s="167">
        <f t="shared" si="9"/>
        <v>246.54458249999996</v>
      </c>
      <c r="M111" s="170">
        <v>12</v>
      </c>
      <c r="N111" s="168">
        <v>85.76</v>
      </c>
      <c r="O111" s="170">
        <v>12</v>
      </c>
      <c r="P111" s="168">
        <v>38.15</v>
      </c>
      <c r="Q111" s="170"/>
      <c r="R111" s="168"/>
      <c r="S111" s="171"/>
      <c r="T111" s="168"/>
      <c r="U111" s="167"/>
      <c r="V111" s="168"/>
      <c r="W111" s="167"/>
      <c r="X111" s="168">
        <v>15</v>
      </c>
      <c r="Y111" s="167"/>
      <c r="Z111" s="168">
        <v>20</v>
      </c>
      <c r="AA111" s="167"/>
      <c r="AB111" s="172">
        <f>+Datos_Generales!$K$9</f>
        <v>3.6999999999999998E-2</v>
      </c>
      <c r="AC111" s="167"/>
      <c r="AD111" s="172">
        <v>0.33</v>
      </c>
      <c r="AE111" s="167"/>
      <c r="AF111" s="168">
        <v>18.36</v>
      </c>
      <c r="AG111" s="170"/>
      <c r="AH111" s="182"/>
      <c r="AI111" s="170"/>
      <c r="AJ111" s="182"/>
      <c r="AK111" s="170"/>
      <c r="AL111" s="170">
        <f t="shared" si="10"/>
        <v>1232.7229124999999</v>
      </c>
      <c r="AM111" s="170"/>
      <c r="AN111" s="170">
        <f t="shared" si="11"/>
        <v>177.26999999999998</v>
      </c>
      <c r="AO111" s="170"/>
      <c r="AP111" s="170">
        <f t="shared" si="12"/>
        <v>60.662294524124995</v>
      </c>
      <c r="AQ111" s="170"/>
      <c r="AR111" s="170">
        <f t="shared" si="13"/>
        <v>406.79856112499999</v>
      </c>
      <c r="AS111" s="170"/>
      <c r="AT111" s="170" t="e">
        <f>+(N111+P111)+((X111+Z111+AF111)/Datos_Generales!$E$15)</f>
        <v>#DIV/0!</v>
      </c>
      <c r="AU111" s="199"/>
      <c r="AV111" s="199">
        <f t="shared" si="14"/>
        <v>1639.521473625</v>
      </c>
      <c r="AW111" s="199"/>
      <c r="AX111" s="173" t="e">
        <f t="shared" si="15"/>
        <v>#DIV/0!</v>
      </c>
    </row>
    <row r="112" spans="1:50" x14ac:dyDescent="0.2">
      <c r="A112" s="161" t="s">
        <v>2302</v>
      </c>
      <c r="B112" s="162">
        <v>2019</v>
      </c>
      <c r="C112" s="163"/>
      <c r="D112" s="163"/>
      <c r="E112" s="164" t="s">
        <v>1073</v>
      </c>
      <c r="F112" s="165" t="s">
        <v>2273</v>
      </c>
      <c r="G112" s="166">
        <v>40</v>
      </c>
      <c r="H112" s="167">
        <v>8</v>
      </c>
      <c r="I112" s="167">
        <v>1219.7430299999999</v>
      </c>
      <c r="J112" s="168">
        <v>1219.7430299999999</v>
      </c>
      <c r="K112" s="169">
        <v>12</v>
      </c>
      <c r="L112" s="167">
        <f t="shared" si="9"/>
        <v>0</v>
      </c>
      <c r="M112" s="170"/>
      <c r="N112" s="168"/>
      <c r="O112" s="170"/>
      <c r="P112" s="168"/>
      <c r="Q112" s="170"/>
      <c r="R112" s="168"/>
      <c r="S112" s="171"/>
      <c r="T112" s="168"/>
      <c r="U112" s="167"/>
      <c r="V112" s="168"/>
      <c r="W112" s="167"/>
      <c r="X112" s="168">
        <v>15</v>
      </c>
      <c r="Y112" s="167"/>
      <c r="Z112" s="168">
        <v>20</v>
      </c>
      <c r="AA112" s="167"/>
      <c r="AB112" s="172">
        <f>+Datos_Generales!$K$9</f>
        <v>3.6999999999999998E-2</v>
      </c>
      <c r="AC112" s="167"/>
      <c r="AD112" s="172">
        <v>0.33</v>
      </c>
      <c r="AE112" s="167"/>
      <c r="AF112" s="168">
        <v>18.36</v>
      </c>
      <c r="AG112" s="170"/>
      <c r="AH112" s="182"/>
      <c r="AI112" s="170"/>
      <c r="AJ112" s="182"/>
      <c r="AK112" s="170"/>
      <c r="AL112" s="170">
        <f t="shared" si="10"/>
        <v>1219.7430299999999</v>
      </c>
      <c r="AM112" s="170"/>
      <c r="AN112" s="170">
        <f t="shared" si="11"/>
        <v>53.36</v>
      </c>
      <c r="AO112" s="170"/>
      <c r="AP112" s="170">
        <f t="shared" si="12"/>
        <v>60.023554506299988</v>
      </c>
      <c r="AQ112" s="170"/>
      <c r="AR112" s="170">
        <f t="shared" si="13"/>
        <v>402.51519989999997</v>
      </c>
      <c r="AS112" s="170"/>
      <c r="AT112" s="170" t="e">
        <f>+(N112+P112)+((X112+Z112+AF112)/Datos_Generales!$E$15)</f>
        <v>#DIV/0!</v>
      </c>
      <c r="AU112" s="199"/>
      <c r="AV112" s="199">
        <f t="shared" si="14"/>
        <v>1622.2582298999998</v>
      </c>
      <c r="AW112" s="199"/>
      <c r="AX112" s="173" t="e">
        <f t="shared" si="15"/>
        <v>#DIV/0!</v>
      </c>
    </row>
    <row r="113" spans="1:50" x14ac:dyDescent="0.2">
      <c r="A113" s="161" t="s">
        <v>2302</v>
      </c>
      <c r="B113" s="162">
        <v>2019</v>
      </c>
      <c r="C113" s="163"/>
      <c r="D113" s="163"/>
      <c r="E113" s="164" t="s">
        <v>1071</v>
      </c>
      <c r="F113" s="165">
        <v>5</v>
      </c>
      <c r="G113" s="166">
        <v>40</v>
      </c>
      <c r="H113" s="167">
        <v>8</v>
      </c>
      <c r="I113" s="167">
        <v>986.17832999999985</v>
      </c>
      <c r="J113" s="168">
        <v>986.17832999999985</v>
      </c>
      <c r="K113" s="169">
        <v>15</v>
      </c>
      <c r="L113" s="167">
        <f t="shared" si="9"/>
        <v>246.54458249999996</v>
      </c>
      <c r="M113" s="170">
        <v>12</v>
      </c>
      <c r="N113" s="168">
        <v>85.76</v>
      </c>
      <c r="O113" s="170">
        <v>12</v>
      </c>
      <c r="P113" s="168">
        <v>38.15</v>
      </c>
      <c r="Q113" s="170"/>
      <c r="R113" s="168"/>
      <c r="S113" s="171"/>
      <c r="T113" s="168"/>
      <c r="U113" s="167"/>
      <c r="V113" s="168"/>
      <c r="W113" s="167"/>
      <c r="X113" s="168">
        <v>15</v>
      </c>
      <c r="Y113" s="167"/>
      <c r="Z113" s="168">
        <v>20</v>
      </c>
      <c r="AA113" s="167"/>
      <c r="AB113" s="172">
        <f>+Datos_Generales!$K$9</f>
        <v>3.6999999999999998E-2</v>
      </c>
      <c r="AC113" s="167"/>
      <c r="AD113" s="172">
        <v>0.33</v>
      </c>
      <c r="AE113" s="167"/>
      <c r="AF113" s="168">
        <v>18.36</v>
      </c>
      <c r="AG113" s="170"/>
      <c r="AH113" s="182"/>
      <c r="AI113" s="170"/>
      <c r="AJ113" s="182"/>
      <c r="AK113" s="170"/>
      <c r="AL113" s="170">
        <f t="shared" si="10"/>
        <v>1232.7229124999999</v>
      </c>
      <c r="AM113" s="170"/>
      <c r="AN113" s="170">
        <f t="shared" si="11"/>
        <v>177.26999999999998</v>
      </c>
      <c r="AO113" s="170"/>
      <c r="AP113" s="170">
        <f t="shared" si="12"/>
        <v>60.662294524124995</v>
      </c>
      <c r="AQ113" s="170"/>
      <c r="AR113" s="170">
        <f t="shared" si="13"/>
        <v>406.79856112499999</v>
      </c>
      <c r="AS113" s="170"/>
      <c r="AT113" s="170" t="e">
        <f>+(N113+P113)+((X113+Z113+AF113)/Datos_Generales!$E$15)</f>
        <v>#DIV/0!</v>
      </c>
      <c r="AU113" s="199"/>
      <c r="AV113" s="199">
        <f t="shared" si="14"/>
        <v>1639.521473625</v>
      </c>
      <c r="AW113" s="199"/>
      <c r="AX113" s="173" t="e">
        <f t="shared" si="15"/>
        <v>#DIV/0!</v>
      </c>
    </row>
    <row r="114" spans="1:50" x14ac:dyDescent="0.2">
      <c r="A114" s="161" t="s">
        <v>2307</v>
      </c>
      <c r="B114" s="183">
        <v>2025</v>
      </c>
      <c r="C114" s="163">
        <v>0</v>
      </c>
      <c r="D114" s="163">
        <v>1794</v>
      </c>
      <c r="E114" s="164" t="s">
        <v>1063</v>
      </c>
      <c r="F114" s="165">
        <v>1</v>
      </c>
      <c r="G114" s="166">
        <v>40</v>
      </c>
      <c r="H114" s="167">
        <v>8</v>
      </c>
      <c r="I114" s="167">
        <v>1325.495355</v>
      </c>
      <c r="J114" s="168">
        <v>1325.495355</v>
      </c>
      <c r="K114" s="169">
        <v>15</v>
      </c>
      <c r="L114" s="167">
        <f t="shared" si="9"/>
        <v>331.37383875</v>
      </c>
      <c r="M114" s="170">
        <v>12</v>
      </c>
      <c r="N114" s="168">
        <v>59.58</v>
      </c>
      <c r="O114" s="170">
        <v>12</v>
      </c>
      <c r="P114" s="168">
        <v>33.15</v>
      </c>
      <c r="Q114" s="170"/>
      <c r="R114" s="168"/>
      <c r="S114" s="171"/>
      <c r="T114" s="168"/>
      <c r="U114" s="167"/>
      <c r="V114" s="168"/>
      <c r="W114" s="167"/>
      <c r="X114" s="168">
        <v>15</v>
      </c>
      <c r="Y114" s="167"/>
      <c r="Z114" s="168">
        <v>20</v>
      </c>
      <c r="AA114" s="167"/>
      <c r="AB114" s="172">
        <f>+Datos_Generales!$K$9</f>
        <v>3.6999999999999998E-2</v>
      </c>
      <c r="AC114" s="167"/>
      <c r="AD114" s="172">
        <v>0.33</v>
      </c>
      <c r="AE114" s="167"/>
      <c r="AF114" s="168">
        <v>18.36</v>
      </c>
      <c r="AG114" s="170"/>
      <c r="AH114" s="182"/>
      <c r="AI114" s="170"/>
      <c r="AJ114" s="182"/>
      <c r="AK114" s="170"/>
      <c r="AL114" s="170">
        <f t="shared" si="10"/>
        <v>1656.86919375</v>
      </c>
      <c r="AM114" s="170"/>
      <c r="AN114" s="170">
        <f t="shared" si="11"/>
        <v>146.08999999999997</v>
      </c>
      <c r="AO114" s="170"/>
      <c r="AP114" s="170">
        <f t="shared" si="12"/>
        <v>81.534533024437508</v>
      </c>
      <c r="AQ114" s="170"/>
      <c r="AR114" s="170">
        <f t="shared" si="13"/>
        <v>546.7668339375</v>
      </c>
      <c r="AS114" s="170"/>
      <c r="AT114" s="170" t="e">
        <f>+(N114+P114)+((X114+Z114+AF114)/Datos_Generales!$E$15)</f>
        <v>#DIV/0!</v>
      </c>
      <c r="AU114" s="199"/>
      <c r="AV114" s="199">
        <f t="shared" si="14"/>
        <v>2203.6360276875002</v>
      </c>
      <c r="AW114" s="199"/>
      <c r="AX114" s="173" t="e">
        <f t="shared" si="15"/>
        <v>#DIV/0!</v>
      </c>
    </row>
    <row r="115" spans="1:50" x14ac:dyDescent="0.2">
      <c r="A115" s="161" t="s">
        <v>2307</v>
      </c>
      <c r="B115" s="183">
        <v>2025</v>
      </c>
      <c r="C115" s="163"/>
      <c r="D115" s="163"/>
      <c r="E115" s="164" t="s">
        <v>1065</v>
      </c>
      <c r="F115" s="165">
        <v>2</v>
      </c>
      <c r="G115" s="166">
        <v>40</v>
      </c>
      <c r="H115" s="167">
        <v>8</v>
      </c>
      <c r="I115" s="167">
        <v>1300.4765400000001</v>
      </c>
      <c r="J115" s="168">
        <v>1300.4765400000001</v>
      </c>
      <c r="K115" s="169">
        <v>15</v>
      </c>
      <c r="L115" s="167">
        <f t="shared" si="9"/>
        <v>325.11913500000003</v>
      </c>
      <c r="M115" s="170">
        <v>12</v>
      </c>
      <c r="N115" s="168">
        <v>59.58</v>
      </c>
      <c r="O115" s="170">
        <v>12</v>
      </c>
      <c r="P115" s="168">
        <v>33.15</v>
      </c>
      <c r="Q115" s="170"/>
      <c r="R115" s="168"/>
      <c r="S115" s="171"/>
      <c r="T115" s="168"/>
      <c r="U115" s="167"/>
      <c r="V115" s="168"/>
      <c r="W115" s="167"/>
      <c r="X115" s="168">
        <v>15</v>
      </c>
      <c r="Y115" s="167"/>
      <c r="Z115" s="168">
        <v>20</v>
      </c>
      <c r="AA115" s="167"/>
      <c r="AB115" s="172">
        <f>+Datos_Generales!$K$9</f>
        <v>3.6999999999999998E-2</v>
      </c>
      <c r="AC115" s="167"/>
      <c r="AD115" s="172">
        <v>0.33</v>
      </c>
      <c r="AE115" s="167"/>
      <c r="AF115" s="168">
        <v>18.36</v>
      </c>
      <c r="AG115" s="170"/>
      <c r="AH115" s="182"/>
      <c r="AI115" s="170"/>
      <c r="AJ115" s="182"/>
      <c r="AK115" s="170"/>
      <c r="AL115" s="170">
        <f t="shared" si="10"/>
        <v>1625.595675</v>
      </c>
      <c r="AM115" s="170"/>
      <c r="AN115" s="170">
        <f t="shared" si="11"/>
        <v>146.08999999999997</v>
      </c>
      <c r="AO115" s="170"/>
      <c r="AP115" s="170">
        <f t="shared" si="12"/>
        <v>79.995563166750003</v>
      </c>
      <c r="AQ115" s="170"/>
      <c r="AR115" s="170">
        <f t="shared" si="13"/>
        <v>536.44657275000009</v>
      </c>
      <c r="AS115" s="170"/>
      <c r="AT115" s="170" t="e">
        <f>+(N115+P115)+((X115+Z115+AF115)/Datos_Generales!$E$15)</f>
        <v>#DIV/0!</v>
      </c>
      <c r="AU115" s="199"/>
      <c r="AV115" s="199">
        <f t="shared" si="14"/>
        <v>2162.0422477500001</v>
      </c>
      <c r="AW115" s="199"/>
      <c r="AX115" s="173" t="e">
        <f t="shared" si="15"/>
        <v>#DIV/0!</v>
      </c>
    </row>
    <row r="116" spans="1:50" x14ac:dyDescent="0.2">
      <c r="A116" s="161" t="s">
        <v>2307</v>
      </c>
      <c r="B116" s="183">
        <v>2025</v>
      </c>
      <c r="C116" s="163"/>
      <c r="D116" s="163"/>
      <c r="E116" s="164" t="s">
        <v>2308</v>
      </c>
      <c r="F116" s="165">
        <v>3</v>
      </c>
      <c r="G116" s="166">
        <v>40</v>
      </c>
      <c r="H116" s="167">
        <v>8</v>
      </c>
      <c r="I116" s="167">
        <v>1224.8450699999999</v>
      </c>
      <c r="J116" s="168">
        <v>1224.8450699999999</v>
      </c>
      <c r="K116" s="169">
        <v>15</v>
      </c>
      <c r="L116" s="167">
        <f t="shared" si="9"/>
        <v>306.21126749999996</v>
      </c>
      <c r="M116" s="170">
        <v>12</v>
      </c>
      <c r="N116" s="168">
        <v>59.58</v>
      </c>
      <c r="O116" s="170">
        <v>12</v>
      </c>
      <c r="P116" s="168">
        <v>33.15</v>
      </c>
      <c r="Q116" s="170"/>
      <c r="R116" s="168"/>
      <c r="S116" s="171"/>
      <c r="T116" s="168"/>
      <c r="U116" s="167"/>
      <c r="V116" s="168"/>
      <c r="W116" s="167"/>
      <c r="X116" s="168">
        <v>15</v>
      </c>
      <c r="Y116" s="167"/>
      <c r="Z116" s="168">
        <v>20</v>
      </c>
      <c r="AA116" s="167"/>
      <c r="AB116" s="172">
        <f>+Datos_Generales!$K$9</f>
        <v>3.6999999999999998E-2</v>
      </c>
      <c r="AC116" s="167"/>
      <c r="AD116" s="172">
        <v>0.33</v>
      </c>
      <c r="AE116" s="167"/>
      <c r="AF116" s="168">
        <v>18.36</v>
      </c>
      <c r="AG116" s="170"/>
      <c r="AH116" s="182"/>
      <c r="AI116" s="170"/>
      <c r="AJ116" s="182"/>
      <c r="AK116" s="170"/>
      <c r="AL116" s="170">
        <f t="shared" si="10"/>
        <v>1531.0563374999997</v>
      </c>
      <c r="AM116" s="170"/>
      <c r="AN116" s="170">
        <f t="shared" si="11"/>
        <v>146.08999999999997</v>
      </c>
      <c r="AO116" s="170"/>
      <c r="AP116" s="170">
        <f t="shared" si="12"/>
        <v>75.343282368374986</v>
      </c>
      <c r="AQ116" s="170"/>
      <c r="AR116" s="170">
        <f t="shared" si="13"/>
        <v>505.24859137499993</v>
      </c>
      <c r="AS116" s="170"/>
      <c r="AT116" s="170" t="e">
        <f>+(N116+P116)+((X116+Z116+AF116)/Datos_Generales!$E$15)</f>
        <v>#DIV/0!</v>
      </c>
      <c r="AU116" s="199"/>
      <c r="AV116" s="199">
        <f t="shared" si="14"/>
        <v>2036.3049288749996</v>
      </c>
      <c r="AW116" s="199"/>
      <c r="AX116" s="173" t="e">
        <f t="shared" si="15"/>
        <v>#DIV/0!</v>
      </c>
    </row>
    <row r="117" spans="1:50" x14ac:dyDescent="0.2">
      <c r="A117" s="161" t="s">
        <v>2307</v>
      </c>
      <c r="B117" s="183">
        <v>2025</v>
      </c>
      <c r="C117" s="163"/>
      <c r="D117" s="163"/>
      <c r="E117" s="164" t="s">
        <v>2309</v>
      </c>
      <c r="F117" s="165">
        <v>3</v>
      </c>
      <c r="G117" s="166">
        <v>40</v>
      </c>
      <c r="H117" s="167">
        <v>8</v>
      </c>
      <c r="I117" s="167">
        <v>1224.8450699999999</v>
      </c>
      <c r="J117" s="168">
        <v>1224.8450699999999</v>
      </c>
      <c r="K117" s="169">
        <v>15</v>
      </c>
      <c r="L117" s="167">
        <f t="shared" si="9"/>
        <v>306.21126749999996</v>
      </c>
      <c r="M117" s="170">
        <v>12</v>
      </c>
      <c r="N117" s="168">
        <v>59.58</v>
      </c>
      <c r="O117" s="170">
        <v>12</v>
      </c>
      <c r="P117" s="168">
        <v>33.15</v>
      </c>
      <c r="Q117" s="170"/>
      <c r="R117" s="168"/>
      <c r="S117" s="171"/>
      <c r="T117" s="168"/>
      <c r="U117" s="167"/>
      <c r="V117" s="168"/>
      <c r="W117" s="167"/>
      <c r="X117" s="168">
        <v>15</v>
      </c>
      <c r="Y117" s="167"/>
      <c r="Z117" s="168">
        <v>20</v>
      </c>
      <c r="AA117" s="167"/>
      <c r="AB117" s="172">
        <f>+Datos_Generales!$K$9</f>
        <v>3.6999999999999998E-2</v>
      </c>
      <c r="AC117" s="167"/>
      <c r="AD117" s="172">
        <v>0.33</v>
      </c>
      <c r="AE117" s="167"/>
      <c r="AF117" s="168">
        <v>18.36</v>
      </c>
      <c r="AG117" s="170"/>
      <c r="AH117" s="182"/>
      <c r="AI117" s="170"/>
      <c r="AJ117" s="182"/>
      <c r="AK117" s="170"/>
      <c r="AL117" s="170">
        <f t="shared" si="10"/>
        <v>1531.0563374999997</v>
      </c>
      <c r="AM117" s="170"/>
      <c r="AN117" s="170">
        <f t="shared" si="11"/>
        <v>146.08999999999997</v>
      </c>
      <c r="AO117" s="170"/>
      <c r="AP117" s="170">
        <f t="shared" si="12"/>
        <v>75.343282368374986</v>
      </c>
      <c r="AQ117" s="170"/>
      <c r="AR117" s="170">
        <f t="shared" si="13"/>
        <v>505.24859137499993</v>
      </c>
      <c r="AS117" s="170"/>
      <c r="AT117" s="170" t="e">
        <f>+(N117+P117)+((X117+Z117+AF117)/Datos_Generales!$E$15)</f>
        <v>#DIV/0!</v>
      </c>
      <c r="AU117" s="199"/>
      <c r="AV117" s="199">
        <f t="shared" si="14"/>
        <v>2036.3049288749996</v>
      </c>
      <c r="AW117" s="199"/>
      <c r="AX117" s="173" t="e">
        <f t="shared" si="15"/>
        <v>#DIV/0!</v>
      </c>
    </row>
    <row r="118" spans="1:50" x14ac:dyDescent="0.2">
      <c r="A118" s="161" t="s">
        <v>2307</v>
      </c>
      <c r="B118" s="183">
        <v>2025</v>
      </c>
      <c r="C118" s="163"/>
      <c r="D118" s="163"/>
      <c r="E118" s="164" t="s">
        <v>1067</v>
      </c>
      <c r="F118" s="165">
        <v>4</v>
      </c>
      <c r="G118" s="166">
        <v>40</v>
      </c>
      <c r="H118" s="167">
        <v>8</v>
      </c>
      <c r="I118" s="167">
        <v>1200.0458099999998</v>
      </c>
      <c r="J118" s="168">
        <v>1200.0458099999998</v>
      </c>
      <c r="K118" s="169">
        <v>15</v>
      </c>
      <c r="L118" s="167">
        <f t="shared" si="9"/>
        <v>300.01145249999996</v>
      </c>
      <c r="M118" s="170">
        <v>12</v>
      </c>
      <c r="N118" s="168">
        <v>59.58</v>
      </c>
      <c r="O118" s="170">
        <v>12</v>
      </c>
      <c r="P118" s="168">
        <v>33.15</v>
      </c>
      <c r="Q118" s="170"/>
      <c r="R118" s="168"/>
      <c r="S118" s="171"/>
      <c r="T118" s="168"/>
      <c r="U118" s="167"/>
      <c r="V118" s="168"/>
      <c r="W118" s="167"/>
      <c r="X118" s="168">
        <v>15</v>
      </c>
      <c r="Y118" s="167"/>
      <c r="Z118" s="168">
        <v>20</v>
      </c>
      <c r="AA118" s="167"/>
      <c r="AB118" s="172">
        <f>+Datos_Generales!$K$9</f>
        <v>3.6999999999999998E-2</v>
      </c>
      <c r="AC118" s="167"/>
      <c r="AD118" s="172">
        <v>0.33</v>
      </c>
      <c r="AE118" s="167"/>
      <c r="AF118" s="168">
        <v>18.36</v>
      </c>
      <c r="AG118" s="170"/>
      <c r="AH118" s="182"/>
      <c r="AI118" s="170"/>
      <c r="AJ118" s="182"/>
      <c r="AK118" s="170"/>
      <c r="AL118" s="170">
        <f t="shared" si="10"/>
        <v>1500.0572624999998</v>
      </c>
      <c r="AM118" s="170"/>
      <c r="AN118" s="170">
        <f t="shared" si="11"/>
        <v>146.08999999999997</v>
      </c>
      <c r="AO118" s="170"/>
      <c r="AP118" s="170">
        <f t="shared" si="12"/>
        <v>73.817817887624983</v>
      </c>
      <c r="AQ118" s="170"/>
      <c r="AR118" s="170">
        <f t="shared" si="13"/>
        <v>495.01889662499997</v>
      </c>
      <c r="AS118" s="170"/>
      <c r="AT118" s="170" t="e">
        <f>+(N118+P118)+((X118+Z118+AF118)/Datos_Generales!$E$15)</f>
        <v>#DIV/0!</v>
      </c>
      <c r="AU118" s="199"/>
      <c r="AV118" s="199">
        <f t="shared" si="14"/>
        <v>1995.0761591249998</v>
      </c>
      <c r="AW118" s="199"/>
      <c r="AX118" s="173" t="e">
        <f t="shared" si="15"/>
        <v>#DIV/0!</v>
      </c>
    </row>
    <row r="119" spans="1:50" x14ac:dyDescent="0.2">
      <c r="A119" s="161" t="s">
        <v>2307</v>
      </c>
      <c r="B119" s="183">
        <v>2025</v>
      </c>
      <c r="C119" s="163"/>
      <c r="D119" s="163"/>
      <c r="E119" s="164" t="s">
        <v>1084</v>
      </c>
      <c r="F119" s="165">
        <v>4</v>
      </c>
      <c r="G119" s="166">
        <v>40</v>
      </c>
      <c r="H119" s="167">
        <v>8</v>
      </c>
      <c r="I119" s="167">
        <v>1200.0458099999998</v>
      </c>
      <c r="J119" s="168">
        <v>1200.0458099999998</v>
      </c>
      <c r="K119" s="169">
        <v>15</v>
      </c>
      <c r="L119" s="167">
        <f t="shared" si="9"/>
        <v>300.01145249999996</v>
      </c>
      <c r="M119" s="170">
        <v>12</v>
      </c>
      <c r="N119" s="168">
        <v>59.58</v>
      </c>
      <c r="O119" s="170">
        <v>12</v>
      </c>
      <c r="P119" s="168">
        <v>33.15</v>
      </c>
      <c r="Q119" s="170"/>
      <c r="R119" s="168"/>
      <c r="S119" s="171"/>
      <c r="T119" s="168"/>
      <c r="U119" s="167"/>
      <c r="V119" s="168"/>
      <c r="W119" s="167"/>
      <c r="X119" s="168">
        <v>15</v>
      </c>
      <c r="Y119" s="167"/>
      <c r="Z119" s="168">
        <v>20</v>
      </c>
      <c r="AA119" s="167"/>
      <c r="AB119" s="172">
        <f>+Datos_Generales!$K$9</f>
        <v>3.6999999999999998E-2</v>
      </c>
      <c r="AC119" s="167"/>
      <c r="AD119" s="172">
        <v>0.33</v>
      </c>
      <c r="AE119" s="167"/>
      <c r="AF119" s="168">
        <v>18.36</v>
      </c>
      <c r="AG119" s="170"/>
      <c r="AH119" s="182"/>
      <c r="AI119" s="170"/>
      <c r="AJ119" s="182"/>
      <c r="AK119" s="170"/>
      <c r="AL119" s="170">
        <f t="shared" si="10"/>
        <v>1500.0572624999998</v>
      </c>
      <c r="AM119" s="170"/>
      <c r="AN119" s="170">
        <f t="shared" si="11"/>
        <v>146.08999999999997</v>
      </c>
      <c r="AO119" s="170"/>
      <c r="AP119" s="170">
        <f t="shared" si="12"/>
        <v>73.817817887624983</v>
      </c>
      <c r="AQ119" s="170"/>
      <c r="AR119" s="170">
        <f t="shared" si="13"/>
        <v>495.01889662499997</v>
      </c>
      <c r="AS119" s="170"/>
      <c r="AT119" s="170" t="e">
        <f>+(N119+P119)+((X119+Z119+AF119)/Datos_Generales!$E$15)</f>
        <v>#DIV/0!</v>
      </c>
      <c r="AU119" s="199"/>
      <c r="AV119" s="199">
        <f t="shared" si="14"/>
        <v>1995.0761591249998</v>
      </c>
      <c r="AW119" s="199"/>
      <c r="AX119" s="173" t="e">
        <f t="shared" si="15"/>
        <v>#DIV/0!</v>
      </c>
    </row>
    <row r="120" spans="1:50" x14ac:dyDescent="0.2">
      <c r="A120" s="161" t="s">
        <v>2307</v>
      </c>
      <c r="B120" s="183">
        <v>2025</v>
      </c>
      <c r="C120" s="163"/>
      <c r="D120" s="163"/>
      <c r="E120" s="164" t="s">
        <v>2267</v>
      </c>
      <c r="F120" s="165">
        <v>4</v>
      </c>
      <c r="G120" s="166">
        <v>40</v>
      </c>
      <c r="H120" s="167">
        <v>8</v>
      </c>
      <c r="I120" s="167">
        <v>1200.0458099999998</v>
      </c>
      <c r="J120" s="168">
        <v>1200.0458099999998</v>
      </c>
      <c r="K120" s="169">
        <v>15</v>
      </c>
      <c r="L120" s="167">
        <f t="shared" si="9"/>
        <v>300.01145249999996</v>
      </c>
      <c r="M120" s="170">
        <v>12</v>
      </c>
      <c r="N120" s="168">
        <v>59.58</v>
      </c>
      <c r="O120" s="170">
        <v>12</v>
      </c>
      <c r="P120" s="168">
        <v>33.15</v>
      </c>
      <c r="Q120" s="170"/>
      <c r="R120" s="168"/>
      <c r="S120" s="171"/>
      <c r="T120" s="168"/>
      <c r="U120" s="167"/>
      <c r="V120" s="168"/>
      <c r="W120" s="167"/>
      <c r="X120" s="168">
        <v>15</v>
      </c>
      <c r="Y120" s="167"/>
      <c r="Z120" s="168">
        <v>20</v>
      </c>
      <c r="AA120" s="167"/>
      <c r="AB120" s="172">
        <f>+Datos_Generales!$K$9</f>
        <v>3.6999999999999998E-2</v>
      </c>
      <c r="AC120" s="167"/>
      <c r="AD120" s="172">
        <v>0.33</v>
      </c>
      <c r="AE120" s="167"/>
      <c r="AF120" s="168">
        <v>18.36</v>
      </c>
      <c r="AG120" s="170"/>
      <c r="AH120" s="182"/>
      <c r="AI120" s="170"/>
      <c r="AJ120" s="182"/>
      <c r="AK120" s="170"/>
      <c r="AL120" s="170">
        <f t="shared" si="10"/>
        <v>1500.0572624999998</v>
      </c>
      <c r="AM120" s="170"/>
      <c r="AN120" s="170">
        <f t="shared" si="11"/>
        <v>146.08999999999997</v>
      </c>
      <c r="AO120" s="170"/>
      <c r="AP120" s="170">
        <f t="shared" si="12"/>
        <v>73.817817887624983</v>
      </c>
      <c r="AQ120" s="170"/>
      <c r="AR120" s="170">
        <f t="shared" si="13"/>
        <v>495.01889662499997</v>
      </c>
      <c r="AS120" s="170"/>
      <c r="AT120" s="170" t="e">
        <f>+(N120+P120)+((X120+Z120+AF120)/Datos_Generales!$E$15)</f>
        <v>#DIV/0!</v>
      </c>
      <c r="AU120" s="199"/>
      <c r="AV120" s="199">
        <f t="shared" si="14"/>
        <v>1995.0761591249998</v>
      </c>
      <c r="AW120" s="199"/>
      <c r="AX120" s="173" t="e">
        <f t="shared" si="15"/>
        <v>#DIV/0!</v>
      </c>
    </row>
    <row r="121" spans="1:50" x14ac:dyDescent="0.2">
      <c r="A121" s="161" t="s">
        <v>2307</v>
      </c>
      <c r="B121" s="183">
        <v>2025</v>
      </c>
      <c r="C121" s="180"/>
      <c r="D121" s="175"/>
      <c r="E121" s="176" t="s">
        <v>1069</v>
      </c>
      <c r="F121" s="165">
        <v>5</v>
      </c>
      <c r="G121" s="166">
        <v>40</v>
      </c>
      <c r="H121" s="167">
        <v>8</v>
      </c>
      <c r="I121" s="167">
        <v>1189.9567350000002</v>
      </c>
      <c r="J121" s="168">
        <v>1189.9567350000002</v>
      </c>
      <c r="K121" s="169">
        <v>15</v>
      </c>
      <c r="L121" s="167">
        <f t="shared" si="9"/>
        <v>297.48918375000005</v>
      </c>
      <c r="M121" s="170">
        <v>12</v>
      </c>
      <c r="N121" s="168">
        <v>59.58</v>
      </c>
      <c r="O121" s="170">
        <v>12</v>
      </c>
      <c r="P121" s="168">
        <v>33.15</v>
      </c>
      <c r="Q121" s="170"/>
      <c r="R121" s="168"/>
      <c r="S121" s="171"/>
      <c r="T121" s="168"/>
      <c r="U121" s="167"/>
      <c r="V121" s="168"/>
      <c r="W121" s="167"/>
      <c r="X121" s="168">
        <v>15</v>
      </c>
      <c r="Y121" s="167"/>
      <c r="Z121" s="168">
        <v>20</v>
      </c>
      <c r="AA121" s="167"/>
      <c r="AB121" s="172">
        <f>+Datos_Generales!$K$9</f>
        <v>3.6999999999999998E-2</v>
      </c>
      <c r="AC121" s="167"/>
      <c r="AD121" s="172">
        <v>0.33</v>
      </c>
      <c r="AE121" s="167"/>
      <c r="AF121" s="168">
        <v>18.36</v>
      </c>
      <c r="AG121" s="167"/>
      <c r="AH121" s="182"/>
      <c r="AI121" s="167"/>
      <c r="AJ121" s="182"/>
      <c r="AK121" s="167"/>
      <c r="AL121" s="170">
        <f t="shared" si="10"/>
        <v>1487.4459187500001</v>
      </c>
      <c r="AM121" s="170"/>
      <c r="AN121" s="170">
        <f t="shared" si="11"/>
        <v>146.08999999999997</v>
      </c>
      <c r="AO121" s="170"/>
      <c r="AP121" s="170">
        <f t="shared" si="12"/>
        <v>73.197213661687513</v>
      </c>
      <c r="AQ121" s="170"/>
      <c r="AR121" s="170">
        <f t="shared" si="13"/>
        <v>490.85715318750005</v>
      </c>
      <c r="AS121" s="170"/>
      <c r="AT121" s="170" t="e">
        <f>+(N121+P121)+((X121+Z121+AF121)/Datos_Generales!$E$15)</f>
        <v>#DIV/0!</v>
      </c>
      <c r="AU121" s="199"/>
      <c r="AV121" s="199">
        <f t="shared" si="14"/>
        <v>1978.3030719375004</v>
      </c>
      <c r="AW121" s="199"/>
      <c r="AX121" s="173" t="e">
        <f t="shared" si="15"/>
        <v>#DIV/0!</v>
      </c>
    </row>
    <row r="122" spans="1:50" x14ac:dyDescent="0.2">
      <c r="A122" s="161" t="s">
        <v>2307</v>
      </c>
      <c r="B122" s="183">
        <v>2025</v>
      </c>
      <c r="C122" s="163"/>
      <c r="D122" s="163"/>
      <c r="E122" s="164" t="s">
        <v>1084</v>
      </c>
      <c r="F122" s="165">
        <v>5</v>
      </c>
      <c r="G122" s="166">
        <v>40</v>
      </c>
      <c r="H122" s="167">
        <v>8</v>
      </c>
      <c r="I122" s="167">
        <v>1189.9567350000002</v>
      </c>
      <c r="J122" s="168">
        <v>1189.9567350000002</v>
      </c>
      <c r="K122" s="169">
        <v>15</v>
      </c>
      <c r="L122" s="167">
        <f t="shared" si="9"/>
        <v>297.48918375000005</v>
      </c>
      <c r="M122" s="170">
        <v>12</v>
      </c>
      <c r="N122" s="168">
        <v>59.58</v>
      </c>
      <c r="O122" s="170">
        <v>12</v>
      </c>
      <c r="P122" s="168">
        <v>33.15</v>
      </c>
      <c r="Q122" s="170"/>
      <c r="R122" s="168"/>
      <c r="S122" s="171"/>
      <c r="T122" s="168"/>
      <c r="U122" s="167"/>
      <c r="V122" s="168"/>
      <c r="W122" s="167"/>
      <c r="X122" s="168">
        <v>15</v>
      </c>
      <c r="Y122" s="167"/>
      <c r="Z122" s="168">
        <v>20</v>
      </c>
      <c r="AA122" s="167"/>
      <c r="AB122" s="172">
        <f>+Datos_Generales!$K$9</f>
        <v>3.6999999999999998E-2</v>
      </c>
      <c r="AC122" s="167"/>
      <c r="AD122" s="172">
        <v>0.33</v>
      </c>
      <c r="AE122" s="167"/>
      <c r="AF122" s="168">
        <v>18.36</v>
      </c>
      <c r="AG122" s="167"/>
      <c r="AH122" s="182"/>
      <c r="AI122" s="167"/>
      <c r="AJ122" s="182"/>
      <c r="AK122" s="167"/>
      <c r="AL122" s="170">
        <f t="shared" si="10"/>
        <v>1487.4459187500001</v>
      </c>
      <c r="AM122" s="170"/>
      <c r="AN122" s="170">
        <f t="shared" si="11"/>
        <v>146.08999999999997</v>
      </c>
      <c r="AO122" s="170"/>
      <c r="AP122" s="170">
        <f t="shared" si="12"/>
        <v>73.197213661687513</v>
      </c>
      <c r="AQ122" s="170"/>
      <c r="AR122" s="170">
        <f t="shared" si="13"/>
        <v>490.85715318750005</v>
      </c>
      <c r="AS122" s="170"/>
      <c r="AT122" s="170" t="e">
        <f>+(N122+P122)+((X122+Z122+AF122)/Datos_Generales!$E$15)</f>
        <v>#DIV/0!</v>
      </c>
      <c r="AU122" s="199"/>
      <c r="AV122" s="199">
        <f t="shared" si="14"/>
        <v>1978.3030719375004</v>
      </c>
      <c r="AW122" s="199"/>
      <c r="AX122" s="173" t="e">
        <f t="shared" si="15"/>
        <v>#DIV/0!</v>
      </c>
    </row>
    <row r="123" spans="1:50" x14ac:dyDescent="0.2">
      <c r="A123" s="161" t="s">
        <v>2307</v>
      </c>
      <c r="B123" s="183">
        <v>2025</v>
      </c>
      <c r="C123" s="163"/>
      <c r="D123" s="163"/>
      <c r="E123" s="164" t="s">
        <v>2271</v>
      </c>
      <c r="F123" s="165">
        <v>5</v>
      </c>
      <c r="G123" s="166">
        <v>40</v>
      </c>
      <c r="H123" s="167">
        <v>8</v>
      </c>
      <c r="I123" s="167">
        <v>1189.9567350000002</v>
      </c>
      <c r="J123" s="168">
        <v>1189.9567350000002</v>
      </c>
      <c r="K123" s="169">
        <v>15</v>
      </c>
      <c r="L123" s="167">
        <f t="shared" si="9"/>
        <v>297.48918375000005</v>
      </c>
      <c r="M123" s="170">
        <v>12</v>
      </c>
      <c r="N123" s="168">
        <v>59.58</v>
      </c>
      <c r="O123" s="170">
        <v>12</v>
      </c>
      <c r="P123" s="168">
        <v>33.15</v>
      </c>
      <c r="Q123" s="170"/>
      <c r="R123" s="168"/>
      <c r="S123" s="171"/>
      <c r="T123" s="168"/>
      <c r="U123" s="167"/>
      <c r="V123" s="168"/>
      <c r="W123" s="167"/>
      <c r="X123" s="168">
        <v>15</v>
      </c>
      <c r="Y123" s="167"/>
      <c r="Z123" s="168">
        <v>20</v>
      </c>
      <c r="AA123" s="167"/>
      <c r="AB123" s="172">
        <f>+Datos_Generales!$K$9</f>
        <v>3.6999999999999998E-2</v>
      </c>
      <c r="AC123" s="167"/>
      <c r="AD123" s="172">
        <v>0.33</v>
      </c>
      <c r="AE123" s="167"/>
      <c r="AF123" s="168">
        <v>18.36</v>
      </c>
      <c r="AG123" s="167"/>
      <c r="AH123" s="182"/>
      <c r="AI123" s="167"/>
      <c r="AJ123" s="182"/>
      <c r="AK123" s="167"/>
      <c r="AL123" s="170">
        <f t="shared" si="10"/>
        <v>1487.4459187500001</v>
      </c>
      <c r="AM123" s="170"/>
      <c r="AN123" s="170">
        <f t="shared" si="11"/>
        <v>146.08999999999997</v>
      </c>
      <c r="AO123" s="170"/>
      <c r="AP123" s="170">
        <f t="shared" si="12"/>
        <v>73.197213661687513</v>
      </c>
      <c r="AQ123" s="170"/>
      <c r="AR123" s="170">
        <f t="shared" si="13"/>
        <v>490.85715318750005</v>
      </c>
      <c r="AS123" s="170"/>
      <c r="AT123" s="170" t="e">
        <f>+(N123+P123)+((X123+Z123+AF123)/Datos_Generales!$E$15)</f>
        <v>#DIV/0!</v>
      </c>
      <c r="AU123" s="199"/>
      <c r="AV123" s="199">
        <f t="shared" si="14"/>
        <v>1978.3030719375004</v>
      </c>
      <c r="AW123" s="199"/>
      <c r="AX123" s="173" t="e">
        <f t="shared" si="15"/>
        <v>#DIV/0!</v>
      </c>
    </row>
    <row r="124" spans="1:50" x14ac:dyDescent="0.2">
      <c r="A124" s="161" t="s">
        <v>2307</v>
      </c>
      <c r="B124" s="183">
        <v>2025</v>
      </c>
      <c r="C124" s="163"/>
      <c r="D124" s="163"/>
      <c r="E124" s="164" t="s">
        <v>1236</v>
      </c>
      <c r="F124" s="165">
        <v>5</v>
      </c>
      <c r="G124" s="166">
        <v>40</v>
      </c>
      <c r="H124" s="167">
        <v>8</v>
      </c>
      <c r="I124" s="167">
        <v>1189.9567350000002</v>
      </c>
      <c r="J124" s="168">
        <v>1189.9567350000002</v>
      </c>
      <c r="K124" s="169">
        <v>15</v>
      </c>
      <c r="L124" s="167">
        <f t="shared" si="9"/>
        <v>297.48918375000005</v>
      </c>
      <c r="M124" s="170">
        <v>12</v>
      </c>
      <c r="N124" s="168">
        <v>59.58</v>
      </c>
      <c r="O124" s="170">
        <v>12</v>
      </c>
      <c r="P124" s="168">
        <v>33.15</v>
      </c>
      <c r="Q124" s="170"/>
      <c r="R124" s="168"/>
      <c r="S124" s="171"/>
      <c r="T124" s="168"/>
      <c r="U124" s="167"/>
      <c r="V124" s="168"/>
      <c r="W124" s="167"/>
      <c r="X124" s="168">
        <v>15</v>
      </c>
      <c r="Y124" s="167"/>
      <c r="Z124" s="168">
        <v>20</v>
      </c>
      <c r="AA124" s="167"/>
      <c r="AB124" s="172">
        <f>+Datos_Generales!$K$9</f>
        <v>3.6999999999999998E-2</v>
      </c>
      <c r="AC124" s="167"/>
      <c r="AD124" s="172">
        <v>0.33</v>
      </c>
      <c r="AE124" s="167"/>
      <c r="AF124" s="168">
        <v>18.36</v>
      </c>
      <c r="AG124" s="167"/>
      <c r="AH124" s="182"/>
      <c r="AI124" s="167"/>
      <c r="AJ124" s="182"/>
      <c r="AK124" s="167"/>
      <c r="AL124" s="170">
        <f t="shared" si="10"/>
        <v>1487.4459187500001</v>
      </c>
      <c r="AM124" s="170"/>
      <c r="AN124" s="170">
        <f t="shared" si="11"/>
        <v>146.08999999999997</v>
      </c>
      <c r="AO124" s="170"/>
      <c r="AP124" s="170">
        <f t="shared" si="12"/>
        <v>73.197213661687513</v>
      </c>
      <c r="AQ124" s="170"/>
      <c r="AR124" s="170">
        <f t="shared" si="13"/>
        <v>490.85715318750005</v>
      </c>
      <c r="AS124" s="170"/>
      <c r="AT124" s="170" t="e">
        <f>+(N124+P124)+((X124+Z124+AF124)/Datos_Generales!$E$15)</f>
        <v>#DIV/0!</v>
      </c>
      <c r="AU124" s="199"/>
      <c r="AV124" s="199">
        <f t="shared" si="14"/>
        <v>1978.3030719375004</v>
      </c>
      <c r="AW124" s="199"/>
      <c r="AX124" s="173" t="e">
        <f t="shared" si="15"/>
        <v>#DIV/0!</v>
      </c>
    </row>
    <row r="125" spans="1:50" x14ac:dyDescent="0.2">
      <c r="A125" s="161" t="s">
        <v>2307</v>
      </c>
      <c r="B125" s="183">
        <v>2025</v>
      </c>
      <c r="C125" s="163"/>
      <c r="D125" s="163"/>
      <c r="E125" s="164" t="s">
        <v>1073</v>
      </c>
      <c r="F125" s="165" t="s">
        <v>2273</v>
      </c>
      <c r="G125" s="166">
        <v>40</v>
      </c>
      <c r="H125" s="167">
        <v>8</v>
      </c>
      <c r="I125" s="167">
        <v>1219.7430299999999</v>
      </c>
      <c r="J125" s="168">
        <v>1219.7430299999999</v>
      </c>
      <c r="K125" s="169">
        <v>12</v>
      </c>
      <c r="L125" s="167">
        <f t="shared" si="9"/>
        <v>0</v>
      </c>
      <c r="M125" s="170"/>
      <c r="N125" s="168"/>
      <c r="O125" s="170"/>
      <c r="P125" s="168"/>
      <c r="Q125" s="170"/>
      <c r="R125" s="168"/>
      <c r="S125" s="171"/>
      <c r="T125" s="168"/>
      <c r="U125" s="167"/>
      <c r="V125" s="168"/>
      <c r="W125" s="167"/>
      <c r="X125" s="168">
        <v>15</v>
      </c>
      <c r="Y125" s="167"/>
      <c r="Z125" s="168">
        <v>20</v>
      </c>
      <c r="AA125" s="167"/>
      <c r="AB125" s="172">
        <f>+Datos_Generales!$K$9</f>
        <v>3.6999999999999998E-2</v>
      </c>
      <c r="AC125" s="167"/>
      <c r="AD125" s="172">
        <v>0.33</v>
      </c>
      <c r="AE125" s="167"/>
      <c r="AF125" s="168">
        <v>18.36</v>
      </c>
      <c r="AG125" s="167"/>
      <c r="AH125" s="182"/>
      <c r="AI125" s="167"/>
      <c r="AJ125" s="182"/>
      <c r="AK125" s="167"/>
      <c r="AL125" s="170">
        <f t="shared" si="10"/>
        <v>1219.7430299999999</v>
      </c>
      <c r="AM125" s="170"/>
      <c r="AN125" s="170">
        <f t="shared" si="11"/>
        <v>53.36</v>
      </c>
      <c r="AO125" s="170"/>
      <c r="AP125" s="170">
        <f t="shared" si="12"/>
        <v>60.023554506299988</v>
      </c>
      <c r="AQ125" s="170"/>
      <c r="AR125" s="170">
        <f t="shared" si="13"/>
        <v>402.51519989999997</v>
      </c>
      <c r="AS125" s="170"/>
      <c r="AT125" s="170" t="e">
        <f>+(N125+P125)+((X125+Z125+AF125)/Datos_Generales!$E$15)</f>
        <v>#DIV/0!</v>
      </c>
      <c r="AU125" s="199"/>
      <c r="AV125" s="199">
        <f t="shared" si="14"/>
        <v>1622.2582298999998</v>
      </c>
      <c r="AW125" s="199"/>
      <c r="AX125" s="173" t="e">
        <f t="shared" si="15"/>
        <v>#DIV/0!</v>
      </c>
    </row>
    <row r="126" spans="1:50" x14ac:dyDescent="0.2">
      <c r="A126" s="161" t="s">
        <v>2307</v>
      </c>
      <c r="B126" s="183">
        <v>2025</v>
      </c>
      <c r="C126" s="163"/>
      <c r="D126" s="163"/>
      <c r="E126" s="164" t="s">
        <v>2310</v>
      </c>
      <c r="F126" s="165">
        <v>5</v>
      </c>
      <c r="G126" s="166">
        <v>40</v>
      </c>
      <c r="H126" s="167">
        <v>8</v>
      </c>
      <c r="I126" s="167">
        <v>1189.9567350000002</v>
      </c>
      <c r="J126" s="168">
        <v>1189.9567350000002</v>
      </c>
      <c r="K126" s="169">
        <v>15</v>
      </c>
      <c r="L126" s="167">
        <f t="shared" si="9"/>
        <v>297.48918375000005</v>
      </c>
      <c r="M126" s="170">
        <v>12</v>
      </c>
      <c r="N126" s="168">
        <v>59.58</v>
      </c>
      <c r="O126" s="170">
        <v>12</v>
      </c>
      <c r="P126" s="168">
        <v>33.15</v>
      </c>
      <c r="Q126" s="170"/>
      <c r="R126" s="168"/>
      <c r="S126" s="171"/>
      <c r="T126" s="168"/>
      <c r="U126" s="167"/>
      <c r="V126" s="168"/>
      <c r="W126" s="167"/>
      <c r="X126" s="168">
        <v>15</v>
      </c>
      <c r="Y126" s="167"/>
      <c r="Z126" s="168">
        <v>20</v>
      </c>
      <c r="AA126" s="167"/>
      <c r="AB126" s="172">
        <f>+Datos_Generales!$K$9</f>
        <v>3.6999999999999998E-2</v>
      </c>
      <c r="AC126" s="167"/>
      <c r="AD126" s="172">
        <v>0.33</v>
      </c>
      <c r="AE126" s="167"/>
      <c r="AF126" s="168">
        <v>18.36</v>
      </c>
      <c r="AG126" s="167"/>
      <c r="AH126" s="182"/>
      <c r="AI126" s="167"/>
      <c r="AJ126" s="182"/>
      <c r="AK126" s="167"/>
      <c r="AL126" s="170">
        <f t="shared" si="10"/>
        <v>1487.4459187500001</v>
      </c>
      <c r="AM126" s="170"/>
      <c r="AN126" s="170">
        <f t="shared" si="11"/>
        <v>146.08999999999997</v>
      </c>
      <c r="AO126" s="170"/>
      <c r="AP126" s="170">
        <f t="shared" si="12"/>
        <v>73.197213661687513</v>
      </c>
      <c r="AQ126" s="170"/>
      <c r="AR126" s="170">
        <f t="shared" si="13"/>
        <v>490.85715318750005</v>
      </c>
      <c r="AS126" s="170"/>
      <c r="AT126" s="170" t="e">
        <f>+(N126+P126)+((X126+Z126+AF126)/Datos_Generales!$E$15)</f>
        <v>#DIV/0!</v>
      </c>
      <c r="AU126" s="199"/>
      <c r="AV126" s="199">
        <f t="shared" si="14"/>
        <v>1978.3030719375004</v>
      </c>
      <c r="AW126" s="199"/>
      <c r="AX126" s="173" t="e">
        <f t="shared" si="15"/>
        <v>#DIV/0!</v>
      </c>
    </row>
    <row r="127" spans="1:50" x14ac:dyDescent="0.2">
      <c r="A127" s="161" t="s">
        <v>2311</v>
      </c>
      <c r="B127" s="162">
        <v>2019</v>
      </c>
      <c r="C127" s="163">
        <v>0</v>
      </c>
      <c r="D127" s="163">
        <v>1794</v>
      </c>
      <c r="E127" s="164" t="s">
        <v>1063</v>
      </c>
      <c r="F127" s="165">
        <v>1</v>
      </c>
      <c r="G127" s="166">
        <v>40</v>
      </c>
      <c r="H127" s="167">
        <v>8</v>
      </c>
      <c r="I127" s="167">
        <v>1149.8618099999999</v>
      </c>
      <c r="J127" s="168">
        <v>1149.8618099999999</v>
      </c>
      <c r="K127" s="169">
        <v>15</v>
      </c>
      <c r="L127" s="167">
        <f t="shared" si="9"/>
        <v>287.46545249999997</v>
      </c>
      <c r="M127" s="170">
        <v>12</v>
      </c>
      <c r="N127" s="168">
        <v>66.1875</v>
      </c>
      <c r="O127" s="170">
        <v>12</v>
      </c>
      <c r="P127" s="168">
        <v>34.770000000000003</v>
      </c>
      <c r="Q127" s="170"/>
      <c r="R127" s="168"/>
      <c r="S127" s="171"/>
      <c r="T127" s="168"/>
      <c r="U127" s="167"/>
      <c r="V127" s="168"/>
      <c r="W127" s="167"/>
      <c r="X127" s="168">
        <v>15</v>
      </c>
      <c r="Y127" s="167"/>
      <c r="Z127" s="168">
        <v>20</v>
      </c>
      <c r="AA127" s="167"/>
      <c r="AB127" s="172">
        <f>+Datos_Generales!$K$9</f>
        <v>3.6999999999999998E-2</v>
      </c>
      <c r="AC127" s="167"/>
      <c r="AD127" s="172">
        <v>0.33</v>
      </c>
      <c r="AE127" s="167"/>
      <c r="AF127" s="168">
        <v>18.36</v>
      </c>
      <c r="AG127" s="167"/>
      <c r="AH127" s="182"/>
      <c r="AI127" s="167"/>
      <c r="AJ127" s="182"/>
      <c r="AK127" s="167"/>
      <c r="AL127" s="170">
        <f t="shared" si="10"/>
        <v>1437.3272625</v>
      </c>
      <c r="AM127" s="170"/>
      <c r="AN127" s="170">
        <f t="shared" si="11"/>
        <v>154.3175</v>
      </c>
      <c r="AO127" s="170"/>
      <c r="AP127" s="170">
        <f t="shared" si="12"/>
        <v>70.730874587624996</v>
      </c>
      <c r="AQ127" s="170"/>
      <c r="AR127" s="170">
        <f t="shared" si="13"/>
        <v>474.31799662500003</v>
      </c>
      <c r="AS127" s="170"/>
      <c r="AT127" s="170" t="e">
        <f>+(N127+P127)+((X127+Z127+AF127)/Datos_Generales!$E$15)</f>
        <v>#DIV/0!</v>
      </c>
      <c r="AU127" s="199"/>
      <c r="AV127" s="199">
        <f t="shared" si="14"/>
        <v>1911.6452591249999</v>
      </c>
      <c r="AW127" s="199"/>
      <c r="AX127" s="173" t="e">
        <f t="shared" si="15"/>
        <v>#DIV/0!</v>
      </c>
    </row>
    <row r="128" spans="1:50" x14ac:dyDescent="0.2">
      <c r="A128" s="161" t="s">
        <v>2311</v>
      </c>
      <c r="B128" s="162">
        <v>2019</v>
      </c>
      <c r="C128" s="163"/>
      <c r="D128" s="163"/>
      <c r="E128" s="164" t="s">
        <v>2303</v>
      </c>
      <c r="F128" s="165">
        <v>1</v>
      </c>
      <c r="G128" s="166">
        <v>40</v>
      </c>
      <c r="H128" s="167">
        <v>8</v>
      </c>
      <c r="I128" s="167">
        <v>1149.8618099999999</v>
      </c>
      <c r="J128" s="168">
        <v>1149.8618099999999</v>
      </c>
      <c r="K128" s="169">
        <v>15</v>
      </c>
      <c r="L128" s="167">
        <f t="shared" si="9"/>
        <v>287.46545249999997</v>
      </c>
      <c r="M128" s="170">
        <v>12</v>
      </c>
      <c r="N128" s="168">
        <v>66.1875</v>
      </c>
      <c r="O128" s="170">
        <v>12</v>
      </c>
      <c r="P128" s="168">
        <v>34.770000000000003</v>
      </c>
      <c r="Q128" s="170"/>
      <c r="R128" s="168"/>
      <c r="S128" s="171"/>
      <c r="T128" s="168"/>
      <c r="U128" s="167"/>
      <c r="V128" s="168"/>
      <c r="W128" s="167"/>
      <c r="X128" s="168">
        <v>15</v>
      </c>
      <c r="Y128" s="167"/>
      <c r="Z128" s="168">
        <v>20</v>
      </c>
      <c r="AA128" s="167"/>
      <c r="AB128" s="172">
        <f>+Datos_Generales!$K$9</f>
        <v>3.6999999999999998E-2</v>
      </c>
      <c r="AC128" s="167"/>
      <c r="AD128" s="172">
        <v>0.33</v>
      </c>
      <c r="AE128" s="167"/>
      <c r="AF128" s="168">
        <v>18.36</v>
      </c>
      <c r="AG128" s="167"/>
      <c r="AH128" s="182"/>
      <c r="AI128" s="167"/>
      <c r="AJ128" s="182"/>
      <c r="AK128" s="167"/>
      <c r="AL128" s="170">
        <f t="shared" si="10"/>
        <v>1437.3272625</v>
      </c>
      <c r="AM128" s="170"/>
      <c r="AN128" s="170">
        <f t="shared" si="11"/>
        <v>154.3175</v>
      </c>
      <c r="AO128" s="170"/>
      <c r="AP128" s="170">
        <f t="shared" si="12"/>
        <v>70.730874587624996</v>
      </c>
      <c r="AQ128" s="170"/>
      <c r="AR128" s="170">
        <f t="shared" si="13"/>
        <v>474.31799662500003</v>
      </c>
      <c r="AS128" s="170"/>
      <c r="AT128" s="170" t="e">
        <f>+(N128+P128)+((X128+Z128+AF128)/Datos_Generales!$E$15)</f>
        <v>#DIV/0!</v>
      </c>
      <c r="AU128" s="199"/>
      <c r="AV128" s="199">
        <f t="shared" si="14"/>
        <v>1911.6452591249999</v>
      </c>
      <c r="AW128" s="199"/>
      <c r="AX128" s="173" t="e">
        <f t="shared" si="15"/>
        <v>#DIV/0!</v>
      </c>
    </row>
    <row r="129" spans="1:50" x14ac:dyDescent="0.2">
      <c r="A129" s="161" t="s">
        <v>2311</v>
      </c>
      <c r="B129" s="162">
        <v>2019</v>
      </c>
      <c r="C129" s="163"/>
      <c r="D129" s="163"/>
      <c r="E129" s="164" t="s">
        <v>1065</v>
      </c>
      <c r="F129" s="165">
        <v>2</v>
      </c>
      <c r="G129" s="166">
        <v>40</v>
      </c>
      <c r="H129" s="167">
        <v>8</v>
      </c>
      <c r="I129" s="167">
        <v>1126.5053399999999</v>
      </c>
      <c r="J129" s="168">
        <v>1126.5053399999999</v>
      </c>
      <c r="K129" s="169">
        <v>15</v>
      </c>
      <c r="L129" s="167">
        <f t="shared" si="9"/>
        <v>281.62633499999998</v>
      </c>
      <c r="M129" s="170">
        <v>12</v>
      </c>
      <c r="N129" s="168">
        <v>66.1875</v>
      </c>
      <c r="O129" s="170">
        <v>12</v>
      </c>
      <c r="P129" s="168">
        <v>34.770000000000003</v>
      </c>
      <c r="Q129" s="170"/>
      <c r="R129" s="168"/>
      <c r="S129" s="171"/>
      <c r="T129" s="168"/>
      <c r="U129" s="167"/>
      <c r="V129" s="168"/>
      <c r="W129" s="167"/>
      <c r="X129" s="168">
        <v>15</v>
      </c>
      <c r="Y129" s="167"/>
      <c r="Z129" s="168">
        <v>20</v>
      </c>
      <c r="AA129" s="167"/>
      <c r="AB129" s="172">
        <f>+Datos_Generales!$K$9</f>
        <v>3.6999999999999998E-2</v>
      </c>
      <c r="AC129" s="167"/>
      <c r="AD129" s="172">
        <v>0.33</v>
      </c>
      <c r="AE129" s="167"/>
      <c r="AF129" s="168">
        <v>18.36</v>
      </c>
      <c r="AG129" s="167"/>
      <c r="AH129" s="182"/>
      <c r="AI129" s="167"/>
      <c r="AJ129" s="182"/>
      <c r="AK129" s="167"/>
      <c r="AL129" s="170">
        <f t="shared" si="10"/>
        <v>1408.1316749999999</v>
      </c>
      <c r="AM129" s="170"/>
      <c r="AN129" s="170">
        <f t="shared" si="11"/>
        <v>154.3175</v>
      </c>
      <c r="AO129" s="170"/>
      <c r="AP129" s="170">
        <f t="shared" si="12"/>
        <v>69.294159726749996</v>
      </c>
      <c r="AQ129" s="170"/>
      <c r="AR129" s="170">
        <f t="shared" si="13"/>
        <v>464.68345274999996</v>
      </c>
      <c r="AS129" s="170"/>
      <c r="AT129" s="170" t="e">
        <f>+(N129+P129)+((X129+Z129+AF129)/Datos_Generales!$E$15)</f>
        <v>#DIV/0!</v>
      </c>
      <c r="AU129" s="199"/>
      <c r="AV129" s="199">
        <f t="shared" si="14"/>
        <v>1872.8151277499999</v>
      </c>
      <c r="AW129" s="199"/>
      <c r="AX129" s="173" t="e">
        <f t="shared" si="15"/>
        <v>#DIV/0!</v>
      </c>
    </row>
    <row r="130" spans="1:50" x14ac:dyDescent="0.2">
      <c r="A130" s="161" t="s">
        <v>2311</v>
      </c>
      <c r="B130" s="162">
        <v>2019</v>
      </c>
      <c r="C130" s="163"/>
      <c r="D130" s="163"/>
      <c r="E130" s="164" t="s">
        <v>1067</v>
      </c>
      <c r="F130" s="165">
        <v>3</v>
      </c>
      <c r="G130" s="166">
        <v>40</v>
      </c>
      <c r="H130" s="167">
        <v>8</v>
      </c>
      <c r="I130" s="167">
        <v>1112.9870249999999</v>
      </c>
      <c r="J130" s="168">
        <v>1112.9870249999999</v>
      </c>
      <c r="K130" s="169">
        <v>15</v>
      </c>
      <c r="L130" s="167">
        <f t="shared" si="9"/>
        <v>278.24675624999998</v>
      </c>
      <c r="M130" s="170">
        <v>12</v>
      </c>
      <c r="N130" s="168">
        <v>66.1875</v>
      </c>
      <c r="O130" s="170">
        <v>12</v>
      </c>
      <c r="P130" s="168">
        <v>34.770000000000003</v>
      </c>
      <c r="Q130" s="170"/>
      <c r="R130" s="168"/>
      <c r="S130" s="171"/>
      <c r="T130" s="168"/>
      <c r="U130" s="167"/>
      <c r="V130" s="168"/>
      <c r="W130" s="167"/>
      <c r="X130" s="168">
        <v>15</v>
      </c>
      <c r="Y130" s="167"/>
      <c r="Z130" s="168">
        <v>20</v>
      </c>
      <c r="AA130" s="167"/>
      <c r="AB130" s="172">
        <f>+Datos_Generales!$K$9</f>
        <v>3.6999999999999998E-2</v>
      </c>
      <c r="AC130" s="167"/>
      <c r="AD130" s="172">
        <v>0.33</v>
      </c>
      <c r="AE130" s="167"/>
      <c r="AF130" s="168">
        <v>18.36</v>
      </c>
      <c r="AG130" s="167"/>
      <c r="AH130" s="182"/>
      <c r="AI130" s="167"/>
      <c r="AJ130" s="182"/>
      <c r="AK130" s="167"/>
      <c r="AL130" s="170">
        <f t="shared" si="10"/>
        <v>1391.23378125</v>
      </c>
      <c r="AM130" s="170"/>
      <c r="AN130" s="170">
        <f t="shared" si="11"/>
        <v>154.3175</v>
      </c>
      <c r="AO130" s="170"/>
      <c r="AP130" s="170">
        <f t="shared" si="12"/>
        <v>68.462614375312498</v>
      </c>
      <c r="AQ130" s="170"/>
      <c r="AR130" s="170">
        <f t="shared" si="13"/>
        <v>459.10714781250005</v>
      </c>
      <c r="AS130" s="170"/>
      <c r="AT130" s="170" t="e">
        <f>+(N130+P130)+((X130+Z130+AF130)/Datos_Generales!$E$15)</f>
        <v>#DIV/0!</v>
      </c>
      <c r="AU130" s="199"/>
      <c r="AV130" s="199">
        <f t="shared" si="14"/>
        <v>1850.3409290625</v>
      </c>
      <c r="AW130" s="199"/>
      <c r="AX130" s="173" t="e">
        <f t="shared" si="15"/>
        <v>#DIV/0!</v>
      </c>
    </row>
    <row r="131" spans="1:50" x14ac:dyDescent="0.2">
      <c r="A131" s="161" t="s">
        <v>2311</v>
      </c>
      <c r="B131" s="162">
        <v>2019</v>
      </c>
      <c r="C131" s="163"/>
      <c r="D131" s="163"/>
      <c r="E131" s="164" t="s">
        <v>1084</v>
      </c>
      <c r="F131" s="165">
        <v>4</v>
      </c>
      <c r="G131" s="166">
        <v>40</v>
      </c>
      <c r="H131" s="167">
        <v>8</v>
      </c>
      <c r="I131" s="167">
        <v>1097.0849699999997</v>
      </c>
      <c r="J131" s="168">
        <v>1097.0849699999997</v>
      </c>
      <c r="K131" s="169">
        <v>15</v>
      </c>
      <c r="L131" s="167">
        <f t="shared" si="9"/>
        <v>274.27124249999991</v>
      </c>
      <c r="M131" s="170">
        <v>12</v>
      </c>
      <c r="N131" s="168">
        <v>66.1875</v>
      </c>
      <c r="O131" s="170">
        <v>12</v>
      </c>
      <c r="P131" s="168">
        <v>34.770000000000003</v>
      </c>
      <c r="Q131" s="170"/>
      <c r="R131" s="168"/>
      <c r="S131" s="171"/>
      <c r="T131" s="168"/>
      <c r="U131" s="167"/>
      <c r="V131" s="168"/>
      <c r="W131" s="167"/>
      <c r="X131" s="168">
        <v>15</v>
      </c>
      <c r="Y131" s="167"/>
      <c r="Z131" s="168">
        <v>20</v>
      </c>
      <c r="AA131" s="167"/>
      <c r="AB131" s="172">
        <f>+Datos_Generales!$K$9</f>
        <v>3.6999999999999998E-2</v>
      </c>
      <c r="AC131" s="167"/>
      <c r="AD131" s="172">
        <v>0.33</v>
      </c>
      <c r="AE131" s="167"/>
      <c r="AF131" s="168">
        <v>18.36</v>
      </c>
      <c r="AG131" s="167"/>
      <c r="AH131" s="182"/>
      <c r="AI131" s="167"/>
      <c r="AJ131" s="182"/>
      <c r="AK131" s="167"/>
      <c r="AL131" s="170">
        <f t="shared" si="10"/>
        <v>1371.3562124999996</v>
      </c>
      <c r="AM131" s="170"/>
      <c r="AN131" s="170">
        <f t="shared" si="11"/>
        <v>154.3175</v>
      </c>
      <c r="AO131" s="170"/>
      <c r="AP131" s="170">
        <f t="shared" si="12"/>
        <v>67.484439217124986</v>
      </c>
      <c r="AQ131" s="170"/>
      <c r="AR131" s="170">
        <f t="shared" si="13"/>
        <v>452.54755012499987</v>
      </c>
      <c r="AS131" s="170"/>
      <c r="AT131" s="170" t="e">
        <f>+(N131+P131)+((X131+Z131+AF131)/Datos_Generales!$E$15)</f>
        <v>#DIV/0!</v>
      </c>
      <c r="AU131" s="199"/>
      <c r="AV131" s="199">
        <f t="shared" si="14"/>
        <v>1823.9037626249997</v>
      </c>
      <c r="AW131" s="199"/>
      <c r="AX131" s="173" t="e">
        <f t="shared" si="15"/>
        <v>#DIV/0!</v>
      </c>
    </row>
    <row r="132" spans="1:50" x14ac:dyDescent="0.2">
      <c r="A132" s="161" t="s">
        <v>2311</v>
      </c>
      <c r="B132" s="162">
        <v>2019</v>
      </c>
      <c r="C132" s="163"/>
      <c r="D132" s="163"/>
      <c r="E132" s="164" t="s">
        <v>1084</v>
      </c>
      <c r="F132" s="165">
        <v>4</v>
      </c>
      <c r="G132" s="166">
        <v>40</v>
      </c>
      <c r="H132" s="167">
        <v>8</v>
      </c>
      <c r="I132" s="167">
        <v>1097.0849699999997</v>
      </c>
      <c r="J132" s="168">
        <v>1097.0849699999997</v>
      </c>
      <c r="K132" s="169">
        <v>15</v>
      </c>
      <c r="L132" s="167">
        <f t="shared" ref="L132:L195" si="16">+(J132*(K132-12))/12</f>
        <v>274.27124249999991</v>
      </c>
      <c r="M132" s="170">
        <v>12</v>
      </c>
      <c r="N132" s="168">
        <v>66.1875</v>
      </c>
      <c r="O132" s="170">
        <v>12</v>
      </c>
      <c r="P132" s="168">
        <v>34.770000000000003</v>
      </c>
      <c r="Q132" s="170"/>
      <c r="R132" s="168"/>
      <c r="S132" s="171"/>
      <c r="T132" s="168"/>
      <c r="U132" s="167"/>
      <c r="V132" s="168"/>
      <c r="W132" s="167"/>
      <c r="X132" s="168">
        <v>15</v>
      </c>
      <c r="Y132" s="167"/>
      <c r="Z132" s="168">
        <v>20</v>
      </c>
      <c r="AA132" s="167"/>
      <c r="AB132" s="172">
        <f>+Datos_Generales!$K$9</f>
        <v>3.6999999999999998E-2</v>
      </c>
      <c r="AC132" s="167"/>
      <c r="AD132" s="172">
        <v>0.33</v>
      </c>
      <c r="AE132" s="167"/>
      <c r="AF132" s="168">
        <v>18.36</v>
      </c>
      <c r="AG132" s="167"/>
      <c r="AH132" s="182"/>
      <c r="AI132" s="167"/>
      <c r="AJ132" s="182"/>
      <c r="AK132" s="167"/>
      <c r="AL132" s="170">
        <f t="shared" ref="AL132:AL195" si="17">+J132+L132</f>
        <v>1371.3562124999996</v>
      </c>
      <c r="AM132" s="170"/>
      <c r="AN132" s="170">
        <f t="shared" ref="AN132:AN195" si="18">+N132+P132+X132+Z132+AF132</f>
        <v>154.3175</v>
      </c>
      <c r="AO132" s="170"/>
      <c r="AP132" s="170">
        <f t="shared" ref="AP132:AP195" si="19">(AL132*1.33)*AB132</f>
        <v>67.484439217124986</v>
      </c>
      <c r="AQ132" s="170"/>
      <c r="AR132" s="170">
        <f t="shared" ref="AR132:AR195" si="20">+AL132*AD132</f>
        <v>452.54755012499987</v>
      </c>
      <c r="AS132" s="170"/>
      <c r="AT132" s="170" t="e">
        <f>+(N132+P132)+((X132+Z132+AF132)/Datos_Generales!$E$15)</f>
        <v>#DIV/0!</v>
      </c>
      <c r="AU132" s="199"/>
      <c r="AV132" s="199">
        <f t="shared" ref="AV132:AV195" si="21">+AL132*(1+AD132)</f>
        <v>1823.9037626249997</v>
      </c>
      <c r="AW132" s="199"/>
      <c r="AX132" s="173" t="e">
        <f t="shared" si="15"/>
        <v>#DIV/0!</v>
      </c>
    </row>
    <row r="133" spans="1:50" x14ac:dyDescent="0.2">
      <c r="A133" s="161" t="s">
        <v>2311</v>
      </c>
      <c r="B133" s="162">
        <v>2019</v>
      </c>
      <c r="C133" s="180"/>
      <c r="D133" s="175"/>
      <c r="E133" s="176" t="s">
        <v>2312</v>
      </c>
      <c r="F133" s="165">
        <v>4</v>
      </c>
      <c r="G133" s="166">
        <v>40</v>
      </c>
      <c r="H133" s="167">
        <v>8</v>
      </c>
      <c r="I133" s="167">
        <v>1097.0849699999997</v>
      </c>
      <c r="J133" s="168">
        <v>1097.0849699999997</v>
      </c>
      <c r="K133" s="169">
        <v>15</v>
      </c>
      <c r="L133" s="167">
        <f t="shared" si="16"/>
        <v>274.27124249999991</v>
      </c>
      <c r="M133" s="170">
        <v>12</v>
      </c>
      <c r="N133" s="168">
        <v>66.1875</v>
      </c>
      <c r="O133" s="170">
        <v>12</v>
      </c>
      <c r="P133" s="168">
        <v>34.770000000000003</v>
      </c>
      <c r="Q133" s="170"/>
      <c r="R133" s="168"/>
      <c r="S133" s="171"/>
      <c r="T133" s="168"/>
      <c r="U133" s="167"/>
      <c r="V133" s="168"/>
      <c r="W133" s="167"/>
      <c r="X133" s="168">
        <v>15</v>
      </c>
      <c r="Y133" s="167"/>
      <c r="Z133" s="168">
        <v>20</v>
      </c>
      <c r="AA133" s="167"/>
      <c r="AB133" s="172">
        <f>+Datos_Generales!$K$9</f>
        <v>3.6999999999999998E-2</v>
      </c>
      <c r="AC133" s="167"/>
      <c r="AD133" s="172">
        <v>0.33</v>
      </c>
      <c r="AE133" s="167"/>
      <c r="AF133" s="168">
        <v>18.36</v>
      </c>
      <c r="AG133" s="167"/>
      <c r="AH133" s="182"/>
      <c r="AI133" s="167"/>
      <c r="AJ133" s="182"/>
      <c r="AK133" s="167"/>
      <c r="AL133" s="170">
        <f t="shared" si="17"/>
        <v>1371.3562124999996</v>
      </c>
      <c r="AM133" s="170"/>
      <c r="AN133" s="170">
        <f t="shared" si="18"/>
        <v>154.3175</v>
      </c>
      <c r="AO133" s="170"/>
      <c r="AP133" s="170">
        <f t="shared" si="19"/>
        <v>67.484439217124986</v>
      </c>
      <c r="AQ133" s="170"/>
      <c r="AR133" s="170">
        <f t="shared" si="20"/>
        <v>452.54755012499987</v>
      </c>
      <c r="AS133" s="170"/>
      <c r="AT133" s="170" t="e">
        <f>+(N133+P133)+((X133+Z133+AF133)/Datos_Generales!$E$15)</f>
        <v>#DIV/0!</v>
      </c>
      <c r="AU133" s="199"/>
      <c r="AV133" s="199">
        <f t="shared" si="21"/>
        <v>1823.9037626249997</v>
      </c>
      <c r="AW133" s="199"/>
      <c r="AX133" s="173" t="e">
        <f t="shared" si="15"/>
        <v>#DIV/0!</v>
      </c>
    </row>
    <row r="134" spans="1:50" x14ac:dyDescent="0.2">
      <c r="A134" s="161" t="s">
        <v>2311</v>
      </c>
      <c r="B134" s="162">
        <v>2019</v>
      </c>
      <c r="C134" s="163"/>
      <c r="D134" s="163"/>
      <c r="E134" s="164" t="s">
        <v>2268</v>
      </c>
      <c r="F134" s="165">
        <v>4</v>
      </c>
      <c r="G134" s="166">
        <v>40</v>
      </c>
      <c r="H134" s="167">
        <v>8</v>
      </c>
      <c r="I134" s="167">
        <v>1097.0849699999997</v>
      </c>
      <c r="J134" s="168">
        <v>1097.0849699999997</v>
      </c>
      <c r="K134" s="169">
        <v>15</v>
      </c>
      <c r="L134" s="167">
        <f t="shared" si="16"/>
        <v>274.27124249999991</v>
      </c>
      <c r="M134" s="170">
        <v>12</v>
      </c>
      <c r="N134" s="168">
        <v>66.1875</v>
      </c>
      <c r="O134" s="170">
        <v>12</v>
      </c>
      <c r="P134" s="168">
        <v>34.770000000000003</v>
      </c>
      <c r="Q134" s="170"/>
      <c r="R134" s="168"/>
      <c r="S134" s="171"/>
      <c r="T134" s="168"/>
      <c r="U134" s="167"/>
      <c r="V134" s="168"/>
      <c r="W134" s="167"/>
      <c r="X134" s="168">
        <v>15</v>
      </c>
      <c r="Y134" s="167"/>
      <c r="Z134" s="168">
        <v>20</v>
      </c>
      <c r="AA134" s="167"/>
      <c r="AB134" s="172">
        <f>+Datos_Generales!$K$9</f>
        <v>3.6999999999999998E-2</v>
      </c>
      <c r="AC134" s="167"/>
      <c r="AD134" s="172">
        <v>0.33</v>
      </c>
      <c r="AE134" s="167"/>
      <c r="AF134" s="168">
        <v>18.36</v>
      </c>
      <c r="AG134" s="167"/>
      <c r="AH134" s="182"/>
      <c r="AI134" s="167"/>
      <c r="AJ134" s="182"/>
      <c r="AK134" s="167"/>
      <c r="AL134" s="170">
        <f t="shared" si="17"/>
        <v>1371.3562124999996</v>
      </c>
      <c r="AM134" s="170"/>
      <c r="AN134" s="170">
        <f t="shared" si="18"/>
        <v>154.3175</v>
      </c>
      <c r="AO134" s="170"/>
      <c r="AP134" s="170">
        <f t="shared" si="19"/>
        <v>67.484439217124986</v>
      </c>
      <c r="AQ134" s="170"/>
      <c r="AR134" s="170">
        <f t="shared" si="20"/>
        <v>452.54755012499987</v>
      </c>
      <c r="AS134" s="170"/>
      <c r="AT134" s="170" t="e">
        <f>+(N134+P134)+((X134+Z134+AF134)/Datos_Generales!$E$15)</f>
        <v>#DIV/0!</v>
      </c>
      <c r="AU134" s="199"/>
      <c r="AV134" s="199">
        <f t="shared" si="21"/>
        <v>1823.9037626249997</v>
      </c>
      <c r="AW134" s="199"/>
      <c r="AX134" s="173" t="e">
        <f t="shared" si="15"/>
        <v>#DIV/0!</v>
      </c>
    </row>
    <row r="135" spans="1:50" x14ac:dyDescent="0.2">
      <c r="A135" s="161" t="s">
        <v>2311</v>
      </c>
      <c r="B135" s="162">
        <v>2019</v>
      </c>
      <c r="C135" s="163"/>
      <c r="D135" s="163"/>
      <c r="E135" s="164" t="s">
        <v>1069</v>
      </c>
      <c r="F135" s="165">
        <v>5</v>
      </c>
      <c r="G135" s="166">
        <v>40</v>
      </c>
      <c r="H135" s="167">
        <v>8</v>
      </c>
      <c r="I135" s="167">
        <v>1097.0849699999997</v>
      </c>
      <c r="J135" s="168">
        <v>1097.0849699999997</v>
      </c>
      <c r="K135" s="169">
        <v>15</v>
      </c>
      <c r="L135" s="167">
        <f t="shared" si="16"/>
        <v>274.27124249999991</v>
      </c>
      <c r="M135" s="170">
        <v>12</v>
      </c>
      <c r="N135" s="168">
        <v>66.1875</v>
      </c>
      <c r="O135" s="170">
        <v>12</v>
      </c>
      <c r="P135" s="168">
        <v>34.770000000000003</v>
      </c>
      <c r="Q135" s="170"/>
      <c r="R135" s="168"/>
      <c r="S135" s="171"/>
      <c r="T135" s="168"/>
      <c r="U135" s="167"/>
      <c r="V135" s="168"/>
      <c r="W135" s="167"/>
      <c r="X135" s="168">
        <v>15</v>
      </c>
      <c r="Y135" s="167"/>
      <c r="Z135" s="168">
        <v>20</v>
      </c>
      <c r="AA135" s="167"/>
      <c r="AB135" s="172">
        <f>+Datos_Generales!$K$9</f>
        <v>3.6999999999999998E-2</v>
      </c>
      <c r="AC135" s="167"/>
      <c r="AD135" s="172">
        <v>0.33</v>
      </c>
      <c r="AE135" s="167"/>
      <c r="AF135" s="168">
        <v>18.36</v>
      </c>
      <c r="AG135" s="167"/>
      <c r="AH135" s="182"/>
      <c r="AI135" s="167"/>
      <c r="AJ135" s="182"/>
      <c r="AK135" s="167"/>
      <c r="AL135" s="170">
        <f t="shared" si="17"/>
        <v>1371.3562124999996</v>
      </c>
      <c r="AM135" s="170"/>
      <c r="AN135" s="170">
        <f t="shared" si="18"/>
        <v>154.3175</v>
      </c>
      <c r="AO135" s="170"/>
      <c r="AP135" s="170">
        <f t="shared" si="19"/>
        <v>67.484439217124986</v>
      </c>
      <c r="AQ135" s="170"/>
      <c r="AR135" s="170">
        <f t="shared" si="20"/>
        <v>452.54755012499987</v>
      </c>
      <c r="AS135" s="170"/>
      <c r="AT135" s="170" t="e">
        <f>+(N135+P135)+((X135+Z135+AF135)/Datos_Generales!$E$15)</f>
        <v>#DIV/0!</v>
      </c>
      <c r="AU135" s="199"/>
      <c r="AV135" s="199">
        <f t="shared" si="21"/>
        <v>1823.9037626249997</v>
      </c>
      <c r="AW135" s="199"/>
      <c r="AX135" s="173" t="e">
        <f t="shared" si="15"/>
        <v>#DIV/0!</v>
      </c>
    </row>
    <row r="136" spans="1:50" x14ac:dyDescent="0.2">
      <c r="A136" s="161" t="s">
        <v>2311</v>
      </c>
      <c r="B136" s="162">
        <v>2019</v>
      </c>
      <c r="C136" s="163"/>
      <c r="D136" s="163"/>
      <c r="E136" s="164" t="s">
        <v>2271</v>
      </c>
      <c r="F136" s="165">
        <v>5</v>
      </c>
      <c r="G136" s="166">
        <v>40</v>
      </c>
      <c r="H136" s="167">
        <v>8</v>
      </c>
      <c r="I136" s="167">
        <v>1097.0849699999997</v>
      </c>
      <c r="J136" s="168">
        <v>1097.0849699999997</v>
      </c>
      <c r="K136" s="169">
        <v>15</v>
      </c>
      <c r="L136" s="167">
        <f t="shared" si="16"/>
        <v>274.27124249999991</v>
      </c>
      <c r="M136" s="170">
        <v>12</v>
      </c>
      <c r="N136" s="168">
        <v>66.1875</v>
      </c>
      <c r="O136" s="170">
        <v>12</v>
      </c>
      <c r="P136" s="168">
        <v>34.770000000000003</v>
      </c>
      <c r="Q136" s="170"/>
      <c r="R136" s="168"/>
      <c r="S136" s="171"/>
      <c r="T136" s="168"/>
      <c r="U136" s="167"/>
      <c r="V136" s="168"/>
      <c r="W136" s="167"/>
      <c r="X136" s="168">
        <v>15</v>
      </c>
      <c r="Y136" s="167"/>
      <c r="Z136" s="168">
        <v>20</v>
      </c>
      <c r="AA136" s="167"/>
      <c r="AB136" s="172">
        <f>+Datos_Generales!$K$9</f>
        <v>3.6999999999999998E-2</v>
      </c>
      <c r="AC136" s="167"/>
      <c r="AD136" s="172">
        <v>0.33</v>
      </c>
      <c r="AE136" s="167"/>
      <c r="AF136" s="168">
        <v>18.36</v>
      </c>
      <c r="AG136" s="167"/>
      <c r="AH136" s="182"/>
      <c r="AI136" s="167"/>
      <c r="AJ136" s="182"/>
      <c r="AK136" s="167"/>
      <c r="AL136" s="170">
        <f t="shared" si="17"/>
        <v>1371.3562124999996</v>
      </c>
      <c r="AM136" s="170"/>
      <c r="AN136" s="170">
        <f t="shared" si="18"/>
        <v>154.3175</v>
      </c>
      <c r="AO136" s="170"/>
      <c r="AP136" s="170">
        <f t="shared" si="19"/>
        <v>67.484439217124986</v>
      </c>
      <c r="AQ136" s="170"/>
      <c r="AR136" s="170">
        <f t="shared" si="20"/>
        <v>452.54755012499987</v>
      </c>
      <c r="AS136" s="170"/>
      <c r="AT136" s="170" t="e">
        <f>+(N136+P136)+((X136+Z136+AF136)/Datos_Generales!$E$15)</f>
        <v>#DIV/0!</v>
      </c>
      <c r="AU136" s="199"/>
      <c r="AV136" s="199">
        <f t="shared" si="21"/>
        <v>1823.9037626249997</v>
      </c>
      <c r="AW136" s="199"/>
      <c r="AX136" s="173" t="e">
        <f t="shared" si="15"/>
        <v>#DIV/0!</v>
      </c>
    </row>
    <row r="137" spans="1:50" x14ac:dyDescent="0.2">
      <c r="A137" s="161" t="s">
        <v>2311</v>
      </c>
      <c r="B137" s="162">
        <v>2019</v>
      </c>
      <c r="C137" s="163"/>
      <c r="D137" s="163"/>
      <c r="E137" s="164" t="s">
        <v>1236</v>
      </c>
      <c r="F137" s="165">
        <v>5</v>
      </c>
      <c r="G137" s="166">
        <v>40</v>
      </c>
      <c r="H137" s="167">
        <v>8</v>
      </c>
      <c r="I137" s="167">
        <v>1097.0849699999997</v>
      </c>
      <c r="J137" s="168">
        <v>1097.0849699999997</v>
      </c>
      <c r="K137" s="169">
        <v>15</v>
      </c>
      <c r="L137" s="167">
        <f t="shared" si="16"/>
        <v>274.27124249999991</v>
      </c>
      <c r="M137" s="170">
        <v>12</v>
      </c>
      <c r="N137" s="168">
        <v>66.1875</v>
      </c>
      <c r="O137" s="170">
        <v>12</v>
      </c>
      <c r="P137" s="168">
        <v>34.770000000000003</v>
      </c>
      <c r="Q137" s="170"/>
      <c r="R137" s="168"/>
      <c r="S137" s="171"/>
      <c r="T137" s="168"/>
      <c r="U137" s="167"/>
      <c r="V137" s="168"/>
      <c r="W137" s="167"/>
      <c r="X137" s="168">
        <v>15</v>
      </c>
      <c r="Y137" s="167"/>
      <c r="Z137" s="168">
        <v>20</v>
      </c>
      <c r="AA137" s="167"/>
      <c r="AB137" s="172">
        <f>+Datos_Generales!$K$9</f>
        <v>3.6999999999999998E-2</v>
      </c>
      <c r="AC137" s="167"/>
      <c r="AD137" s="172">
        <v>0.33</v>
      </c>
      <c r="AE137" s="167"/>
      <c r="AF137" s="168">
        <v>18.36</v>
      </c>
      <c r="AG137" s="167"/>
      <c r="AH137" s="182"/>
      <c r="AI137" s="167"/>
      <c r="AJ137" s="182"/>
      <c r="AK137" s="167"/>
      <c r="AL137" s="170">
        <f t="shared" si="17"/>
        <v>1371.3562124999996</v>
      </c>
      <c r="AM137" s="170"/>
      <c r="AN137" s="170">
        <f t="shared" si="18"/>
        <v>154.3175</v>
      </c>
      <c r="AO137" s="170"/>
      <c r="AP137" s="170">
        <f t="shared" si="19"/>
        <v>67.484439217124986</v>
      </c>
      <c r="AQ137" s="170"/>
      <c r="AR137" s="170">
        <f t="shared" si="20"/>
        <v>452.54755012499987</v>
      </c>
      <c r="AS137" s="170"/>
      <c r="AT137" s="170" t="e">
        <f>+(N137+P137)+((X137+Z137+AF137)/Datos_Generales!$E$15)</f>
        <v>#DIV/0!</v>
      </c>
      <c r="AU137" s="199"/>
      <c r="AV137" s="199">
        <f t="shared" si="21"/>
        <v>1823.9037626249997</v>
      </c>
      <c r="AW137" s="199"/>
      <c r="AX137" s="173" t="e">
        <f t="shared" si="15"/>
        <v>#DIV/0!</v>
      </c>
    </row>
    <row r="138" spans="1:50" x14ac:dyDescent="0.2">
      <c r="A138" s="161" t="s">
        <v>2311</v>
      </c>
      <c r="B138" s="162">
        <v>2019</v>
      </c>
      <c r="C138" s="163"/>
      <c r="D138" s="163"/>
      <c r="E138" s="164" t="s">
        <v>1073</v>
      </c>
      <c r="F138" s="165" t="s">
        <v>2273</v>
      </c>
      <c r="G138" s="166">
        <v>40</v>
      </c>
      <c r="H138" s="167">
        <v>8</v>
      </c>
      <c r="I138" s="167">
        <v>1219.7430299999999</v>
      </c>
      <c r="J138" s="168">
        <v>1219.7430299999999</v>
      </c>
      <c r="K138" s="169">
        <v>12</v>
      </c>
      <c r="L138" s="167">
        <f t="shared" si="16"/>
        <v>0</v>
      </c>
      <c r="M138" s="170"/>
      <c r="N138" s="168"/>
      <c r="O138" s="170"/>
      <c r="P138" s="168"/>
      <c r="Q138" s="170"/>
      <c r="R138" s="168"/>
      <c r="S138" s="171"/>
      <c r="T138" s="168"/>
      <c r="U138" s="167"/>
      <c r="V138" s="168"/>
      <c r="W138" s="167"/>
      <c r="X138" s="168">
        <v>15</v>
      </c>
      <c r="Y138" s="167"/>
      <c r="Z138" s="168">
        <v>20</v>
      </c>
      <c r="AA138" s="167"/>
      <c r="AB138" s="172">
        <f>+Datos_Generales!$K$9</f>
        <v>3.6999999999999998E-2</v>
      </c>
      <c r="AC138" s="167"/>
      <c r="AD138" s="172">
        <v>0.33</v>
      </c>
      <c r="AE138" s="167"/>
      <c r="AF138" s="168">
        <v>18.36</v>
      </c>
      <c r="AG138" s="167"/>
      <c r="AH138" s="182"/>
      <c r="AI138" s="167"/>
      <c r="AJ138" s="182"/>
      <c r="AK138" s="167"/>
      <c r="AL138" s="170">
        <f t="shared" si="17"/>
        <v>1219.7430299999999</v>
      </c>
      <c r="AM138" s="170"/>
      <c r="AN138" s="170">
        <f t="shared" si="18"/>
        <v>53.36</v>
      </c>
      <c r="AO138" s="170"/>
      <c r="AP138" s="170">
        <f t="shared" si="19"/>
        <v>60.023554506299988</v>
      </c>
      <c r="AQ138" s="170"/>
      <c r="AR138" s="170">
        <f t="shared" si="20"/>
        <v>402.51519989999997</v>
      </c>
      <c r="AS138" s="170"/>
      <c r="AT138" s="170" t="e">
        <f>+(N138+P138)+((X138+Z138+AF138)/Datos_Generales!$E$15)</f>
        <v>#DIV/0!</v>
      </c>
      <c r="AU138" s="199"/>
      <c r="AV138" s="199">
        <f t="shared" si="21"/>
        <v>1622.2582298999998</v>
      </c>
      <c r="AW138" s="199"/>
      <c r="AX138" s="173" t="e">
        <f t="shared" si="15"/>
        <v>#DIV/0!</v>
      </c>
    </row>
    <row r="139" spans="1:50" x14ac:dyDescent="0.2">
      <c r="A139" s="161" t="s">
        <v>2313</v>
      </c>
      <c r="B139" s="183">
        <v>2025</v>
      </c>
      <c r="C139" s="163">
        <v>0</v>
      </c>
      <c r="D139" s="163">
        <v>1794</v>
      </c>
      <c r="E139" s="164" t="s">
        <v>1063</v>
      </c>
      <c r="F139" s="165">
        <v>1</v>
      </c>
      <c r="G139" s="166">
        <v>40</v>
      </c>
      <c r="H139" s="167">
        <v>8</v>
      </c>
      <c r="I139" s="167">
        <f>1251.77*1.02</f>
        <v>1276.8054</v>
      </c>
      <c r="J139" s="168">
        <v>1276.8054</v>
      </c>
      <c r="K139" s="169">
        <v>15</v>
      </c>
      <c r="L139" s="167">
        <f t="shared" si="16"/>
        <v>319.20134999999999</v>
      </c>
      <c r="M139" s="170"/>
      <c r="N139" s="168"/>
      <c r="O139" s="170"/>
      <c r="P139" s="168"/>
      <c r="Q139" s="170"/>
      <c r="R139" s="168"/>
      <c r="S139" s="171"/>
      <c r="T139" s="168"/>
      <c r="U139" s="167"/>
      <c r="V139" s="168"/>
      <c r="W139" s="167"/>
      <c r="X139" s="168">
        <v>15</v>
      </c>
      <c r="Y139" s="167"/>
      <c r="Z139" s="168">
        <v>20</v>
      </c>
      <c r="AA139" s="167"/>
      <c r="AB139" s="172">
        <f>+Datos_Generales!$K$9</f>
        <v>3.6999999999999998E-2</v>
      </c>
      <c r="AC139" s="167"/>
      <c r="AD139" s="172">
        <v>0.33</v>
      </c>
      <c r="AE139" s="167"/>
      <c r="AF139" s="168">
        <v>18.36</v>
      </c>
      <c r="AG139" s="167"/>
      <c r="AH139" s="182"/>
      <c r="AI139" s="167"/>
      <c r="AJ139" s="182"/>
      <c r="AK139" s="167"/>
      <c r="AL139" s="170">
        <f t="shared" si="17"/>
        <v>1596.00675</v>
      </c>
      <c r="AM139" s="170"/>
      <c r="AN139" s="170">
        <f t="shared" si="18"/>
        <v>53.36</v>
      </c>
      <c r="AO139" s="170"/>
      <c r="AP139" s="170">
        <f t="shared" si="19"/>
        <v>78.539492167500001</v>
      </c>
      <c r="AQ139" s="170"/>
      <c r="AR139" s="170">
        <f t="shared" si="20"/>
        <v>526.68222750000007</v>
      </c>
      <c r="AS139" s="170"/>
      <c r="AT139" s="170" t="e">
        <f>+(N139+P139)+((X139+Z139+AF139)/Datos_Generales!$E$15)</f>
        <v>#DIV/0!</v>
      </c>
      <c r="AU139" s="199"/>
      <c r="AV139" s="199">
        <f t="shared" si="21"/>
        <v>2122.6889775</v>
      </c>
      <c r="AW139" s="199"/>
      <c r="AX139" s="173" t="e">
        <f t="shared" si="15"/>
        <v>#DIV/0!</v>
      </c>
    </row>
    <row r="140" spans="1:50" x14ac:dyDescent="0.2">
      <c r="A140" s="161" t="s">
        <v>2313</v>
      </c>
      <c r="B140" s="183">
        <v>2025</v>
      </c>
      <c r="C140" s="163"/>
      <c r="D140" s="163"/>
      <c r="E140" s="164" t="s">
        <v>2268</v>
      </c>
      <c r="F140" s="165">
        <v>1</v>
      </c>
      <c r="G140" s="166">
        <v>40</v>
      </c>
      <c r="H140" s="167">
        <v>8</v>
      </c>
      <c r="I140" s="167">
        <f>1251.77*1.02</f>
        <v>1276.8054</v>
      </c>
      <c r="J140" s="168">
        <v>1276.8054</v>
      </c>
      <c r="K140" s="169">
        <v>15</v>
      </c>
      <c r="L140" s="167">
        <f t="shared" si="16"/>
        <v>319.20134999999999</v>
      </c>
      <c r="M140" s="170"/>
      <c r="N140" s="168"/>
      <c r="O140" s="170"/>
      <c r="P140" s="168"/>
      <c r="Q140" s="170"/>
      <c r="R140" s="168"/>
      <c r="S140" s="171"/>
      <c r="T140" s="168"/>
      <c r="U140" s="167"/>
      <c r="V140" s="168"/>
      <c r="W140" s="167"/>
      <c r="X140" s="168">
        <v>15</v>
      </c>
      <c r="Y140" s="167"/>
      <c r="Z140" s="168">
        <v>20</v>
      </c>
      <c r="AA140" s="167"/>
      <c r="AB140" s="172">
        <f>+Datos_Generales!$K$9</f>
        <v>3.6999999999999998E-2</v>
      </c>
      <c r="AC140" s="167"/>
      <c r="AD140" s="172">
        <v>0.33</v>
      </c>
      <c r="AE140" s="167"/>
      <c r="AF140" s="168">
        <v>18.36</v>
      </c>
      <c r="AG140" s="167"/>
      <c r="AH140" s="182"/>
      <c r="AI140" s="167"/>
      <c r="AJ140" s="182"/>
      <c r="AK140" s="167"/>
      <c r="AL140" s="170">
        <f t="shared" si="17"/>
        <v>1596.00675</v>
      </c>
      <c r="AM140" s="170"/>
      <c r="AN140" s="170">
        <f t="shared" si="18"/>
        <v>53.36</v>
      </c>
      <c r="AO140" s="170"/>
      <c r="AP140" s="170">
        <f t="shared" si="19"/>
        <v>78.539492167500001</v>
      </c>
      <c r="AQ140" s="170"/>
      <c r="AR140" s="170">
        <f t="shared" si="20"/>
        <v>526.68222750000007</v>
      </c>
      <c r="AS140" s="170"/>
      <c r="AT140" s="170" t="e">
        <f>+(N140+P140)+((X140+Z140+AF140)/Datos_Generales!$E$15)</f>
        <v>#DIV/0!</v>
      </c>
      <c r="AU140" s="199"/>
      <c r="AV140" s="199">
        <f t="shared" si="21"/>
        <v>2122.6889775</v>
      </c>
      <c r="AW140" s="199"/>
      <c r="AX140" s="173" t="e">
        <f t="shared" si="15"/>
        <v>#DIV/0!</v>
      </c>
    </row>
    <row r="141" spans="1:50" x14ac:dyDescent="0.2">
      <c r="A141" s="161" t="s">
        <v>2313</v>
      </c>
      <c r="B141" s="183">
        <v>2025</v>
      </c>
      <c r="C141" s="163"/>
      <c r="D141" s="163"/>
      <c r="E141" s="164" t="s">
        <v>1065</v>
      </c>
      <c r="F141" s="165">
        <v>2</v>
      </c>
      <c r="G141" s="166">
        <v>40</v>
      </c>
      <c r="H141" s="167">
        <v>8</v>
      </c>
      <c r="I141" s="167">
        <f>1220.07*1.02</f>
        <v>1244.4713999999999</v>
      </c>
      <c r="J141" s="168">
        <v>1244.4713999999999</v>
      </c>
      <c r="K141" s="169">
        <v>15</v>
      </c>
      <c r="L141" s="167">
        <f t="shared" si="16"/>
        <v>311.11784999999998</v>
      </c>
      <c r="M141" s="170"/>
      <c r="N141" s="168"/>
      <c r="O141" s="170"/>
      <c r="P141" s="168"/>
      <c r="Q141" s="170"/>
      <c r="R141" s="168"/>
      <c r="S141" s="171"/>
      <c r="T141" s="168"/>
      <c r="U141" s="167"/>
      <c r="V141" s="168"/>
      <c r="W141" s="167"/>
      <c r="X141" s="168">
        <v>15</v>
      </c>
      <c r="Y141" s="167"/>
      <c r="Z141" s="168">
        <v>20</v>
      </c>
      <c r="AA141" s="167"/>
      <c r="AB141" s="172">
        <f>+Datos_Generales!$K$9</f>
        <v>3.6999999999999998E-2</v>
      </c>
      <c r="AC141" s="167"/>
      <c r="AD141" s="172">
        <v>0.33</v>
      </c>
      <c r="AE141" s="167"/>
      <c r="AF141" s="168">
        <v>18.36</v>
      </c>
      <c r="AG141" s="167"/>
      <c r="AH141" s="182"/>
      <c r="AI141" s="167"/>
      <c r="AJ141" s="182"/>
      <c r="AK141" s="167"/>
      <c r="AL141" s="170">
        <f t="shared" si="17"/>
        <v>1555.58925</v>
      </c>
      <c r="AM141" s="170"/>
      <c r="AN141" s="170">
        <f t="shared" si="18"/>
        <v>53.36</v>
      </c>
      <c r="AO141" s="170"/>
      <c r="AP141" s="170">
        <f t="shared" si="19"/>
        <v>76.550546992499989</v>
      </c>
      <c r="AQ141" s="170"/>
      <c r="AR141" s="170">
        <f t="shared" si="20"/>
        <v>513.34445249999999</v>
      </c>
      <c r="AS141" s="170"/>
      <c r="AT141" s="170" t="e">
        <f>+(N141+P141)+((X141+Z141+AF141)/Datos_Generales!$E$15)</f>
        <v>#DIV/0!</v>
      </c>
      <c r="AU141" s="199"/>
      <c r="AV141" s="199">
        <f t="shared" si="21"/>
        <v>2068.9337025</v>
      </c>
      <c r="AW141" s="199"/>
      <c r="AX141" s="173" t="e">
        <f t="shared" ref="AX141:AX204" si="22">+AL141+AT141+AP141+AR141</f>
        <v>#DIV/0!</v>
      </c>
    </row>
    <row r="142" spans="1:50" x14ac:dyDescent="0.2">
      <c r="A142" s="161" t="s">
        <v>2313</v>
      </c>
      <c r="B142" s="183">
        <v>2025</v>
      </c>
      <c r="C142" s="163"/>
      <c r="D142" s="163"/>
      <c r="E142" s="164" t="s">
        <v>1084</v>
      </c>
      <c r="F142" s="165">
        <v>3</v>
      </c>
      <c r="G142" s="166">
        <v>40</v>
      </c>
      <c r="H142" s="167">
        <v>8</v>
      </c>
      <c r="I142" s="167">
        <f>1190.24*1.02</f>
        <v>1214.0448000000001</v>
      </c>
      <c r="J142" s="168">
        <v>1214.0448000000001</v>
      </c>
      <c r="K142" s="169">
        <v>15</v>
      </c>
      <c r="L142" s="167">
        <f t="shared" si="16"/>
        <v>303.51120000000003</v>
      </c>
      <c r="M142" s="170"/>
      <c r="N142" s="168"/>
      <c r="O142" s="170"/>
      <c r="P142" s="168"/>
      <c r="Q142" s="170"/>
      <c r="R142" s="168"/>
      <c r="S142" s="171"/>
      <c r="T142" s="168"/>
      <c r="U142" s="167"/>
      <c r="V142" s="168"/>
      <c r="W142" s="167"/>
      <c r="X142" s="168">
        <v>15</v>
      </c>
      <c r="Y142" s="167"/>
      <c r="Z142" s="168">
        <v>20</v>
      </c>
      <c r="AA142" s="167"/>
      <c r="AB142" s="172">
        <f>+Datos_Generales!$K$9</f>
        <v>3.6999999999999998E-2</v>
      </c>
      <c r="AC142" s="167"/>
      <c r="AD142" s="172">
        <v>0.33</v>
      </c>
      <c r="AE142" s="167"/>
      <c r="AF142" s="168">
        <v>18.36</v>
      </c>
      <c r="AG142" s="167"/>
      <c r="AH142" s="182"/>
      <c r="AI142" s="167"/>
      <c r="AJ142" s="182"/>
      <c r="AK142" s="167"/>
      <c r="AL142" s="170">
        <f t="shared" si="17"/>
        <v>1517.556</v>
      </c>
      <c r="AM142" s="170"/>
      <c r="AN142" s="170">
        <f t="shared" si="18"/>
        <v>53.36</v>
      </c>
      <c r="AO142" s="170"/>
      <c r="AP142" s="170">
        <f t="shared" si="19"/>
        <v>74.67893076</v>
      </c>
      <c r="AQ142" s="170"/>
      <c r="AR142" s="170">
        <f t="shared" si="20"/>
        <v>500.79348000000005</v>
      </c>
      <c r="AS142" s="170"/>
      <c r="AT142" s="170" t="e">
        <f>+(N142+P142)+((X142+Z142+AF142)/Datos_Generales!$E$15)</f>
        <v>#DIV/0!</v>
      </c>
      <c r="AU142" s="199"/>
      <c r="AV142" s="199">
        <f t="shared" si="21"/>
        <v>2018.3494800000001</v>
      </c>
      <c r="AW142" s="199"/>
      <c r="AX142" s="173" t="e">
        <f t="shared" si="22"/>
        <v>#DIV/0!</v>
      </c>
    </row>
    <row r="143" spans="1:50" x14ac:dyDescent="0.2">
      <c r="A143" s="161" t="s">
        <v>2313</v>
      </c>
      <c r="B143" s="183">
        <v>2025</v>
      </c>
      <c r="C143" s="163"/>
      <c r="D143" s="163"/>
      <c r="E143" s="164" t="s">
        <v>1067</v>
      </c>
      <c r="F143" s="165">
        <v>3</v>
      </c>
      <c r="G143" s="166">
        <v>40</v>
      </c>
      <c r="H143" s="167">
        <v>8</v>
      </c>
      <c r="I143" s="167">
        <f>1190.24*1.02</f>
        <v>1214.0448000000001</v>
      </c>
      <c r="J143" s="168">
        <v>1214.0448000000001</v>
      </c>
      <c r="K143" s="169">
        <v>15</v>
      </c>
      <c r="L143" s="167">
        <f t="shared" si="16"/>
        <v>303.51120000000003</v>
      </c>
      <c r="M143" s="170"/>
      <c r="N143" s="168"/>
      <c r="O143" s="170"/>
      <c r="P143" s="168"/>
      <c r="Q143" s="170"/>
      <c r="R143" s="168"/>
      <c r="S143" s="171"/>
      <c r="T143" s="168"/>
      <c r="U143" s="167"/>
      <c r="V143" s="168"/>
      <c r="W143" s="167"/>
      <c r="X143" s="168">
        <v>15</v>
      </c>
      <c r="Y143" s="167"/>
      <c r="Z143" s="168">
        <v>20</v>
      </c>
      <c r="AA143" s="167"/>
      <c r="AB143" s="172">
        <f>+Datos_Generales!$K$9</f>
        <v>3.6999999999999998E-2</v>
      </c>
      <c r="AC143" s="167"/>
      <c r="AD143" s="172">
        <v>0.33</v>
      </c>
      <c r="AE143" s="167"/>
      <c r="AF143" s="168">
        <v>18.36</v>
      </c>
      <c r="AG143" s="167"/>
      <c r="AH143" s="182"/>
      <c r="AI143" s="167"/>
      <c r="AJ143" s="182"/>
      <c r="AK143" s="167"/>
      <c r="AL143" s="170">
        <f t="shared" si="17"/>
        <v>1517.556</v>
      </c>
      <c r="AM143" s="170"/>
      <c r="AN143" s="170">
        <f t="shared" si="18"/>
        <v>53.36</v>
      </c>
      <c r="AO143" s="170"/>
      <c r="AP143" s="170">
        <f t="shared" si="19"/>
        <v>74.67893076</v>
      </c>
      <c r="AQ143" s="170"/>
      <c r="AR143" s="170">
        <f t="shared" si="20"/>
        <v>500.79348000000005</v>
      </c>
      <c r="AS143" s="170"/>
      <c r="AT143" s="170" t="e">
        <f>+(N143+P143)+((X143+Z143+AF143)/Datos_Generales!$E$15)</f>
        <v>#DIV/0!</v>
      </c>
      <c r="AU143" s="199"/>
      <c r="AV143" s="199">
        <f t="shared" si="21"/>
        <v>2018.3494800000001</v>
      </c>
      <c r="AW143" s="199"/>
      <c r="AX143" s="173" t="e">
        <f t="shared" si="22"/>
        <v>#DIV/0!</v>
      </c>
    </row>
    <row r="144" spans="1:50" x14ac:dyDescent="0.2">
      <c r="A144" s="161" t="s">
        <v>2313</v>
      </c>
      <c r="B144" s="183">
        <v>2025</v>
      </c>
      <c r="C144" s="163"/>
      <c r="D144" s="163"/>
      <c r="E144" s="164" t="s">
        <v>1069</v>
      </c>
      <c r="F144" s="165">
        <v>4</v>
      </c>
      <c r="G144" s="166">
        <v>40</v>
      </c>
      <c r="H144" s="167">
        <v>8</v>
      </c>
      <c r="I144" s="167">
        <f>1114.71*1.02</f>
        <v>1137.0042000000001</v>
      </c>
      <c r="J144" s="168">
        <v>1137.0042000000001</v>
      </c>
      <c r="K144" s="169">
        <v>15</v>
      </c>
      <c r="L144" s="167">
        <f t="shared" si="16"/>
        <v>284.25105000000002</v>
      </c>
      <c r="M144" s="170"/>
      <c r="N144" s="168"/>
      <c r="O144" s="170"/>
      <c r="P144" s="168"/>
      <c r="Q144" s="170"/>
      <c r="R144" s="168"/>
      <c r="S144" s="171"/>
      <c r="T144" s="168"/>
      <c r="U144" s="167"/>
      <c r="V144" s="168"/>
      <c r="W144" s="167"/>
      <c r="X144" s="168">
        <v>15</v>
      </c>
      <c r="Y144" s="167"/>
      <c r="Z144" s="168">
        <v>20</v>
      </c>
      <c r="AA144" s="167"/>
      <c r="AB144" s="172">
        <f>+Datos_Generales!$K$9</f>
        <v>3.6999999999999998E-2</v>
      </c>
      <c r="AC144" s="167"/>
      <c r="AD144" s="172">
        <v>0.33</v>
      </c>
      <c r="AE144" s="167"/>
      <c r="AF144" s="168">
        <v>18.36</v>
      </c>
      <c r="AG144" s="167"/>
      <c r="AH144" s="182"/>
      <c r="AI144" s="167"/>
      <c r="AJ144" s="182"/>
      <c r="AK144" s="167"/>
      <c r="AL144" s="170">
        <f t="shared" si="17"/>
        <v>1421.2552500000002</v>
      </c>
      <c r="AM144" s="170"/>
      <c r="AN144" s="170">
        <f t="shared" si="18"/>
        <v>53.36</v>
      </c>
      <c r="AO144" s="170"/>
      <c r="AP144" s="170">
        <f t="shared" si="19"/>
        <v>69.939970852500011</v>
      </c>
      <c r="AQ144" s="170"/>
      <c r="AR144" s="170">
        <f t="shared" si="20"/>
        <v>469.01423250000005</v>
      </c>
      <c r="AS144" s="170"/>
      <c r="AT144" s="170" t="e">
        <f>+(N144+P144)+((X144+Z144+AF144)/Datos_Generales!$E$15)</f>
        <v>#DIV/0!</v>
      </c>
      <c r="AU144" s="199"/>
      <c r="AV144" s="199">
        <f t="shared" si="21"/>
        <v>1890.2694825000003</v>
      </c>
      <c r="AW144" s="199"/>
      <c r="AX144" s="173" t="e">
        <f t="shared" si="22"/>
        <v>#DIV/0!</v>
      </c>
    </row>
    <row r="145" spans="1:50" x14ac:dyDescent="0.2">
      <c r="A145" s="161" t="s">
        <v>2313</v>
      </c>
      <c r="B145" s="183">
        <v>2025</v>
      </c>
      <c r="C145" s="163"/>
      <c r="D145" s="163"/>
      <c r="E145" s="164" t="s">
        <v>1084</v>
      </c>
      <c r="F145" s="165">
        <v>4</v>
      </c>
      <c r="G145" s="166">
        <v>40</v>
      </c>
      <c r="H145" s="167">
        <v>8</v>
      </c>
      <c r="I145" s="167">
        <f>1114.71*1.02</f>
        <v>1137.0042000000001</v>
      </c>
      <c r="J145" s="168">
        <v>1137.0042000000001</v>
      </c>
      <c r="K145" s="169">
        <v>15</v>
      </c>
      <c r="L145" s="167">
        <f t="shared" si="16"/>
        <v>284.25105000000002</v>
      </c>
      <c r="M145" s="170"/>
      <c r="N145" s="168"/>
      <c r="O145" s="170"/>
      <c r="P145" s="168"/>
      <c r="Q145" s="170"/>
      <c r="R145" s="168"/>
      <c r="S145" s="171"/>
      <c r="T145" s="168"/>
      <c r="U145" s="167"/>
      <c r="V145" s="168"/>
      <c r="W145" s="167"/>
      <c r="X145" s="168">
        <v>15</v>
      </c>
      <c r="Y145" s="167"/>
      <c r="Z145" s="168">
        <v>20</v>
      </c>
      <c r="AA145" s="167"/>
      <c r="AB145" s="172">
        <f>+Datos_Generales!$K$9</f>
        <v>3.6999999999999998E-2</v>
      </c>
      <c r="AC145" s="167"/>
      <c r="AD145" s="172">
        <v>0.33</v>
      </c>
      <c r="AE145" s="167"/>
      <c r="AF145" s="168">
        <v>18.36</v>
      </c>
      <c r="AG145" s="167"/>
      <c r="AH145" s="182"/>
      <c r="AI145" s="167"/>
      <c r="AJ145" s="182"/>
      <c r="AK145" s="167"/>
      <c r="AL145" s="170">
        <f t="shared" si="17"/>
        <v>1421.2552500000002</v>
      </c>
      <c r="AM145" s="170"/>
      <c r="AN145" s="170">
        <f t="shared" si="18"/>
        <v>53.36</v>
      </c>
      <c r="AO145" s="170"/>
      <c r="AP145" s="170">
        <f t="shared" si="19"/>
        <v>69.939970852500011</v>
      </c>
      <c r="AQ145" s="170"/>
      <c r="AR145" s="170">
        <f t="shared" si="20"/>
        <v>469.01423250000005</v>
      </c>
      <c r="AS145" s="170"/>
      <c r="AT145" s="170" t="e">
        <f>+(N145+P145)+((X145+Z145+AF145)/Datos_Generales!$E$15)</f>
        <v>#DIV/0!</v>
      </c>
      <c r="AU145" s="199"/>
      <c r="AV145" s="199">
        <f t="shared" si="21"/>
        <v>1890.2694825000003</v>
      </c>
      <c r="AW145" s="199"/>
      <c r="AX145" s="173" t="e">
        <f t="shared" si="22"/>
        <v>#DIV/0!</v>
      </c>
    </row>
    <row r="146" spans="1:50" x14ac:dyDescent="0.2">
      <c r="A146" s="161" t="s">
        <v>2313</v>
      </c>
      <c r="B146" s="183">
        <v>2025</v>
      </c>
      <c r="C146" s="180"/>
      <c r="D146" s="175"/>
      <c r="E146" s="176" t="s">
        <v>1073</v>
      </c>
      <c r="F146" s="165">
        <v>4</v>
      </c>
      <c r="G146" s="166">
        <v>40</v>
      </c>
      <c r="H146" s="167">
        <v>8</v>
      </c>
      <c r="I146" s="167">
        <f>1114.71*1.02</f>
        <v>1137.0042000000001</v>
      </c>
      <c r="J146" s="168">
        <v>1137.0042000000001</v>
      </c>
      <c r="K146" s="169">
        <v>15</v>
      </c>
      <c r="L146" s="167">
        <f t="shared" si="16"/>
        <v>284.25105000000002</v>
      </c>
      <c r="M146" s="170"/>
      <c r="N146" s="168"/>
      <c r="O146" s="170"/>
      <c r="P146" s="168"/>
      <c r="Q146" s="170"/>
      <c r="R146" s="168"/>
      <c r="S146" s="171"/>
      <c r="T146" s="168"/>
      <c r="U146" s="167"/>
      <c r="V146" s="168"/>
      <c r="W146" s="167"/>
      <c r="X146" s="168">
        <v>15</v>
      </c>
      <c r="Y146" s="167"/>
      <c r="Z146" s="168">
        <v>20</v>
      </c>
      <c r="AA146" s="167"/>
      <c r="AB146" s="172">
        <f>+Datos_Generales!$K$9</f>
        <v>3.6999999999999998E-2</v>
      </c>
      <c r="AC146" s="167"/>
      <c r="AD146" s="172">
        <v>0.33</v>
      </c>
      <c r="AE146" s="167"/>
      <c r="AF146" s="168">
        <v>18.36</v>
      </c>
      <c r="AG146" s="167"/>
      <c r="AH146" s="182"/>
      <c r="AI146" s="167"/>
      <c r="AJ146" s="182"/>
      <c r="AK146" s="167"/>
      <c r="AL146" s="170">
        <f t="shared" si="17"/>
        <v>1421.2552500000002</v>
      </c>
      <c r="AM146" s="170"/>
      <c r="AN146" s="170">
        <f t="shared" si="18"/>
        <v>53.36</v>
      </c>
      <c r="AO146" s="170"/>
      <c r="AP146" s="170">
        <f t="shared" si="19"/>
        <v>69.939970852500011</v>
      </c>
      <c r="AQ146" s="170"/>
      <c r="AR146" s="170">
        <f t="shared" si="20"/>
        <v>469.01423250000005</v>
      </c>
      <c r="AS146" s="170"/>
      <c r="AT146" s="170" t="e">
        <f>+(N146+P146)+((X146+Z146+AF146)/Datos_Generales!$E$15)</f>
        <v>#DIV/0!</v>
      </c>
      <c r="AU146" s="199"/>
      <c r="AV146" s="199">
        <f t="shared" si="21"/>
        <v>1890.2694825000003</v>
      </c>
      <c r="AW146" s="199"/>
      <c r="AX146" s="173" t="e">
        <f t="shared" si="22"/>
        <v>#DIV/0!</v>
      </c>
    </row>
    <row r="147" spans="1:50" x14ac:dyDescent="0.2">
      <c r="A147" s="161" t="s">
        <v>2313</v>
      </c>
      <c r="B147" s="183">
        <v>2025</v>
      </c>
      <c r="C147" s="163"/>
      <c r="D147" s="163"/>
      <c r="E147" s="164" t="s">
        <v>2272</v>
      </c>
      <c r="F147" s="165" t="s">
        <v>2273</v>
      </c>
      <c r="G147" s="166">
        <v>40</v>
      </c>
      <c r="H147" s="167">
        <v>8</v>
      </c>
      <c r="I147" s="167">
        <v>1214.04</v>
      </c>
      <c r="J147" s="168">
        <v>1214.04</v>
      </c>
      <c r="K147" s="169">
        <v>12</v>
      </c>
      <c r="L147" s="167">
        <f t="shared" si="16"/>
        <v>0</v>
      </c>
      <c r="M147" s="170"/>
      <c r="N147" s="168"/>
      <c r="O147" s="170"/>
      <c r="P147" s="168"/>
      <c r="Q147" s="170"/>
      <c r="R147" s="168"/>
      <c r="S147" s="171"/>
      <c r="T147" s="168"/>
      <c r="U147" s="167"/>
      <c r="V147" s="168"/>
      <c r="W147" s="167"/>
      <c r="X147" s="168">
        <v>15</v>
      </c>
      <c r="Y147" s="167"/>
      <c r="Z147" s="168">
        <v>20</v>
      </c>
      <c r="AA147" s="167"/>
      <c r="AB147" s="172">
        <f>+Datos_Generales!$K$9</f>
        <v>3.6999999999999998E-2</v>
      </c>
      <c r="AC147" s="167"/>
      <c r="AD147" s="172">
        <v>0.33</v>
      </c>
      <c r="AE147" s="167"/>
      <c r="AF147" s="168">
        <v>18.36</v>
      </c>
      <c r="AG147" s="167"/>
      <c r="AH147" s="182"/>
      <c r="AI147" s="167"/>
      <c r="AJ147" s="182"/>
      <c r="AK147" s="167"/>
      <c r="AL147" s="170">
        <f t="shared" si="17"/>
        <v>1214.04</v>
      </c>
      <c r="AM147" s="170"/>
      <c r="AN147" s="170">
        <f t="shared" si="18"/>
        <v>53.36</v>
      </c>
      <c r="AO147" s="170"/>
      <c r="AP147" s="170">
        <f t="shared" si="19"/>
        <v>59.742908399999997</v>
      </c>
      <c r="AQ147" s="170"/>
      <c r="AR147" s="170">
        <f t="shared" si="20"/>
        <v>400.63319999999999</v>
      </c>
      <c r="AS147" s="170"/>
      <c r="AT147" s="170" t="e">
        <f>+(N147+P147)+((X147+Z147+AF147)/Datos_Generales!$E$15)</f>
        <v>#DIV/0!</v>
      </c>
      <c r="AU147" s="199"/>
      <c r="AV147" s="199">
        <f t="shared" si="21"/>
        <v>1614.6732</v>
      </c>
      <c r="AW147" s="199"/>
      <c r="AX147" s="173" t="e">
        <f t="shared" si="22"/>
        <v>#DIV/0!</v>
      </c>
    </row>
    <row r="148" spans="1:50" x14ac:dyDescent="0.2">
      <c r="A148" s="161" t="s">
        <v>2313</v>
      </c>
      <c r="B148" s="183">
        <v>2025</v>
      </c>
      <c r="C148" s="163"/>
      <c r="D148" s="163"/>
      <c r="E148" s="164" t="s">
        <v>2314</v>
      </c>
      <c r="F148" s="165">
        <v>5</v>
      </c>
      <c r="G148" s="166">
        <v>40</v>
      </c>
      <c r="H148" s="167">
        <v>8</v>
      </c>
      <c r="I148" s="167">
        <f>1114.71*1.052</f>
        <v>1172.6749200000002</v>
      </c>
      <c r="J148" s="168">
        <v>1172.6749200000002</v>
      </c>
      <c r="K148" s="169">
        <v>15</v>
      </c>
      <c r="L148" s="167">
        <f t="shared" si="16"/>
        <v>293.16873000000004</v>
      </c>
      <c r="M148" s="170"/>
      <c r="N148" s="168"/>
      <c r="O148" s="170"/>
      <c r="P148" s="168"/>
      <c r="Q148" s="170"/>
      <c r="R148" s="168"/>
      <c r="S148" s="171"/>
      <c r="T148" s="168"/>
      <c r="U148" s="167"/>
      <c r="V148" s="168"/>
      <c r="W148" s="167"/>
      <c r="X148" s="168">
        <v>15</v>
      </c>
      <c r="Y148" s="167"/>
      <c r="Z148" s="168">
        <v>20</v>
      </c>
      <c r="AA148" s="167"/>
      <c r="AB148" s="172">
        <f>+Datos_Generales!$K$9</f>
        <v>3.6999999999999998E-2</v>
      </c>
      <c r="AC148" s="167"/>
      <c r="AD148" s="172">
        <v>0.33</v>
      </c>
      <c r="AE148" s="167"/>
      <c r="AF148" s="168">
        <v>18.36</v>
      </c>
      <c r="AG148" s="167"/>
      <c r="AH148" s="182"/>
      <c r="AI148" s="167"/>
      <c r="AJ148" s="182"/>
      <c r="AK148" s="167"/>
      <c r="AL148" s="170">
        <f t="shared" si="17"/>
        <v>1465.8436500000003</v>
      </c>
      <c r="AM148" s="170"/>
      <c r="AN148" s="170">
        <f t="shared" si="18"/>
        <v>53.36</v>
      </c>
      <c r="AO148" s="170"/>
      <c r="AP148" s="170">
        <f t="shared" si="19"/>
        <v>72.134166016500004</v>
      </c>
      <c r="AQ148" s="170"/>
      <c r="AR148" s="170">
        <f t="shared" si="20"/>
        <v>483.72840450000012</v>
      </c>
      <c r="AS148" s="170"/>
      <c r="AT148" s="170" t="e">
        <f>+(N148+P148)+((X148+Z148+AF148)/Datos_Generales!$E$15)</f>
        <v>#DIV/0!</v>
      </c>
      <c r="AU148" s="199"/>
      <c r="AV148" s="199">
        <f t="shared" si="21"/>
        <v>1949.5720545000004</v>
      </c>
      <c r="AW148" s="199"/>
      <c r="AX148" s="173" t="e">
        <f t="shared" si="22"/>
        <v>#DIV/0!</v>
      </c>
    </row>
    <row r="149" spans="1:50" x14ac:dyDescent="0.2">
      <c r="A149" s="161" t="s">
        <v>2313</v>
      </c>
      <c r="B149" s="183">
        <v>2025</v>
      </c>
      <c r="C149" s="163"/>
      <c r="D149" s="163"/>
      <c r="E149" s="164" t="s">
        <v>1236</v>
      </c>
      <c r="F149" s="165">
        <v>5</v>
      </c>
      <c r="G149" s="166">
        <v>40</v>
      </c>
      <c r="H149" s="167">
        <v>8</v>
      </c>
      <c r="I149" s="167">
        <f>1114.71*1.052</f>
        <v>1172.6749200000002</v>
      </c>
      <c r="J149" s="168">
        <v>1172.6749200000002</v>
      </c>
      <c r="K149" s="169">
        <v>15</v>
      </c>
      <c r="L149" s="167">
        <f t="shared" si="16"/>
        <v>293.16873000000004</v>
      </c>
      <c r="M149" s="170"/>
      <c r="N149" s="168"/>
      <c r="O149" s="170"/>
      <c r="P149" s="168"/>
      <c r="Q149" s="170"/>
      <c r="R149" s="168"/>
      <c r="S149" s="171"/>
      <c r="T149" s="168"/>
      <c r="U149" s="167"/>
      <c r="V149" s="168"/>
      <c r="W149" s="167"/>
      <c r="X149" s="168">
        <v>15</v>
      </c>
      <c r="Y149" s="167"/>
      <c r="Z149" s="168">
        <v>20</v>
      </c>
      <c r="AA149" s="167"/>
      <c r="AB149" s="172">
        <f>+Datos_Generales!$K$9</f>
        <v>3.6999999999999998E-2</v>
      </c>
      <c r="AC149" s="167"/>
      <c r="AD149" s="172">
        <v>0.33</v>
      </c>
      <c r="AE149" s="167"/>
      <c r="AF149" s="168">
        <v>18.36</v>
      </c>
      <c r="AG149" s="167"/>
      <c r="AH149" s="182"/>
      <c r="AI149" s="167"/>
      <c r="AJ149" s="182"/>
      <c r="AK149" s="167"/>
      <c r="AL149" s="170">
        <f t="shared" si="17"/>
        <v>1465.8436500000003</v>
      </c>
      <c r="AM149" s="170"/>
      <c r="AN149" s="170">
        <f t="shared" si="18"/>
        <v>53.36</v>
      </c>
      <c r="AO149" s="170"/>
      <c r="AP149" s="170">
        <f t="shared" si="19"/>
        <v>72.134166016500004</v>
      </c>
      <c r="AQ149" s="170"/>
      <c r="AR149" s="170">
        <f t="shared" si="20"/>
        <v>483.72840450000012</v>
      </c>
      <c r="AS149" s="170"/>
      <c r="AT149" s="170" t="e">
        <f>+(N149+P149)+((X149+Z149+AF149)/Datos_Generales!$E$15)</f>
        <v>#DIV/0!</v>
      </c>
      <c r="AU149" s="199"/>
      <c r="AV149" s="199">
        <f t="shared" si="21"/>
        <v>1949.5720545000004</v>
      </c>
      <c r="AW149" s="199"/>
      <c r="AX149" s="173" t="e">
        <f t="shared" si="22"/>
        <v>#DIV/0!</v>
      </c>
    </row>
    <row r="150" spans="1:50" x14ac:dyDescent="0.2">
      <c r="A150" s="161" t="s">
        <v>2313</v>
      </c>
      <c r="B150" s="183">
        <v>2025</v>
      </c>
      <c r="C150" s="163"/>
      <c r="D150" s="163"/>
      <c r="E150" s="164" t="s">
        <v>2271</v>
      </c>
      <c r="F150" s="165">
        <v>5</v>
      </c>
      <c r="G150" s="166">
        <v>40</v>
      </c>
      <c r="H150" s="167">
        <v>8</v>
      </c>
      <c r="I150" s="167">
        <f>1114.71*1.052</f>
        <v>1172.6749200000002</v>
      </c>
      <c r="J150" s="168">
        <v>1172.6749200000002</v>
      </c>
      <c r="K150" s="169">
        <v>15</v>
      </c>
      <c r="L150" s="167">
        <f t="shared" si="16"/>
        <v>293.16873000000004</v>
      </c>
      <c r="M150" s="170"/>
      <c r="N150" s="168"/>
      <c r="O150" s="170"/>
      <c r="P150" s="168"/>
      <c r="Q150" s="170"/>
      <c r="R150" s="168"/>
      <c r="S150" s="171"/>
      <c r="T150" s="168"/>
      <c r="U150" s="167"/>
      <c r="V150" s="168"/>
      <c r="W150" s="167"/>
      <c r="X150" s="168">
        <v>15</v>
      </c>
      <c r="Y150" s="167"/>
      <c r="Z150" s="168">
        <v>20</v>
      </c>
      <c r="AA150" s="167"/>
      <c r="AB150" s="172">
        <f>+Datos_Generales!$K$9</f>
        <v>3.6999999999999998E-2</v>
      </c>
      <c r="AC150" s="167"/>
      <c r="AD150" s="172">
        <v>0.33</v>
      </c>
      <c r="AE150" s="167"/>
      <c r="AF150" s="168">
        <v>18.36</v>
      </c>
      <c r="AG150" s="167"/>
      <c r="AH150" s="182"/>
      <c r="AI150" s="167"/>
      <c r="AJ150" s="182"/>
      <c r="AK150" s="167"/>
      <c r="AL150" s="170">
        <f t="shared" si="17"/>
        <v>1465.8436500000003</v>
      </c>
      <c r="AM150" s="170"/>
      <c r="AN150" s="170">
        <f t="shared" si="18"/>
        <v>53.36</v>
      </c>
      <c r="AO150" s="170"/>
      <c r="AP150" s="170">
        <f t="shared" si="19"/>
        <v>72.134166016500004</v>
      </c>
      <c r="AQ150" s="170"/>
      <c r="AR150" s="170">
        <f t="shared" si="20"/>
        <v>483.72840450000012</v>
      </c>
      <c r="AS150" s="170"/>
      <c r="AT150" s="170" t="e">
        <f>+(N150+P150)+((X150+Z150+AF150)/Datos_Generales!$E$15)</f>
        <v>#DIV/0!</v>
      </c>
      <c r="AU150" s="199"/>
      <c r="AV150" s="199">
        <f t="shared" si="21"/>
        <v>1949.5720545000004</v>
      </c>
      <c r="AW150" s="199"/>
      <c r="AX150" s="173" t="e">
        <f t="shared" si="22"/>
        <v>#DIV/0!</v>
      </c>
    </row>
    <row r="151" spans="1:50" x14ac:dyDescent="0.2">
      <c r="A151" s="161" t="s">
        <v>2313</v>
      </c>
      <c r="B151" s="183">
        <v>2025</v>
      </c>
      <c r="C151" s="163"/>
      <c r="D151" s="163"/>
      <c r="E151" s="164" t="s">
        <v>2315</v>
      </c>
      <c r="F151" s="165">
        <v>5</v>
      </c>
      <c r="G151" s="166">
        <v>40</v>
      </c>
      <c r="H151" s="167">
        <v>8</v>
      </c>
      <c r="I151" s="167">
        <f>1114.71*1.052</f>
        <v>1172.6749200000002</v>
      </c>
      <c r="J151" s="168">
        <v>1172.6749200000002</v>
      </c>
      <c r="K151" s="169">
        <v>15</v>
      </c>
      <c r="L151" s="167">
        <f t="shared" si="16"/>
        <v>293.16873000000004</v>
      </c>
      <c r="M151" s="170"/>
      <c r="N151" s="168"/>
      <c r="O151" s="170"/>
      <c r="P151" s="168"/>
      <c r="Q151" s="170"/>
      <c r="R151" s="168"/>
      <c r="S151" s="171"/>
      <c r="T151" s="168"/>
      <c r="U151" s="167"/>
      <c r="V151" s="168"/>
      <c r="W151" s="167"/>
      <c r="X151" s="168">
        <v>15</v>
      </c>
      <c r="Y151" s="167"/>
      <c r="Z151" s="168">
        <v>20</v>
      </c>
      <c r="AA151" s="167"/>
      <c r="AB151" s="172">
        <f>+Datos_Generales!$K$9</f>
        <v>3.6999999999999998E-2</v>
      </c>
      <c r="AC151" s="167"/>
      <c r="AD151" s="172">
        <v>0.33</v>
      </c>
      <c r="AE151" s="167"/>
      <c r="AF151" s="168">
        <v>18.36</v>
      </c>
      <c r="AG151" s="167"/>
      <c r="AH151" s="182"/>
      <c r="AI151" s="167"/>
      <c r="AJ151" s="182"/>
      <c r="AK151" s="167"/>
      <c r="AL151" s="170">
        <f t="shared" si="17"/>
        <v>1465.8436500000003</v>
      </c>
      <c r="AM151" s="170"/>
      <c r="AN151" s="170">
        <f t="shared" si="18"/>
        <v>53.36</v>
      </c>
      <c r="AO151" s="170"/>
      <c r="AP151" s="170">
        <f t="shared" si="19"/>
        <v>72.134166016500004</v>
      </c>
      <c r="AQ151" s="170"/>
      <c r="AR151" s="170">
        <f t="shared" si="20"/>
        <v>483.72840450000012</v>
      </c>
      <c r="AS151" s="170"/>
      <c r="AT151" s="170" t="e">
        <f>+(N151+P151)+((X151+Z151+AF151)/Datos_Generales!$E$15)</f>
        <v>#DIV/0!</v>
      </c>
      <c r="AU151" s="199"/>
      <c r="AV151" s="199">
        <f t="shared" si="21"/>
        <v>1949.5720545000004</v>
      </c>
      <c r="AW151" s="199"/>
      <c r="AX151" s="173" t="e">
        <f t="shared" si="22"/>
        <v>#DIV/0!</v>
      </c>
    </row>
    <row r="152" spans="1:50" x14ac:dyDescent="0.2">
      <c r="A152" s="161" t="s">
        <v>2316</v>
      </c>
      <c r="B152" s="162">
        <v>2019</v>
      </c>
      <c r="C152" s="163">
        <v>0</v>
      </c>
      <c r="D152" s="163">
        <v>1794</v>
      </c>
      <c r="E152" s="164" t="s">
        <v>1063</v>
      </c>
      <c r="F152" s="165">
        <v>1</v>
      </c>
      <c r="G152" s="166">
        <v>40</v>
      </c>
      <c r="H152" s="167">
        <v>8</v>
      </c>
      <c r="I152" s="167">
        <v>1018.42155</v>
      </c>
      <c r="J152" s="168">
        <v>1018.42155</v>
      </c>
      <c r="K152" s="169">
        <v>15</v>
      </c>
      <c r="L152" s="167">
        <f t="shared" si="16"/>
        <v>254.60538750000001</v>
      </c>
      <c r="M152" s="170">
        <v>12</v>
      </c>
      <c r="N152" s="168">
        <v>67.125</v>
      </c>
      <c r="O152" s="170">
        <v>12</v>
      </c>
      <c r="P152" s="168">
        <v>27.375</v>
      </c>
      <c r="Q152" s="170"/>
      <c r="R152" s="168"/>
      <c r="S152" s="171"/>
      <c r="T152" s="168"/>
      <c r="U152" s="167"/>
      <c r="V152" s="168"/>
      <c r="W152" s="167"/>
      <c r="X152" s="168">
        <v>15</v>
      </c>
      <c r="Y152" s="167"/>
      <c r="Z152" s="168">
        <v>20</v>
      </c>
      <c r="AA152" s="167"/>
      <c r="AB152" s="172">
        <f>+Datos_Generales!$K$9</f>
        <v>3.6999999999999998E-2</v>
      </c>
      <c r="AC152" s="167"/>
      <c r="AD152" s="172">
        <v>0.33</v>
      </c>
      <c r="AE152" s="167"/>
      <c r="AF152" s="168">
        <v>18.36</v>
      </c>
      <c r="AG152" s="167"/>
      <c r="AH152" s="182"/>
      <c r="AI152" s="167"/>
      <c r="AJ152" s="182"/>
      <c r="AK152" s="167"/>
      <c r="AL152" s="170">
        <f t="shared" si="17"/>
        <v>1273.0269375</v>
      </c>
      <c r="AM152" s="170"/>
      <c r="AN152" s="170">
        <f t="shared" si="18"/>
        <v>147.86000000000001</v>
      </c>
      <c r="AO152" s="170"/>
      <c r="AP152" s="170">
        <f t="shared" si="19"/>
        <v>62.645655594375</v>
      </c>
      <c r="AQ152" s="170"/>
      <c r="AR152" s="170">
        <f t="shared" si="20"/>
        <v>420.09888937500006</v>
      </c>
      <c r="AS152" s="170"/>
      <c r="AT152" s="170" t="e">
        <f>+(N152+P152)+((X152+Z152+AF152)/Datos_Generales!$E$15)</f>
        <v>#DIV/0!</v>
      </c>
      <c r="AU152" s="199"/>
      <c r="AV152" s="199">
        <f t="shared" si="21"/>
        <v>1693.125826875</v>
      </c>
      <c r="AW152" s="199"/>
      <c r="AX152" s="173" t="e">
        <f t="shared" si="22"/>
        <v>#DIV/0!</v>
      </c>
    </row>
    <row r="153" spans="1:50" x14ac:dyDescent="0.2">
      <c r="A153" s="161" t="s">
        <v>2316</v>
      </c>
      <c r="B153" s="162">
        <v>2019</v>
      </c>
      <c r="C153" s="163"/>
      <c r="D153" s="163"/>
      <c r="E153" s="164" t="s">
        <v>1065</v>
      </c>
      <c r="F153" s="165">
        <v>1</v>
      </c>
      <c r="G153" s="166">
        <v>40</v>
      </c>
      <c r="H153" s="167">
        <v>8</v>
      </c>
      <c r="I153" s="167">
        <v>1018.42155</v>
      </c>
      <c r="J153" s="168">
        <v>1018.42155</v>
      </c>
      <c r="K153" s="169">
        <v>15</v>
      </c>
      <c r="L153" s="167">
        <f t="shared" si="16"/>
        <v>254.60538750000001</v>
      </c>
      <c r="M153" s="170">
        <v>12</v>
      </c>
      <c r="N153" s="168">
        <v>67.125</v>
      </c>
      <c r="O153" s="170">
        <v>12</v>
      </c>
      <c r="P153" s="168">
        <v>27.375</v>
      </c>
      <c r="Q153" s="170"/>
      <c r="R153" s="168"/>
      <c r="S153" s="171"/>
      <c r="T153" s="168"/>
      <c r="U153" s="167"/>
      <c r="V153" s="168"/>
      <c r="W153" s="167"/>
      <c r="X153" s="168">
        <v>15</v>
      </c>
      <c r="Y153" s="167"/>
      <c r="Z153" s="168">
        <v>20</v>
      </c>
      <c r="AA153" s="167"/>
      <c r="AB153" s="172">
        <f>+Datos_Generales!$K$9</f>
        <v>3.6999999999999998E-2</v>
      </c>
      <c r="AC153" s="167"/>
      <c r="AD153" s="172">
        <v>0.33</v>
      </c>
      <c r="AE153" s="167"/>
      <c r="AF153" s="168">
        <v>18.36</v>
      </c>
      <c r="AG153" s="167"/>
      <c r="AH153" s="182"/>
      <c r="AI153" s="167"/>
      <c r="AJ153" s="182"/>
      <c r="AK153" s="167"/>
      <c r="AL153" s="170">
        <f t="shared" si="17"/>
        <v>1273.0269375</v>
      </c>
      <c r="AM153" s="170"/>
      <c r="AN153" s="170">
        <f t="shared" si="18"/>
        <v>147.86000000000001</v>
      </c>
      <c r="AO153" s="170"/>
      <c r="AP153" s="170">
        <f t="shared" si="19"/>
        <v>62.645655594375</v>
      </c>
      <c r="AQ153" s="170"/>
      <c r="AR153" s="170">
        <f t="shared" si="20"/>
        <v>420.09888937500006</v>
      </c>
      <c r="AS153" s="170"/>
      <c r="AT153" s="170" t="e">
        <f>+(N153+P153)+((X153+Z153+AF153)/Datos_Generales!$E$15)</f>
        <v>#DIV/0!</v>
      </c>
      <c r="AU153" s="199"/>
      <c r="AV153" s="199">
        <f t="shared" si="21"/>
        <v>1693.125826875</v>
      </c>
      <c r="AW153" s="199"/>
      <c r="AX153" s="173" t="e">
        <f t="shared" si="22"/>
        <v>#DIV/0!</v>
      </c>
    </row>
    <row r="154" spans="1:50" x14ac:dyDescent="0.2">
      <c r="A154" s="161" t="s">
        <v>2316</v>
      </c>
      <c r="B154" s="162">
        <v>2019</v>
      </c>
      <c r="C154" s="163"/>
      <c r="D154" s="163"/>
      <c r="E154" s="164" t="s">
        <v>1067</v>
      </c>
      <c r="F154" s="165">
        <v>2</v>
      </c>
      <c r="G154" s="166">
        <v>40</v>
      </c>
      <c r="H154" s="167">
        <v>8</v>
      </c>
      <c r="I154" s="167">
        <v>983.62731000000008</v>
      </c>
      <c r="J154" s="168">
        <v>983.62731000000008</v>
      </c>
      <c r="K154" s="169">
        <v>15</v>
      </c>
      <c r="L154" s="167">
        <f t="shared" si="16"/>
        <v>245.90682750000005</v>
      </c>
      <c r="M154" s="170">
        <v>12</v>
      </c>
      <c r="N154" s="168">
        <v>67.125</v>
      </c>
      <c r="O154" s="170">
        <v>12</v>
      </c>
      <c r="P154" s="168">
        <v>27.375</v>
      </c>
      <c r="Q154" s="170"/>
      <c r="R154" s="168"/>
      <c r="S154" s="171"/>
      <c r="T154" s="168"/>
      <c r="U154" s="167"/>
      <c r="V154" s="168"/>
      <c r="W154" s="167"/>
      <c r="X154" s="168">
        <v>15</v>
      </c>
      <c r="Y154" s="167"/>
      <c r="Z154" s="168">
        <v>20</v>
      </c>
      <c r="AA154" s="167"/>
      <c r="AB154" s="172">
        <f>+Datos_Generales!$K$9</f>
        <v>3.6999999999999998E-2</v>
      </c>
      <c r="AC154" s="167"/>
      <c r="AD154" s="172">
        <v>0.33</v>
      </c>
      <c r="AE154" s="167"/>
      <c r="AF154" s="168">
        <v>18.36</v>
      </c>
      <c r="AG154" s="167"/>
      <c r="AH154" s="182"/>
      <c r="AI154" s="167"/>
      <c r="AJ154" s="182"/>
      <c r="AK154" s="167"/>
      <c r="AL154" s="170">
        <f t="shared" si="17"/>
        <v>1229.5341375</v>
      </c>
      <c r="AM154" s="170"/>
      <c r="AN154" s="170">
        <f t="shared" si="18"/>
        <v>147.86000000000001</v>
      </c>
      <c r="AO154" s="170"/>
      <c r="AP154" s="170">
        <f t="shared" si="19"/>
        <v>60.505374906375003</v>
      </c>
      <c r="AQ154" s="170"/>
      <c r="AR154" s="170">
        <f t="shared" si="20"/>
        <v>405.74626537500001</v>
      </c>
      <c r="AS154" s="170"/>
      <c r="AT154" s="170" t="e">
        <f>+(N154+P154)+((X154+Z154+AF154)/Datos_Generales!$E$15)</f>
        <v>#DIV/0!</v>
      </c>
      <c r="AU154" s="199"/>
      <c r="AV154" s="199">
        <f t="shared" si="21"/>
        <v>1635.2804028750002</v>
      </c>
      <c r="AW154" s="199"/>
      <c r="AX154" s="173" t="e">
        <f t="shared" si="22"/>
        <v>#DIV/0!</v>
      </c>
    </row>
    <row r="155" spans="1:50" x14ac:dyDescent="0.2">
      <c r="A155" s="161" t="s">
        <v>2316</v>
      </c>
      <c r="B155" s="162">
        <v>2019</v>
      </c>
      <c r="C155" s="163"/>
      <c r="D155" s="163"/>
      <c r="E155" s="164" t="s">
        <v>1084</v>
      </c>
      <c r="F155" s="165">
        <v>2</v>
      </c>
      <c r="G155" s="166">
        <v>40</v>
      </c>
      <c r="H155" s="167">
        <v>8</v>
      </c>
      <c r="I155" s="167">
        <v>983.62731000000008</v>
      </c>
      <c r="J155" s="168">
        <v>983.62731000000008</v>
      </c>
      <c r="K155" s="169">
        <v>15</v>
      </c>
      <c r="L155" s="167">
        <f t="shared" si="16"/>
        <v>245.90682750000005</v>
      </c>
      <c r="M155" s="170">
        <v>12</v>
      </c>
      <c r="N155" s="168">
        <v>67.125</v>
      </c>
      <c r="O155" s="170">
        <v>12</v>
      </c>
      <c r="P155" s="168">
        <v>27.375</v>
      </c>
      <c r="Q155" s="170"/>
      <c r="R155" s="168"/>
      <c r="S155" s="171"/>
      <c r="T155" s="168"/>
      <c r="U155" s="167"/>
      <c r="V155" s="168"/>
      <c r="W155" s="167"/>
      <c r="X155" s="168">
        <v>15</v>
      </c>
      <c r="Y155" s="167"/>
      <c r="Z155" s="168">
        <v>20</v>
      </c>
      <c r="AA155" s="167"/>
      <c r="AB155" s="172">
        <f>+Datos_Generales!$K$9</f>
        <v>3.6999999999999998E-2</v>
      </c>
      <c r="AC155" s="167"/>
      <c r="AD155" s="172">
        <v>0.33</v>
      </c>
      <c r="AE155" s="167"/>
      <c r="AF155" s="168">
        <v>18.36</v>
      </c>
      <c r="AG155" s="167"/>
      <c r="AH155" s="182"/>
      <c r="AI155" s="167"/>
      <c r="AJ155" s="182"/>
      <c r="AK155" s="167"/>
      <c r="AL155" s="170">
        <f t="shared" si="17"/>
        <v>1229.5341375</v>
      </c>
      <c r="AM155" s="170"/>
      <c r="AN155" s="170">
        <f t="shared" si="18"/>
        <v>147.86000000000001</v>
      </c>
      <c r="AO155" s="170"/>
      <c r="AP155" s="170">
        <f t="shared" si="19"/>
        <v>60.505374906375003</v>
      </c>
      <c r="AQ155" s="170"/>
      <c r="AR155" s="170">
        <f t="shared" si="20"/>
        <v>405.74626537500001</v>
      </c>
      <c r="AS155" s="170"/>
      <c r="AT155" s="170" t="e">
        <f>+(N155+P155)+((X155+Z155+AF155)/Datos_Generales!$E$15)</f>
        <v>#DIV/0!</v>
      </c>
      <c r="AU155" s="199"/>
      <c r="AV155" s="199">
        <f t="shared" si="21"/>
        <v>1635.2804028750002</v>
      </c>
      <c r="AW155" s="199"/>
      <c r="AX155" s="173" t="e">
        <f t="shared" si="22"/>
        <v>#DIV/0!</v>
      </c>
    </row>
    <row r="156" spans="1:50" x14ac:dyDescent="0.2">
      <c r="A156" s="161" t="s">
        <v>2316</v>
      </c>
      <c r="B156" s="162">
        <v>2019</v>
      </c>
      <c r="C156" s="163"/>
      <c r="D156" s="163"/>
      <c r="E156" s="164" t="s">
        <v>2268</v>
      </c>
      <c r="F156" s="165">
        <v>2</v>
      </c>
      <c r="G156" s="166">
        <v>40</v>
      </c>
      <c r="H156" s="167">
        <v>8</v>
      </c>
      <c r="I156" s="167">
        <v>983.62731000000008</v>
      </c>
      <c r="J156" s="168">
        <v>983.62731000000008</v>
      </c>
      <c r="K156" s="169">
        <v>15</v>
      </c>
      <c r="L156" s="167">
        <f t="shared" si="16"/>
        <v>245.90682750000005</v>
      </c>
      <c r="M156" s="170">
        <v>12</v>
      </c>
      <c r="N156" s="168">
        <v>67.125</v>
      </c>
      <c r="O156" s="170">
        <v>12</v>
      </c>
      <c r="P156" s="168">
        <v>27.375</v>
      </c>
      <c r="Q156" s="170"/>
      <c r="R156" s="168"/>
      <c r="S156" s="171"/>
      <c r="T156" s="168"/>
      <c r="U156" s="167"/>
      <c r="V156" s="168"/>
      <c r="W156" s="167"/>
      <c r="X156" s="168">
        <v>15</v>
      </c>
      <c r="Y156" s="167"/>
      <c r="Z156" s="168">
        <v>20</v>
      </c>
      <c r="AA156" s="167"/>
      <c r="AB156" s="172">
        <f>+Datos_Generales!$K$9</f>
        <v>3.6999999999999998E-2</v>
      </c>
      <c r="AC156" s="167"/>
      <c r="AD156" s="172">
        <v>0.33</v>
      </c>
      <c r="AE156" s="167"/>
      <c r="AF156" s="168">
        <v>18.36</v>
      </c>
      <c r="AG156" s="167"/>
      <c r="AH156" s="182"/>
      <c r="AI156" s="167"/>
      <c r="AJ156" s="182"/>
      <c r="AK156" s="167"/>
      <c r="AL156" s="170">
        <f t="shared" si="17"/>
        <v>1229.5341375</v>
      </c>
      <c r="AM156" s="170"/>
      <c r="AN156" s="170">
        <f t="shared" si="18"/>
        <v>147.86000000000001</v>
      </c>
      <c r="AO156" s="170"/>
      <c r="AP156" s="170">
        <f t="shared" si="19"/>
        <v>60.505374906375003</v>
      </c>
      <c r="AQ156" s="170"/>
      <c r="AR156" s="170">
        <f t="shared" si="20"/>
        <v>405.74626537500001</v>
      </c>
      <c r="AS156" s="170"/>
      <c r="AT156" s="170" t="e">
        <f>+(N156+P156)+((X156+Z156+AF156)/Datos_Generales!$E$15)</f>
        <v>#DIV/0!</v>
      </c>
      <c r="AU156" s="199"/>
      <c r="AV156" s="199">
        <f t="shared" si="21"/>
        <v>1635.2804028750002</v>
      </c>
      <c r="AW156" s="199"/>
      <c r="AX156" s="173" t="e">
        <f t="shared" si="22"/>
        <v>#DIV/0!</v>
      </c>
    </row>
    <row r="157" spans="1:50" x14ac:dyDescent="0.2">
      <c r="A157" s="161" t="s">
        <v>2316</v>
      </c>
      <c r="B157" s="162">
        <v>2019</v>
      </c>
      <c r="C157" s="163"/>
      <c r="D157" s="163"/>
      <c r="E157" s="164" t="s">
        <v>1069</v>
      </c>
      <c r="F157" s="165">
        <v>3</v>
      </c>
      <c r="G157" s="166">
        <v>40</v>
      </c>
      <c r="H157" s="167">
        <v>8</v>
      </c>
      <c r="I157" s="167">
        <v>926.05162499999994</v>
      </c>
      <c r="J157" s="168">
        <v>926.05162499999994</v>
      </c>
      <c r="K157" s="169">
        <v>15</v>
      </c>
      <c r="L157" s="167">
        <f t="shared" si="16"/>
        <v>231.51290624999999</v>
      </c>
      <c r="M157" s="170">
        <v>12</v>
      </c>
      <c r="N157" s="168">
        <v>67.125</v>
      </c>
      <c r="O157" s="170">
        <v>12</v>
      </c>
      <c r="P157" s="168">
        <v>27.375</v>
      </c>
      <c r="Q157" s="170"/>
      <c r="R157" s="168"/>
      <c r="S157" s="171"/>
      <c r="T157" s="168"/>
      <c r="U157" s="167"/>
      <c r="V157" s="168"/>
      <c r="W157" s="167"/>
      <c r="X157" s="168">
        <v>15</v>
      </c>
      <c r="Y157" s="167"/>
      <c r="Z157" s="168">
        <v>20</v>
      </c>
      <c r="AA157" s="167"/>
      <c r="AB157" s="172">
        <f>+Datos_Generales!$K$9</f>
        <v>3.6999999999999998E-2</v>
      </c>
      <c r="AC157" s="167"/>
      <c r="AD157" s="172">
        <v>0.33</v>
      </c>
      <c r="AE157" s="167"/>
      <c r="AF157" s="168">
        <v>18.36</v>
      </c>
      <c r="AG157" s="167"/>
      <c r="AH157" s="182"/>
      <c r="AI157" s="167"/>
      <c r="AJ157" s="182"/>
      <c r="AK157" s="167"/>
      <c r="AL157" s="170">
        <f t="shared" si="17"/>
        <v>1157.5645312499998</v>
      </c>
      <c r="AM157" s="170"/>
      <c r="AN157" s="170">
        <f t="shared" si="18"/>
        <v>147.86000000000001</v>
      </c>
      <c r="AO157" s="170"/>
      <c r="AP157" s="170">
        <f t="shared" si="19"/>
        <v>56.963750582812494</v>
      </c>
      <c r="AQ157" s="170"/>
      <c r="AR157" s="170">
        <f t="shared" si="20"/>
        <v>381.99629531249997</v>
      </c>
      <c r="AS157" s="170"/>
      <c r="AT157" s="170" t="e">
        <f>+(N157+P157)+((X157+Z157+AF157)/Datos_Generales!$E$15)</f>
        <v>#DIV/0!</v>
      </c>
      <c r="AU157" s="199"/>
      <c r="AV157" s="199">
        <f t="shared" si="21"/>
        <v>1539.5608265624999</v>
      </c>
      <c r="AW157" s="199"/>
      <c r="AX157" s="173" t="e">
        <f t="shared" si="22"/>
        <v>#DIV/0!</v>
      </c>
    </row>
    <row r="158" spans="1:50" x14ac:dyDescent="0.2">
      <c r="A158" s="161" t="s">
        <v>2316</v>
      </c>
      <c r="B158" s="162">
        <v>2019</v>
      </c>
      <c r="C158" s="180"/>
      <c r="D158" s="175"/>
      <c r="E158" s="176" t="s">
        <v>2317</v>
      </c>
      <c r="F158" s="165">
        <v>3</v>
      </c>
      <c r="G158" s="166">
        <v>40</v>
      </c>
      <c r="H158" s="167">
        <v>8</v>
      </c>
      <c r="I158" s="167">
        <v>926.05162499999994</v>
      </c>
      <c r="J158" s="168">
        <v>926.05162499999994</v>
      </c>
      <c r="K158" s="169">
        <v>15</v>
      </c>
      <c r="L158" s="167">
        <f t="shared" si="16"/>
        <v>231.51290624999999</v>
      </c>
      <c r="M158" s="170">
        <v>12</v>
      </c>
      <c r="N158" s="168">
        <v>67.125</v>
      </c>
      <c r="O158" s="170">
        <v>12</v>
      </c>
      <c r="P158" s="168">
        <v>27.375</v>
      </c>
      <c r="Q158" s="170"/>
      <c r="R158" s="168"/>
      <c r="S158" s="171"/>
      <c r="T158" s="168"/>
      <c r="U158" s="167"/>
      <c r="V158" s="168"/>
      <c r="W158" s="167"/>
      <c r="X158" s="168">
        <v>15</v>
      </c>
      <c r="Y158" s="167"/>
      <c r="Z158" s="168">
        <v>20</v>
      </c>
      <c r="AA158" s="167"/>
      <c r="AB158" s="172">
        <f>+Datos_Generales!$K$9</f>
        <v>3.6999999999999998E-2</v>
      </c>
      <c r="AC158" s="167"/>
      <c r="AD158" s="172">
        <v>0.33</v>
      </c>
      <c r="AE158" s="167"/>
      <c r="AF158" s="168">
        <v>18.36</v>
      </c>
      <c r="AG158" s="167"/>
      <c r="AH158" s="182"/>
      <c r="AI158" s="167"/>
      <c r="AJ158" s="182"/>
      <c r="AK158" s="167"/>
      <c r="AL158" s="170">
        <f t="shared" si="17"/>
        <v>1157.5645312499998</v>
      </c>
      <c r="AM158" s="170"/>
      <c r="AN158" s="170">
        <f t="shared" si="18"/>
        <v>147.86000000000001</v>
      </c>
      <c r="AO158" s="170"/>
      <c r="AP158" s="170">
        <f t="shared" si="19"/>
        <v>56.963750582812494</v>
      </c>
      <c r="AQ158" s="170"/>
      <c r="AR158" s="170">
        <f t="shared" si="20"/>
        <v>381.99629531249997</v>
      </c>
      <c r="AS158" s="170"/>
      <c r="AT158" s="170" t="e">
        <f>+(N158+P158)+((X158+Z158+AF158)/Datos_Generales!$E$15)</f>
        <v>#DIV/0!</v>
      </c>
      <c r="AU158" s="199"/>
      <c r="AV158" s="199">
        <f t="shared" si="21"/>
        <v>1539.5608265624999</v>
      </c>
      <c r="AW158" s="199"/>
      <c r="AX158" s="173" t="e">
        <f t="shared" si="22"/>
        <v>#DIV/0!</v>
      </c>
    </row>
    <row r="159" spans="1:50" x14ac:dyDescent="0.2">
      <c r="A159" s="161" t="s">
        <v>2316</v>
      </c>
      <c r="B159" s="162">
        <v>2019</v>
      </c>
      <c r="C159" s="163"/>
      <c r="D159" s="163"/>
      <c r="E159" s="164" t="s">
        <v>2306</v>
      </c>
      <c r="F159" s="165">
        <v>4</v>
      </c>
      <c r="G159" s="166">
        <v>40</v>
      </c>
      <c r="H159" s="167">
        <v>8</v>
      </c>
      <c r="I159" s="167">
        <v>904.68160499999988</v>
      </c>
      <c r="J159" s="168">
        <v>904.68160499999988</v>
      </c>
      <c r="K159" s="169">
        <v>15</v>
      </c>
      <c r="L159" s="167">
        <f t="shared" si="16"/>
        <v>226.17040124999997</v>
      </c>
      <c r="M159" s="170">
        <v>12</v>
      </c>
      <c r="N159" s="168">
        <v>67.125</v>
      </c>
      <c r="O159" s="170">
        <v>12</v>
      </c>
      <c r="P159" s="168">
        <v>27.375</v>
      </c>
      <c r="Q159" s="170"/>
      <c r="R159" s="168"/>
      <c r="S159" s="171"/>
      <c r="T159" s="168"/>
      <c r="U159" s="167"/>
      <c r="V159" s="168"/>
      <c r="W159" s="167"/>
      <c r="X159" s="168">
        <v>15</v>
      </c>
      <c r="Y159" s="167"/>
      <c r="Z159" s="168">
        <v>20</v>
      </c>
      <c r="AA159" s="167"/>
      <c r="AB159" s="172">
        <f>+Datos_Generales!$K$9</f>
        <v>3.6999999999999998E-2</v>
      </c>
      <c r="AC159" s="167"/>
      <c r="AD159" s="172">
        <v>0.33</v>
      </c>
      <c r="AE159" s="167"/>
      <c r="AF159" s="168">
        <v>18.36</v>
      </c>
      <c r="AG159" s="167"/>
      <c r="AH159" s="182"/>
      <c r="AI159" s="167"/>
      <c r="AJ159" s="182"/>
      <c r="AK159" s="167"/>
      <c r="AL159" s="170">
        <f t="shared" si="17"/>
        <v>1130.8520062499999</v>
      </c>
      <c r="AM159" s="170"/>
      <c r="AN159" s="170">
        <f t="shared" si="18"/>
        <v>147.86000000000001</v>
      </c>
      <c r="AO159" s="170"/>
      <c r="AP159" s="170">
        <f t="shared" si="19"/>
        <v>55.649227227562498</v>
      </c>
      <c r="AQ159" s="170"/>
      <c r="AR159" s="170">
        <f t="shared" si="20"/>
        <v>373.18116206249999</v>
      </c>
      <c r="AS159" s="170"/>
      <c r="AT159" s="170" t="e">
        <f>+(N159+P159)+((X159+Z159+AF159)/Datos_Generales!$E$15)</f>
        <v>#DIV/0!</v>
      </c>
      <c r="AU159" s="199"/>
      <c r="AV159" s="199">
        <f t="shared" si="21"/>
        <v>1504.0331683125</v>
      </c>
      <c r="AW159" s="199"/>
      <c r="AX159" s="173" t="e">
        <f t="shared" si="22"/>
        <v>#DIV/0!</v>
      </c>
    </row>
    <row r="160" spans="1:50" x14ac:dyDescent="0.2">
      <c r="A160" s="161" t="s">
        <v>2316</v>
      </c>
      <c r="B160" s="162">
        <v>2019</v>
      </c>
      <c r="C160" s="163"/>
      <c r="D160" s="163"/>
      <c r="E160" s="164" t="s">
        <v>1168</v>
      </c>
      <c r="F160" s="165">
        <v>4</v>
      </c>
      <c r="G160" s="166">
        <v>40</v>
      </c>
      <c r="H160" s="167">
        <v>8</v>
      </c>
      <c r="I160" s="167">
        <v>904.68160499999988</v>
      </c>
      <c r="J160" s="168">
        <v>904.68160499999988</v>
      </c>
      <c r="K160" s="169">
        <v>15</v>
      </c>
      <c r="L160" s="167">
        <f t="shared" si="16"/>
        <v>226.17040124999997</v>
      </c>
      <c r="M160" s="170">
        <v>12</v>
      </c>
      <c r="N160" s="168">
        <v>67.125</v>
      </c>
      <c r="O160" s="170">
        <v>12</v>
      </c>
      <c r="P160" s="168">
        <v>27.375</v>
      </c>
      <c r="Q160" s="170"/>
      <c r="R160" s="168"/>
      <c r="S160" s="171"/>
      <c r="T160" s="168"/>
      <c r="U160" s="167"/>
      <c r="V160" s="168"/>
      <c r="W160" s="167"/>
      <c r="X160" s="168">
        <v>15</v>
      </c>
      <c r="Y160" s="167"/>
      <c r="Z160" s="168">
        <v>20</v>
      </c>
      <c r="AA160" s="167"/>
      <c r="AB160" s="172">
        <f>+Datos_Generales!$K$9</f>
        <v>3.6999999999999998E-2</v>
      </c>
      <c r="AC160" s="167"/>
      <c r="AD160" s="172">
        <v>0.33</v>
      </c>
      <c r="AE160" s="167"/>
      <c r="AF160" s="168">
        <v>18.36</v>
      </c>
      <c r="AG160" s="167"/>
      <c r="AH160" s="182"/>
      <c r="AI160" s="167"/>
      <c r="AJ160" s="182"/>
      <c r="AK160" s="167"/>
      <c r="AL160" s="170">
        <f t="shared" si="17"/>
        <v>1130.8520062499999</v>
      </c>
      <c r="AM160" s="170"/>
      <c r="AN160" s="170">
        <f t="shared" si="18"/>
        <v>147.86000000000001</v>
      </c>
      <c r="AO160" s="170"/>
      <c r="AP160" s="170">
        <f t="shared" si="19"/>
        <v>55.649227227562498</v>
      </c>
      <c r="AQ160" s="170"/>
      <c r="AR160" s="170">
        <f t="shared" si="20"/>
        <v>373.18116206249999</v>
      </c>
      <c r="AS160" s="170"/>
      <c r="AT160" s="170" t="e">
        <f>+(N160+P160)+((X160+Z160+AF160)/Datos_Generales!$E$15)</f>
        <v>#DIV/0!</v>
      </c>
      <c r="AU160" s="199"/>
      <c r="AV160" s="199">
        <f t="shared" si="21"/>
        <v>1504.0331683125</v>
      </c>
      <c r="AW160" s="199"/>
      <c r="AX160" s="173" t="e">
        <f t="shared" si="22"/>
        <v>#DIV/0!</v>
      </c>
    </row>
    <row r="161" spans="1:50" x14ac:dyDescent="0.2">
      <c r="A161" s="161" t="s">
        <v>2316</v>
      </c>
      <c r="B161" s="162">
        <v>2019</v>
      </c>
      <c r="C161" s="163"/>
      <c r="D161" s="163"/>
      <c r="E161" s="164" t="s">
        <v>2286</v>
      </c>
      <c r="F161" s="165">
        <v>4</v>
      </c>
      <c r="G161" s="166">
        <v>40</v>
      </c>
      <c r="H161" s="167">
        <v>8</v>
      </c>
      <c r="I161" s="167">
        <v>904.68160499999988</v>
      </c>
      <c r="J161" s="168">
        <v>904.68160499999988</v>
      </c>
      <c r="K161" s="169">
        <v>15</v>
      </c>
      <c r="L161" s="167">
        <f t="shared" si="16"/>
        <v>226.17040124999997</v>
      </c>
      <c r="M161" s="170">
        <v>12</v>
      </c>
      <c r="N161" s="168">
        <v>67.125</v>
      </c>
      <c r="O161" s="170">
        <v>12</v>
      </c>
      <c r="P161" s="168">
        <v>27.375</v>
      </c>
      <c r="Q161" s="170"/>
      <c r="R161" s="168"/>
      <c r="S161" s="171"/>
      <c r="T161" s="168"/>
      <c r="U161" s="167"/>
      <c r="V161" s="168"/>
      <c r="W161" s="167"/>
      <c r="X161" s="168">
        <v>15</v>
      </c>
      <c r="Y161" s="167"/>
      <c r="Z161" s="168">
        <v>20</v>
      </c>
      <c r="AA161" s="167"/>
      <c r="AB161" s="172">
        <f>+Datos_Generales!$K$9</f>
        <v>3.6999999999999998E-2</v>
      </c>
      <c r="AC161" s="167"/>
      <c r="AD161" s="172">
        <v>0.33</v>
      </c>
      <c r="AE161" s="167"/>
      <c r="AF161" s="168">
        <v>18.36</v>
      </c>
      <c r="AG161" s="167"/>
      <c r="AH161" s="182"/>
      <c r="AI161" s="167"/>
      <c r="AJ161" s="182"/>
      <c r="AK161" s="167"/>
      <c r="AL161" s="170">
        <f t="shared" si="17"/>
        <v>1130.8520062499999</v>
      </c>
      <c r="AM161" s="170"/>
      <c r="AN161" s="170">
        <f t="shared" si="18"/>
        <v>147.86000000000001</v>
      </c>
      <c r="AO161" s="170"/>
      <c r="AP161" s="170">
        <f t="shared" si="19"/>
        <v>55.649227227562498</v>
      </c>
      <c r="AQ161" s="170"/>
      <c r="AR161" s="170">
        <f t="shared" si="20"/>
        <v>373.18116206249999</v>
      </c>
      <c r="AS161" s="170"/>
      <c r="AT161" s="170" t="e">
        <f>+(N161+P161)+((X161+Z161+AF161)/Datos_Generales!$E$15)</f>
        <v>#DIV/0!</v>
      </c>
      <c r="AU161" s="199"/>
      <c r="AV161" s="199">
        <f t="shared" si="21"/>
        <v>1504.0331683125</v>
      </c>
      <c r="AW161" s="199"/>
      <c r="AX161" s="173" t="e">
        <f t="shared" si="22"/>
        <v>#DIV/0!</v>
      </c>
    </row>
    <row r="162" spans="1:50" x14ac:dyDescent="0.2">
      <c r="A162" s="161" t="s">
        <v>2316</v>
      </c>
      <c r="B162" s="162">
        <v>2019</v>
      </c>
      <c r="C162" s="163"/>
      <c r="D162" s="163"/>
      <c r="E162" s="164" t="s">
        <v>2275</v>
      </c>
      <c r="F162" s="165">
        <v>4</v>
      </c>
      <c r="G162" s="166">
        <v>40</v>
      </c>
      <c r="H162" s="167">
        <v>8</v>
      </c>
      <c r="I162" s="167">
        <v>904.68160499999988</v>
      </c>
      <c r="J162" s="168">
        <v>904.68160499999988</v>
      </c>
      <c r="K162" s="169">
        <v>15</v>
      </c>
      <c r="L162" s="167">
        <f t="shared" si="16"/>
        <v>226.17040124999997</v>
      </c>
      <c r="M162" s="170">
        <v>12</v>
      </c>
      <c r="N162" s="168">
        <v>67.125</v>
      </c>
      <c r="O162" s="170">
        <v>12</v>
      </c>
      <c r="P162" s="168">
        <v>27.375</v>
      </c>
      <c r="Q162" s="170"/>
      <c r="R162" s="168"/>
      <c r="S162" s="171"/>
      <c r="T162" s="168"/>
      <c r="U162" s="167"/>
      <c r="V162" s="168"/>
      <c r="W162" s="167"/>
      <c r="X162" s="168">
        <v>15</v>
      </c>
      <c r="Y162" s="167"/>
      <c r="Z162" s="168">
        <v>20</v>
      </c>
      <c r="AA162" s="167"/>
      <c r="AB162" s="172">
        <f>+Datos_Generales!$K$9</f>
        <v>3.6999999999999998E-2</v>
      </c>
      <c r="AC162" s="167"/>
      <c r="AD162" s="172">
        <v>0.33</v>
      </c>
      <c r="AE162" s="167"/>
      <c r="AF162" s="168">
        <v>18.36</v>
      </c>
      <c r="AG162" s="167"/>
      <c r="AH162" s="182"/>
      <c r="AI162" s="167"/>
      <c r="AJ162" s="182"/>
      <c r="AK162" s="167"/>
      <c r="AL162" s="170">
        <f t="shared" si="17"/>
        <v>1130.8520062499999</v>
      </c>
      <c r="AM162" s="170"/>
      <c r="AN162" s="170">
        <f t="shared" si="18"/>
        <v>147.86000000000001</v>
      </c>
      <c r="AO162" s="170"/>
      <c r="AP162" s="170">
        <f t="shared" si="19"/>
        <v>55.649227227562498</v>
      </c>
      <c r="AQ162" s="170"/>
      <c r="AR162" s="170">
        <f t="shared" si="20"/>
        <v>373.18116206249999</v>
      </c>
      <c r="AS162" s="170"/>
      <c r="AT162" s="170" t="e">
        <f>+(N162+P162)+((X162+Z162+AF162)/Datos_Generales!$E$15)</f>
        <v>#DIV/0!</v>
      </c>
      <c r="AU162" s="199"/>
      <c r="AV162" s="199">
        <f t="shared" si="21"/>
        <v>1504.0331683125</v>
      </c>
      <c r="AW162" s="199"/>
      <c r="AX162" s="173" t="e">
        <f t="shared" si="22"/>
        <v>#DIV/0!</v>
      </c>
    </row>
    <row r="163" spans="1:50" x14ac:dyDescent="0.2">
      <c r="A163" s="161" t="s">
        <v>2316</v>
      </c>
      <c r="B163" s="162">
        <v>2019</v>
      </c>
      <c r="C163" s="163"/>
      <c r="D163" s="163"/>
      <c r="E163" s="164" t="s">
        <v>1073</v>
      </c>
      <c r="F163" s="165" t="s">
        <v>2273</v>
      </c>
      <c r="G163" s="166">
        <v>40</v>
      </c>
      <c r="H163" s="167">
        <v>8</v>
      </c>
      <c r="I163" s="167">
        <v>1219.7430299999999</v>
      </c>
      <c r="J163" s="168">
        <v>1219.7430299999999</v>
      </c>
      <c r="K163" s="169">
        <v>12</v>
      </c>
      <c r="L163" s="167">
        <f t="shared" si="16"/>
        <v>0</v>
      </c>
      <c r="M163" s="170"/>
      <c r="N163" s="168"/>
      <c r="O163" s="170"/>
      <c r="P163" s="168"/>
      <c r="Q163" s="170"/>
      <c r="R163" s="168"/>
      <c r="S163" s="171"/>
      <c r="T163" s="168"/>
      <c r="U163" s="167"/>
      <c r="V163" s="168"/>
      <c r="W163" s="167"/>
      <c r="X163" s="168">
        <v>15</v>
      </c>
      <c r="Y163" s="167"/>
      <c r="Z163" s="168">
        <v>20</v>
      </c>
      <c r="AA163" s="167"/>
      <c r="AB163" s="172">
        <f>+Datos_Generales!$K$9</f>
        <v>3.6999999999999998E-2</v>
      </c>
      <c r="AC163" s="167"/>
      <c r="AD163" s="172">
        <v>0.33</v>
      </c>
      <c r="AE163" s="167"/>
      <c r="AF163" s="168">
        <v>18.36</v>
      </c>
      <c r="AG163" s="167"/>
      <c r="AH163" s="182"/>
      <c r="AI163" s="167"/>
      <c r="AJ163" s="182"/>
      <c r="AK163" s="167"/>
      <c r="AL163" s="170">
        <f t="shared" si="17"/>
        <v>1219.7430299999999</v>
      </c>
      <c r="AM163" s="170"/>
      <c r="AN163" s="170">
        <f t="shared" si="18"/>
        <v>53.36</v>
      </c>
      <c r="AO163" s="170"/>
      <c r="AP163" s="170">
        <f t="shared" si="19"/>
        <v>60.023554506299988</v>
      </c>
      <c r="AQ163" s="170"/>
      <c r="AR163" s="170">
        <f t="shared" si="20"/>
        <v>402.51519989999997</v>
      </c>
      <c r="AS163" s="170"/>
      <c r="AT163" s="170" t="e">
        <f>+(N163+P163)+((X163+Z163+AF163)/Datos_Generales!$E$15)</f>
        <v>#DIV/0!</v>
      </c>
      <c r="AU163" s="199"/>
      <c r="AV163" s="199">
        <f t="shared" si="21"/>
        <v>1622.2582298999998</v>
      </c>
      <c r="AW163" s="199"/>
      <c r="AX163" s="173" t="e">
        <f t="shared" si="22"/>
        <v>#DIV/0!</v>
      </c>
    </row>
    <row r="164" spans="1:50" x14ac:dyDescent="0.2">
      <c r="A164" s="161" t="s">
        <v>2318</v>
      </c>
      <c r="B164" s="183">
        <v>2025</v>
      </c>
      <c r="C164" s="163">
        <v>0</v>
      </c>
      <c r="D164" s="163">
        <v>1794</v>
      </c>
      <c r="E164" s="164" t="s">
        <v>2303</v>
      </c>
      <c r="F164" s="165" t="s">
        <v>2319</v>
      </c>
      <c r="G164" s="166">
        <v>40</v>
      </c>
      <c r="H164" s="167">
        <v>8</v>
      </c>
      <c r="I164" s="167">
        <f>1286.28*1.02</f>
        <v>1312.0056</v>
      </c>
      <c r="J164" s="168">
        <v>1312.0056</v>
      </c>
      <c r="K164" s="169">
        <v>15</v>
      </c>
      <c r="L164" s="167">
        <f t="shared" si="16"/>
        <v>328.00139999999999</v>
      </c>
      <c r="M164" s="170">
        <v>12</v>
      </c>
      <c r="N164" s="168">
        <v>112.63</v>
      </c>
      <c r="O164" s="170">
        <v>12</v>
      </c>
      <c r="P164" s="168">
        <v>18.32</v>
      </c>
      <c r="Q164" s="170"/>
      <c r="R164" s="168"/>
      <c r="S164" s="171"/>
      <c r="T164" s="168"/>
      <c r="U164" s="167"/>
      <c r="V164" s="168"/>
      <c r="W164" s="167"/>
      <c r="X164" s="168">
        <v>15</v>
      </c>
      <c r="Y164" s="167"/>
      <c r="Z164" s="168">
        <v>20</v>
      </c>
      <c r="AA164" s="167"/>
      <c r="AB164" s="172">
        <f>+Datos_Generales!$K$9</f>
        <v>3.6999999999999998E-2</v>
      </c>
      <c r="AC164" s="167"/>
      <c r="AD164" s="172">
        <v>0.33</v>
      </c>
      <c r="AE164" s="167"/>
      <c r="AF164" s="168">
        <v>18.36</v>
      </c>
      <c r="AG164" s="167"/>
      <c r="AH164" s="182"/>
      <c r="AI164" s="167"/>
      <c r="AJ164" s="182"/>
      <c r="AK164" s="167"/>
      <c r="AL164" s="170">
        <f t="shared" si="17"/>
        <v>1640.0070000000001</v>
      </c>
      <c r="AM164" s="170"/>
      <c r="AN164" s="170">
        <f t="shared" si="18"/>
        <v>184.31</v>
      </c>
      <c r="AO164" s="170"/>
      <c r="AP164" s="170">
        <f t="shared" si="19"/>
        <v>80.704744470000009</v>
      </c>
      <c r="AQ164" s="170"/>
      <c r="AR164" s="170">
        <f t="shared" si="20"/>
        <v>541.20231000000001</v>
      </c>
      <c r="AS164" s="170"/>
      <c r="AT164" s="170" t="e">
        <f>+(N164+P164)+((X164+Z164+AF164)/Datos_Generales!$E$15)</f>
        <v>#DIV/0!</v>
      </c>
      <c r="AU164" s="199"/>
      <c r="AV164" s="199">
        <f t="shared" si="21"/>
        <v>2181.2093100000002</v>
      </c>
      <c r="AW164" s="199"/>
      <c r="AX164" s="173" t="e">
        <f t="shared" si="22"/>
        <v>#DIV/0!</v>
      </c>
    </row>
    <row r="165" spans="1:50" x14ac:dyDescent="0.2">
      <c r="A165" s="161" t="s">
        <v>2318</v>
      </c>
      <c r="B165" s="183">
        <v>2025</v>
      </c>
      <c r="C165" s="163"/>
      <c r="D165" s="163"/>
      <c r="E165" s="164" t="s">
        <v>1063</v>
      </c>
      <c r="F165" s="165" t="s">
        <v>2320</v>
      </c>
      <c r="G165" s="166">
        <v>40</v>
      </c>
      <c r="H165" s="167">
        <v>8</v>
      </c>
      <c r="I165" s="167">
        <f>1267.9*1.02</f>
        <v>1293.258</v>
      </c>
      <c r="J165" s="168">
        <v>1293.258</v>
      </c>
      <c r="K165" s="169">
        <v>15</v>
      </c>
      <c r="L165" s="167">
        <f t="shared" si="16"/>
        <v>323.31450000000001</v>
      </c>
      <c r="M165" s="170">
        <v>12</v>
      </c>
      <c r="N165" s="168">
        <v>112.63</v>
      </c>
      <c r="O165" s="170">
        <v>12</v>
      </c>
      <c r="P165" s="168">
        <v>18.32</v>
      </c>
      <c r="Q165" s="170"/>
      <c r="R165" s="168"/>
      <c r="S165" s="171"/>
      <c r="T165" s="168"/>
      <c r="U165" s="167"/>
      <c r="V165" s="168"/>
      <c r="W165" s="167"/>
      <c r="X165" s="168">
        <v>15</v>
      </c>
      <c r="Y165" s="167"/>
      <c r="Z165" s="168">
        <v>20</v>
      </c>
      <c r="AA165" s="167"/>
      <c r="AB165" s="172">
        <f>+Datos_Generales!$K$9</f>
        <v>3.6999999999999998E-2</v>
      </c>
      <c r="AC165" s="167"/>
      <c r="AD165" s="172">
        <v>0.33</v>
      </c>
      <c r="AE165" s="167"/>
      <c r="AF165" s="168">
        <v>18.36</v>
      </c>
      <c r="AG165" s="167"/>
      <c r="AH165" s="182"/>
      <c r="AI165" s="167"/>
      <c r="AJ165" s="182"/>
      <c r="AK165" s="167"/>
      <c r="AL165" s="170">
        <f t="shared" si="17"/>
        <v>1616.5725</v>
      </c>
      <c r="AM165" s="170"/>
      <c r="AN165" s="170">
        <f t="shared" si="18"/>
        <v>184.31</v>
      </c>
      <c r="AO165" s="170"/>
      <c r="AP165" s="170">
        <f t="shared" si="19"/>
        <v>79.551532724999987</v>
      </c>
      <c r="AQ165" s="170"/>
      <c r="AR165" s="170">
        <f t="shared" si="20"/>
        <v>533.46892500000001</v>
      </c>
      <c r="AS165" s="170"/>
      <c r="AT165" s="170" t="e">
        <f>+(N165+P165)+((X165+Z165+AF165)/Datos_Generales!$E$15)</f>
        <v>#DIV/0!</v>
      </c>
      <c r="AU165" s="199"/>
      <c r="AV165" s="199">
        <f t="shared" si="21"/>
        <v>2150.0414249999999</v>
      </c>
      <c r="AW165" s="199"/>
      <c r="AX165" s="173" t="e">
        <f t="shared" si="22"/>
        <v>#DIV/0!</v>
      </c>
    </row>
    <row r="166" spans="1:50" x14ac:dyDescent="0.2">
      <c r="A166" s="161" t="s">
        <v>2318</v>
      </c>
      <c r="B166" s="183">
        <v>2025</v>
      </c>
      <c r="C166" s="163"/>
      <c r="D166" s="163"/>
      <c r="E166" s="164" t="s">
        <v>1067</v>
      </c>
      <c r="F166" s="165" t="s">
        <v>2321</v>
      </c>
      <c r="G166" s="166">
        <v>40</v>
      </c>
      <c r="H166" s="167">
        <v>8</v>
      </c>
      <c r="I166" s="167">
        <f>1190.66*1.02</f>
        <v>1214.4732000000001</v>
      </c>
      <c r="J166" s="168">
        <v>1214.4732000000001</v>
      </c>
      <c r="K166" s="169">
        <v>15</v>
      </c>
      <c r="L166" s="167">
        <f t="shared" si="16"/>
        <v>303.61830000000003</v>
      </c>
      <c r="M166" s="170">
        <v>12</v>
      </c>
      <c r="N166" s="168">
        <v>112.63</v>
      </c>
      <c r="O166" s="170">
        <v>12</v>
      </c>
      <c r="P166" s="168">
        <v>18.32</v>
      </c>
      <c r="Q166" s="170"/>
      <c r="R166" s="168"/>
      <c r="S166" s="171"/>
      <c r="T166" s="168"/>
      <c r="U166" s="167"/>
      <c r="V166" s="168"/>
      <c r="W166" s="167"/>
      <c r="X166" s="168">
        <v>15</v>
      </c>
      <c r="Y166" s="167"/>
      <c r="Z166" s="168">
        <v>20</v>
      </c>
      <c r="AA166" s="167"/>
      <c r="AB166" s="172">
        <f>+Datos_Generales!$K$9</f>
        <v>3.6999999999999998E-2</v>
      </c>
      <c r="AC166" s="167"/>
      <c r="AD166" s="172">
        <v>0.33</v>
      </c>
      <c r="AE166" s="167"/>
      <c r="AF166" s="168">
        <v>18.36</v>
      </c>
      <c r="AG166" s="167"/>
      <c r="AH166" s="182"/>
      <c r="AI166" s="167"/>
      <c r="AJ166" s="182"/>
      <c r="AK166" s="167"/>
      <c r="AL166" s="170">
        <f t="shared" si="17"/>
        <v>1518.0915000000002</v>
      </c>
      <c r="AM166" s="170"/>
      <c r="AN166" s="170">
        <f t="shared" si="18"/>
        <v>184.31</v>
      </c>
      <c r="AO166" s="170"/>
      <c r="AP166" s="170">
        <f t="shared" si="19"/>
        <v>74.70528271500001</v>
      </c>
      <c r="AQ166" s="170"/>
      <c r="AR166" s="170">
        <f t="shared" si="20"/>
        <v>500.9701950000001</v>
      </c>
      <c r="AS166" s="170"/>
      <c r="AT166" s="170" t="e">
        <f>+(N166+P166)+((X166+Z166+AF166)/Datos_Generales!$E$15)</f>
        <v>#DIV/0!</v>
      </c>
      <c r="AU166" s="199"/>
      <c r="AV166" s="199">
        <f t="shared" si="21"/>
        <v>2019.0616950000003</v>
      </c>
      <c r="AW166" s="199"/>
      <c r="AX166" s="173" t="e">
        <f t="shared" si="22"/>
        <v>#DIV/0!</v>
      </c>
    </row>
    <row r="167" spans="1:50" x14ac:dyDescent="0.2">
      <c r="A167" s="161" t="s">
        <v>2318</v>
      </c>
      <c r="B167" s="183">
        <v>2025</v>
      </c>
      <c r="C167" s="163"/>
      <c r="D167" s="163"/>
      <c r="E167" s="164" t="s">
        <v>2267</v>
      </c>
      <c r="F167" s="165" t="s">
        <v>2320</v>
      </c>
      <c r="G167" s="166">
        <v>40</v>
      </c>
      <c r="H167" s="167">
        <v>8</v>
      </c>
      <c r="I167" s="167">
        <f>1267.9*1.02</f>
        <v>1293.258</v>
      </c>
      <c r="J167" s="168">
        <v>1293.258</v>
      </c>
      <c r="K167" s="169">
        <v>15</v>
      </c>
      <c r="L167" s="167">
        <f t="shared" si="16"/>
        <v>323.31450000000001</v>
      </c>
      <c r="M167" s="170">
        <v>12</v>
      </c>
      <c r="N167" s="168">
        <v>112.63</v>
      </c>
      <c r="O167" s="170">
        <v>12</v>
      </c>
      <c r="P167" s="168">
        <v>18.32</v>
      </c>
      <c r="Q167" s="170"/>
      <c r="R167" s="168"/>
      <c r="S167" s="171"/>
      <c r="T167" s="168"/>
      <c r="U167" s="167"/>
      <c r="V167" s="168"/>
      <c r="W167" s="167"/>
      <c r="X167" s="168">
        <v>15</v>
      </c>
      <c r="Y167" s="167"/>
      <c r="Z167" s="168">
        <v>20</v>
      </c>
      <c r="AA167" s="167"/>
      <c r="AB167" s="172">
        <f>+Datos_Generales!$K$9</f>
        <v>3.6999999999999998E-2</v>
      </c>
      <c r="AC167" s="167"/>
      <c r="AD167" s="172">
        <v>0.33</v>
      </c>
      <c r="AE167" s="167"/>
      <c r="AF167" s="168">
        <v>18.36</v>
      </c>
      <c r="AG167" s="167"/>
      <c r="AH167" s="182"/>
      <c r="AI167" s="167"/>
      <c r="AJ167" s="182"/>
      <c r="AK167" s="167"/>
      <c r="AL167" s="170">
        <f t="shared" si="17"/>
        <v>1616.5725</v>
      </c>
      <c r="AM167" s="170"/>
      <c r="AN167" s="170">
        <f t="shared" si="18"/>
        <v>184.31</v>
      </c>
      <c r="AO167" s="170"/>
      <c r="AP167" s="170">
        <f t="shared" si="19"/>
        <v>79.551532724999987</v>
      </c>
      <c r="AQ167" s="170"/>
      <c r="AR167" s="170">
        <f t="shared" si="20"/>
        <v>533.46892500000001</v>
      </c>
      <c r="AS167" s="170"/>
      <c r="AT167" s="170" t="e">
        <f>+(N167+P167)+((X167+Z167+AF167)/Datos_Generales!$E$15)</f>
        <v>#DIV/0!</v>
      </c>
      <c r="AU167" s="199"/>
      <c r="AV167" s="199">
        <f t="shared" si="21"/>
        <v>2150.0414249999999</v>
      </c>
      <c r="AW167" s="199"/>
      <c r="AX167" s="173" t="e">
        <f t="shared" si="22"/>
        <v>#DIV/0!</v>
      </c>
    </row>
    <row r="168" spans="1:50" x14ac:dyDescent="0.2">
      <c r="A168" s="161" t="s">
        <v>2318</v>
      </c>
      <c r="B168" s="183">
        <v>2025</v>
      </c>
      <c r="C168" s="163"/>
      <c r="D168" s="163"/>
      <c r="E168" s="164" t="s">
        <v>2322</v>
      </c>
      <c r="F168" s="165" t="s">
        <v>2323</v>
      </c>
      <c r="G168" s="166">
        <v>40</v>
      </c>
      <c r="H168" s="167">
        <v>8</v>
      </c>
      <c r="I168" s="167">
        <f>1242.03*1.02</f>
        <v>1266.8706</v>
      </c>
      <c r="J168" s="168">
        <v>1266.8706</v>
      </c>
      <c r="K168" s="169">
        <v>15</v>
      </c>
      <c r="L168" s="167">
        <f t="shared" si="16"/>
        <v>316.71764999999999</v>
      </c>
      <c r="M168" s="170">
        <v>12</v>
      </c>
      <c r="N168" s="168">
        <v>112.63</v>
      </c>
      <c r="O168" s="170">
        <v>12</v>
      </c>
      <c r="P168" s="168">
        <v>18.32</v>
      </c>
      <c r="Q168" s="170"/>
      <c r="R168" s="168"/>
      <c r="S168" s="171"/>
      <c r="T168" s="168"/>
      <c r="U168" s="167"/>
      <c r="V168" s="168"/>
      <c r="W168" s="167"/>
      <c r="X168" s="168">
        <v>15</v>
      </c>
      <c r="Y168" s="167"/>
      <c r="Z168" s="168">
        <v>20</v>
      </c>
      <c r="AA168" s="167"/>
      <c r="AB168" s="172">
        <f>+Datos_Generales!$K$9</f>
        <v>3.6999999999999998E-2</v>
      </c>
      <c r="AC168" s="167"/>
      <c r="AD168" s="172">
        <v>0.33</v>
      </c>
      <c r="AE168" s="167"/>
      <c r="AF168" s="168">
        <v>18.36</v>
      </c>
      <c r="AG168" s="167"/>
      <c r="AH168" s="182"/>
      <c r="AI168" s="167"/>
      <c r="AJ168" s="182"/>
      <c r="AK168" s="167"/>
      <c r="AL168" s="170">
        <f t="shared" si="17"/>
        <v>1583.58825</v>
      </c>
      <c r="AM168" s="170"/>
      <c r="AN168" s="170">
        <f t="shared" si="18"/>
        <v>184.31</v>
      </c>
      <c r="AO168" s="170"/>
      <c r="AP168" s="170">
        <f t="shared" si="19"/>
        <v>77.928377782500007</v>
      </c>
      <c r="AQ168" s="170"/>
      <c r="AR168" s="170">
        <f t="shared" si="20"/>
        <v>522.58412250000003</v>
      </c>
      <c r="AS168" s="170"/>
      <c r="AT168" s="170" t="e">
        <f>+(N168+P168)+((X168+Z168+AF168)/Datos_Generales!$E$15)</f>
        <v>#DIV/0!</v>
      </c>
      <c r="AU168" s="199"/>
      <c r="AV168" s="199">
        <f t="shared" si="21"/>
        <v>2106.1723725000002</v>
      </c>
      <c r="AW168" s="199"/>
      <c r="AX168" s="173" t="e">
        <f t="shared" si="22"/>
        <v>#DIV/0!</v>
      </c>
    </row>
    <row r="169" spans="1:50" x14ac:dyDescent="0.2">
      <c r="A169" s="161" t="s">
        <v>2318</v>
      </c>
      <c r="B169" s="183">
        <v>2025</v>
      </c>
      <c r="C169" s="163"/>
      <c r="D169" s="163"/>
      <c r="E169" s="164" t="s">
        <v>2268</v>
      </c>
      <c r="F169" s="165" t="s">
        <v>2323</v>
      </c>
      <c r="G169" s="166">
        <v>40</v>
      </c>
      <c r="H169" s="167">
        <v>8</v>
      </c>
      <c r="I169" s="167">
        <f>1242.03*1.02</f>
        <v>1266.8706</v>
      </c>
      <c r="J169" s="168">
        <v>1266.8706</v>
      </c>
      <c r="K169" s="169">
        <v>15</v>
      </c>
      <c r="L169" s="167">
        <f t="shared" si="16"/>
        <v>316.71764999999999</v>
      </c>
      <c r="M169" s="170">
        <v>12</v>
      </c>
      <c r="N169" s="168">
        <v>112.63</v>
      </c>
      <c r="O169" s="170">
        <v>12</v>
      </c>
      <c r="P169" s="168">
        <v>18.32</v>
      </c>
      <c r="Q169" s="170"/>
      <c r="R169" s="168"/>
      <c r="S169" s="171"/>
      <c r="T169" s="168"/>
      <c r="U169" s="167"/>
      <c r="V169" s="168"/>
      <c r="W169" s="167"/>
      <c r="X169" s="168">
        <v>15</v>
      </c>
      <c r="Y169" s="167"/>
      <c r="Z169" s="168">
        <v>20</v>
      </c>
      <c r="AA169" s="167"/>
      <c r="AB169" s="172">
        <f>+Datos_Generales!$K$9</f>
        <v>3.6999999999999998E-2</v>
      </c>
      <c r="AC169" s="167"/>
      <c r="AD169" s="172">
        <v>0.33</v>
      </c>
      <c r="AE169" s="167"/>
      <c r="AF169" s="168">
        <v>18.36</v>
      </c>
      <c r="AG169" s="167"/>
      <c r="AH169" s="182"/>
      <c r="AI169" s="167"/>
      <c r="AJ169" s="182"/>
      <c r="AK169" s="167"/>
      <c r="AL169" s="170">
        <f t="shared" si="17"/>
        <v>1583.58825</v>
      </c>
      <c r="AM169" s="170"/>
      <c r="AN169" s="170">
        <f t="shared" si="18"/>
        <v>184.31</v>
      </c>
      <c r="AO169" s="170"/>
      <c r="AP169" s="170">
        <f t="shared" si="19"/>
        <v>77.928377782500007</v>
      </c>
      <c r="AQ169" s="170"/>
      <c r="AR169" s="170">
        <f t="shared" si="20"/>
        <v>522.58412250000003</v>
      </c>
      <c r="AS169" s="170"/>
      <c r="AT169" s="170" t="e">
        <f>+(N169+P169)+((X169+Z169+AF169)/Datos_Generales!$E$15)</f>
        <v>#DIV/0!</v>
      </c>
      <c r="AU169" s="199"/>
      <c r="AV169" s="199">
        <f t="shared" si="21"/>
        <v>2106.1723725000002</v>
      </c>
      <c r="AW169" s="199"/>
      <c r="AX169" s="173" t="e">
        <f t="shared" si="22"/>
        <v>#DIV/0!</v>
      </c>
    </row>
    <row r="170" spans="1:50" x14ac:dyDescent="0.2">
      <c r="A170" s="161" t="s">
        <v>2318</v>
      </c>
      <c r="B170" s="183">
        <v>2025</v>
      </c>
      <c r="C170" s="163"/>
      <c r="D170" s="163"/>
      <c r="E170" s="164" t="s">
        <v>1069</v>
      </c>
      <c r="F170" s="165" t="s">
        <v>2324</v>
      </c>
      <c r="G170" s="166">
        <v>40</v>
      </c>
      <c r="H170" s="167">
        <v>8</v>
      </c>
      <c r="I170" s="167">
        <f>1061*1.02</f>
        <v>1082.22</v>
      </c>
      <c r="J170" s="168">
        <v>1082.22</v>
      </c>
      <c r="K170" s="169">
        <v>15</v>
      </c>
      <c r="L170" s="167">
        <f t="shared" si="16"/>
        <v>270.55500000000001</v>
      </c>
      <c r="M170" s="170">
        <v>12</v>
      </c>
      <c r="N170" s="168">
        <v>112.63</v>
      </c>
      <c r="O170" s="170">
        <v>12</v>
      </c>
      <c r="P170" s="168">
        <v>18.32</v>
      </c>
      <c r="Q170" s="170"/>
      <c r="R170" s="168"/>
      <c r="S170" s="171"/>
      <c r="T170" s="168"/>
      <c r="U170" s="167"/>
      <c r="V170" s="168"/>
      <c r="W170" s="167"/>
      <c r="X170" s="168">
        <v>15</v>
      </c>
      <c r="Y170" s="167"/>
      <c r="Z170" s="168">
        <v>20</v>
      </c>
      <c r="AA170" s="167"/>
      <c r="AB170" s="172">
        <f>+Datos_Generales!$K$9</f>
        <v>3.6999999999999998E-2</v>
      </c>
      <c r="AC170" s="167"/>
      <c r="AD170" s="172">
        <v>0.33</v>
      </c>
      <c r="AE170" s="167"/>
      <c r="AF170" s="168">
        <v>18.36</v>
      </c>
      <c r="AG170" s="167"/>
      <c r="AH170" s="182"/>
      <c r="AI170" s="167"/>
      <c r="AJ170" s="182"/>
      <c r="AK170" s="167"/>
      <c r="AL170" s="170">
        <f t="shared" si="17"/>
        <v>1352.7750000000001</v>
      </c>
      <c r="AM170" s="170"/>
      <c r="AN170" s="170">
        <f t="shared" si="18"/>
        <v>184.31</v>
      </c>
      <c r="AO170" s="170"/>
      <c r="AP170" s="170">
        <f t="shared" si="19"/>
        <v>66.570057750000004</v>
      </c>
      <c r="AQ170" s="170"/>
      <c r="AR170" s="170">
        <f t="shared" si="20"/>
        <v>446.41575000000006</v>
      </c>
      <c r="AS170" s="170"/>
      <c r="AT170" s="170" t="e">
        <f>+(N170+P170)+((X170+Z170+AF170)/Datos_Generales!$E$15)</f>
        <v>#DIV/0!</v>
      </c>
      <c r="AU170" s="199"/>
      <c r="AV170" s="199">
        <f t="shared" si="21"/>
        <v>1799.1907500000002</v>
      </c>
      <c r="AW170" s="199"/>
      <c r="AX170" s="173" t="e">
        <f t="shared" si="22"/>
        <v>#DIV/0!</v>
      </c>
    </row>
    <row r="171" spans="1:50" x14ac:dyDescent="0.2">
      <c r="A171" s="161" t="s">
        <v>2318</v>
      </c>
      <c r="B171" s="183">
        <v>2025</v>
      </c>
      <c r="C171" s="180"/>
      <c r="D171" s="175"/>
      <c r="E171" s="176" t="s">
        <v>1084</v>
      </c>
      <c r="F171" s="165" t="s">
        <v>2325</v>
      </c>
      <c r="G171" s="166">
        <v>40</v>
      </c>
      <c r="H171" s="167">
        <v>8</v>
      </c>
      <c r="I171" s="167">
        <f>1137.67*1.02</f>
        <v>1160.4234000000001</v>
      </c>
      <c r="J171" s="168">
        <v>1160.4234000000001</v>
      </c>
      <c r="K171" s="169">
        <v>15</v>
      </c>
      <c r="L171" s="167">
        <f t="shared" si="16"/>
        <v>290.10585000000003</v>
      </c>
      <c r="M171" s="170">
        <v>12</v>
      </c>
      <c r="N171" s="168">
        <v>112.63</v>
      </c>
      <c r="O171" s="170">
        <v>12</v>
      </c>
      <c r="P171" s="168">
        <v>18.32</v>
      </c>
      <c r="Q171" s="170"/>
      <c r="R171" s="168"/>
      <c r="S171" s="171"/>
      <c r="T171" s="168"/>
      <c r="U171" s="167"/>
      <c r="V171" s="168"/>
      <c r="W171" s="167"/>
      <c r="X171" s="168">
        <v>15</v>
      </c>
      <c r="Y171" s="167"/>
      <c r="Z171" s="168">
        <v>20</v>
      </c>
      <c r="AA171" s="167"/>
      <c r="AB171" s="172">
        <f>+Datos_Generales!$K$9</f>
        <v>3.6999999999999998E-2</v>
      </c>
      <c r="AC171" s="167"/>
      <c r="AD171" s="172">
        <v>0.33</v>
      </c>
      <c r="AE171" s="167"/>
      <c r="AF171" s="168">
        <v>18.36</v>
      </c>
      <c r="AG171" s="167"/>
      <c r="AH171" s="182"/>
      <c r="AI171" s="167"/>
      <c r="AJ171" s="182"/>
      <c r="AK171" s="167"/>
      <c r="AL171" s="170">
        <f t="shared" si="17"/>
        <v>1450.52925</v>
      </c>
      <c r="AM171" s="170"/>
      <c r="AN171" s="170">
        <f t="shared" si="18"/>
        <v>184.31</v>
      </c>
      <c r="AO171" s="170"/>
      <c r="AP171" s="170">
        <f t="shared" si="19"/>
        <v>71.380544392499999</v>
      </c>
      <c r="AQ171" s="170"/>
      <c r="AR171" s="170">
        <f t="shared" si="20"/>
        <v>478.67465250000004</v>
      </c>
      <c r="AS171" s="170"/>
      <c r="AT171" s="170" t="e">
        <f>+(N171+P171)+((X171+Z171+AF171)/Datos_Generales!$E$15)</f>
        <v>#DIV/0!</v>
      </c>
      <c r="AU171" s="199"/>
      <c r="AV171" s="199">
        <f t="shared" si="21"/>
        <v>1929.2039025000001</v>
      </c>
      <c r="AW171" s="199"/>
      <c r="AX171" s="173" t="e">
        <f t="shared" si="22"/>
        <v>#DIV/0!</v>
      </c>
    </row>
    <row r="172" spans="1:50" x14ac:dyDescent="0.2">
      <c r="A172" s="161" t="s">
        <v>2318</v>
      </c>
      <c r="B172" s="183">
        <v>2025</v>
      </c>
      <c r="C172" s="163"/>
      <c r="D172" s="163"/>
      <c r="E172" s="164" t="s">
        <v>2275</v>
      </c>
      <c r="F172" s="165" t="s">
        <v>2326</v>
      </c>
      <c r="G172" s="166">
        <v>40</v>
      </c>
      <c r="H172" s="167">
        <v>8</v>
      </c>
      <c r="I172" s="167">
        <f>1006.39*1.02</f>
        <v>1026.5178000000001</v>
      </c>
      <c r="J172" s="168">
        <v>1026.5178000000001</v>
      </c>
      <c r="K172" s="169">
        <v>15</v>
      </c>
      <c r="L172" s="167">
        <f t="shared" si="16"/>
        <v>256.62945000000002</v>
      </c>
      <c r="M172" s="170">
        <v>12</v>
      </c>
      <c r="N172" s="168">
        <v>112.63</v>
      </c>
      <c r="O172" s="170">
        <v>12</v>
      </c>
      <c r="P172" s="168">
        <v>18.32</v>
      </c>
      <c r="Q172" s="170"/>
      <c r="R172" s="168"/>
      <c r="S172" s="171"/>
      <c r="T172" s="168"/>
      <c r="U172" s="167"/>
      <c r="V172" s="168"/>
      <c r="W172" s="167"/>
      <c r="X172" s="168">
        <v>15</v>
      </c>
      <c r="Y172" s="167"/>
      <c r="Z172" s="168">
        <v>20</v>
      </c>
      <c r="AA172" s="167"/>
      <c r="AB172" s="172">
        <f>+Datos_Generales!$K$9</f>
        <v>3.6999999999999998E-2</v>
      </c>
      <c r="AC172" s="167"/>
      <c r="AD172" s="172">
        <v>0.33</v>
      </c>
      <c r="AE172" s="167"/>
      <c r="AF172" s="168">
        <v>18.36</v>
      </c>
      <c r="AG172" s="167"/>
      <c r="AH172" s="182"/>
      <c r="AI172" s="167"/>
      <c r="AJ172" s="182"/>
      <c r="AK172" s="167"/>
      <c r="AL172" s="170">
        <f t="shared" si="17"/>
        <v>1283.14725</v>
      </c>
      <c r="AM172" s="170"/>
      <c r="AN172" s="170">
        <f t="shared" si="18"/>
        <v>184.31</v>
      </c>
      <c r="AO172" s="170"/>
      <c r="AP172" s="170">
        <f t="shared" si="19"/>
        <v>63.143676172500001</v>
      </c>
      <c r="AQ172" s="170"/>
      <c r="AR172" s="170">
        <f t="shared" si="20"/>
        <v>423.43859250000003</v>
      </c>
      <c r="AS172" s="170"/>
      <c r="AT172" s="170" t="e">
        <f>+(N172+P172)+((X172+Z172+AF172)/Datos_Generales!$E$15)</f>
        <v>#DIV/0!</v>
      </c>
      <c r="AU172" s="199"/>
      <c r="AV172" s="199">
        <f t="shared" si="21"/>
        <v>1706.5858425000001</v>
      </c>
      <c r="AW172" s="199"/>
      <c r="AX172" s="173" t="e">
        <f t="shared" si="22"/>
        <v>#DIV/0!</v>
      </c>
    </row>
    <row r="173" spans="1:50" x14ac:dyDescent="0.2">
      <c r="A173" s="161" t="s">
        <v>2318</v>
      </c>
      <c r="B173" s="183">
        <v>2025</v>
      </c>
      <c r="C173" s="163"/>
      <c r="D173" s="163"/>
      <c r="E173" s="164" t="s">
        <v>2284</v>
      </c>
      <c r="F173" s="165" t="s">
        <v>2324</v>
      </c>
      <c r="G173" s="166">
        <v>40</v>
      </c>
      <c r="H173" s="167">
        <v>8</v>
      </c>
      <c r="I173" s="167">
        <f>1061*1.02</f>
        <v>1082.22</v>
      </c>
      <c r="J173" s="168">
        <v>1082.22</v>
      </c>
      <c r="K173" s="169">
        <v>15</v>
      </c>
      <c r="L173" s="167">
        <f t="shared" si="16"/>
        <v>270.55500000000001</v>
      </c>
      <c r="M173" s="170">
        <v>12</v>
      </c>
      <c r="N173" s="168">
        <v>112.63</v>
      </c>
      <c r="O173" s="170">
        <v>12</v>
      </c>
      <c r="P173" s="168">
        <v>18.32</v>
      </c>
      <c r="Q173" s="170"/>
      <c r="R173" s="168"/>
      <c r="S173" s="171"/>
      <c r="T173" s="168"/>
      <c r="U173" s="167"/>
      <c r="V173" s="168"/>
      <c r="W173" s="167"/>
      <c r="X173" s="168">
        <v>15</v>
      </c>
      <c r="Y173" s="167"/>
      <c r="Z173" s="168">
        <v>20</v>
      </c>
      <c r="AA173" s="167"/>
      <c r="AB173" s="172">
        <f>+Datos_Generales!$K$9</f>
        <v>3.6999999999999998E-2</v>
      </c>
      <c r="AC173" s="167"/>
      <c r="AD173" s="172">
        <v>0.33</v>
      </c>
      <c r="AE173" s="167"/>
      <c r="AF173" s="168">
        <v>18.36</v>
      </c>
      <c r="AG173" s="167"/>
      <c r="AH173" s="182"/>
      <c r="AI173" s="167"/>
      <c r="AJ173" s="182"/>
      <c r="AK173" s="167"/>
      <c r="AL173" s="170">
        <f t="shared" si="17"/>
        <v>1352.7750000000001</v>
      </c>
      <c r="AM173" s="170"/>
      <c r="AN173" s="170">
        <f t="shared" si="18"/>
        <v>184.31</v>
      </c>
      <c r="AO173" s="170"/>
      <c r="AP173" s="170">
        <f t="shared" si="19"/>
        <v>66.570057750000004</v>
      </c>
      <c r="AQ173" s="170"/>
      <c r="AR173" s="170">
        <f t="shared" si="20"/>
        <v>446.41575000000006</v>
      </c>
      <c r="AS173" s="170"/>
      <c r="AT173" s="170" t="e">
        <f>+(N173+P173)+((X173+Z173+AF173)/Datos_Generales!$E$15)</f>
        <v>#DIV/0!</v>
      </c>
      <c r="AU173" s="199"/>
      <c r="AV173" s="199">
        <f t="shared" si="21"/>
        <v>1799.1907500000002</v>
      </c>
      <c r="AW173" s="199"/>
      <c r="AX173" s="173" t="e">
        <f t="shared" si="22"/>
        <v>#DIV/0!</v>
      </c>
    </row>
    <row r="174" spans="1:50" x14ac:dyDescent="0.2">
      <c r="A174" s="161" t="s">
        <v>2318</v>
      </c>
      <c r="B174" s="183">
        <v>2025</v>
      </c>
      <c r="C174" s="163"/>
      <c r="D174" s="163"/>
      <c r="E174" s="164" t="s">
        <v>1073</v>
      </c>
      <c r="F174" s="165" t="s">
        <v>2273</v>
      </c>
      <c r="G174" s="166">
        <v>40</v>
      </c>
      <c r="H174" s="167">
        <v>8</v>
      </c>
      <c r="I174" s="167">
        <f>1006.39*1.02</f>
        <v>1026.5178000000001</v>
      </c>
      <c r="J174" s="168">
        <v>1026.5178000000001</v>
      </c>
      <c r="K174" s="169">
        <v>12</v>
      </c>
      <c r="L174" s="167">
        <f t="shared" si="16"/>
        <v>0</v>
      </c>
      <c r="M174" s="170"/>
      <c r="N174" s="168"/>
      <c r="O174" s="170"/>
      <c r="P174" s="168"/>
      <c r="Q174" s="170"/>
      <c r="R174" s="168"/>
      <c r="S174" s="171"/>
      <c r="T174" s="168"/>
      <c r="U174" s="167"/>
      <c r="V174" s="168"/>
      <c r="W174" s="167"/>
      <c r="X174" s="168">
        <v>15</v>
      </c>
      <c r="Y174" s="167"/>
      <c r="Z174" s="168">
        <v>20</v>
      </c>
      <c r="AA174" s="167"/>
      <c r="AB174" s="172">
        <f>+Datos_Generales!$K$9</f>
        <v>3.6999999999999998E-2</v>
      </c>
      <c r="AC174" s="167"/>
      <c r="AD174" s="172">
        <v>0.33</v>
      </c>
      <c r="AE174" s="167"/>
      <c r="AF174" s="168">
        <v>18.36</v>
      </c>
      <c r="AG174" s="167"/>
      <c r="AH174" s="182"/>
      <c r="AI174" s="167"/>
      <c r="AJ174" s="182"/>
      <c r="AK174" s="167"/>
      <c r="AL174" s="170">
        <f t="shared" si="17"/>
        <v>1026.5178000000001</v>
      </c>
      <c r="AM174" s="170"/>
      <c r="AN174" s="170">
        <f t="shared" si="18"/>
        <v>53.36</v>
      </c>
      <c r="AO174" s="170"/>
      <c r="AP174" s="170">
        <f t="shared" si="19"/>
        <v>50.514940938000002</v>
      </c>
      <c r="AQ174" s="170"/>
      <c r="AR174" s="170">
        <f t="shared" si="20"/>
        <v>338.75087400000007</v>
      </c>
      <c r="AS174" s="170"/>
      <c r="AT174" s="170" t="e">
        <f>+(N174+P174)+((X174+Z174+AF174)/Datos_Generales!$E$15)</f>
        <v>#DIV/0!</v>
      </c>
      <c r="AU174" s="199"/>
      <c r="AV174" s="199">
        <f t="shared" si="21"/>
        <v>1365.2686740000001</v>
      </c>
      <c r="AW174" s="199"/>
      <c r="AX174" s="173" t="e">
        <f t="shared" si="22"/>
        <v>#DIV/0!</v>
      </c>
    </row>
    <row r="175" spans="1:50" x14ac:dyDescent="0.2">
      <c r="A175" s="161" t="s">
        <v>2318</v>
      </c>
      <c r="B175" s="183">
        <v>2025</v>
      </c>
      <c r="C175" s="163"/>
      <c r="D175" s="163"/>
      <c r="E175" s="164" t="s">
        <v>1168</v>
      </c>
      <c r="F175" s="165" t="s">
        <v>2326</v>
      </c>
      <c r="G175" s="166">
        <v>40</v>
      </c>
      <c r="H175" s="167">
        <v>8</v>
      </c>
      <c r="I175" s="167">
        <f>1006.39*1.02</f>
        <v>1026.5178000000001</v>
      </c>
      <c r="J175" s="168">
        <v>1026.5178000000001</v>
      </c>
      <c r="K175" s="169">
        <v>15</v>
      </c>
      <c r="L175" s="167">
        <f t="shared" si="16"/>
        <v>256.62945000000002</v>
      </c>
      <c r="M175" s="170">
        <v>12</v>
      </c>
      <c r="N175" s="168">
        <v>112.63</v>
      </c>
      <c r="O175" s="170">
        <v>12</v>
      </c>
      <c r="P175" s="168">
        <v>18.32</v>
      </c>
      <c r="Q175" s="170"/>
      <c r="R175" s="168"/>
      <c r="S175" s="171"/>
      <c r="T175" s="168"/>
      <c r="U175" s="167"/>
      <c r="V175" s="168"/>
      <c r="W175" s="167"/>
      <c r="X175" s="168">
        <v>15</v>
      </c>
      <c r="Y175" s="167"/>
      <c r="Z175" s="168">
        <v>20</v>
      </c>
      <c r="AA175" s="167"/>
      <c r="AB175" s="172">
        <f>+Datos_Generales!$K$9</f>
        <v>3.6999999999999998E-2</v>
      </c>
      <c r="AC175" s="167"/>
      <c r="AD175" s="172">
        <v>0.33</v>
      </c>
      <c r="AE175" s="167"/>
      <c r="AF175" s="168">
        <v>18.36</v>
      </c>
      <c r="AG175" s="167"/>
      <c r="AH175" s="182"/>
      <c r="AI175" s="167"/>
      <c r="AJ175" s="182"/>
      <c r="AK175" s="167"/>
      <c r="AL175" s="170">
        <f t="shared" si="17"/>
        <v>1283.14725</v>
      </c>
      <c r="AM175" s="170"/>
      <c r="AN175" s="170">
        <f t="shared" si="18"/>
        <v>184.31</v>
      </c>
      <c r="AO175" s="170"/>
      <c r="AP175" s="170">
        <f t="shared" si="19"/>
        <v>63.143676172500001</v>
      </c>
      <c r="AQ175" s="170"/>
      <c r="AR175" s="170">
        <f t="shared" si="20"/>
        <v>423.43859250000003</v>
      </c>
      <c r="AS175" s="170"/>
      <c r="AT175" s="170" t="e">
        <f>+(N175+P175)+((X175+Z175+AF175)/Datos_Generales!$E$15)</f>
        <v>#DIV/0!</v>
      </c>
      <c r="AU175" s="199"/>
      <c r="AV175" s="199">
        <f t="shared" si="21"/>
        <v>1706.5858425000001</v>
      </c>
      <c r="AW175" s="199"/>
      <c r="AX175" s="173" t="e">
        <f t="shared" si="22"/>
        <v>#DIV/0!</v>
      </c>
    </row>
    <row r="176" spans="1:50" x14ac:dyDescent="0.2">
      <c r="A176" s="161" t="s">
        <v>2318</v>
      </c>
      <c r="B176" s="183">
        <v>2025</v>
      </c>
      <c r="C176" s="163"/>
      <c r="D176" s="163"/>
      <c r="E176" s="164" t="s">
        <v>2286</v>
      </c>
      <c r="F176" s="165" t="s">
        <v>2326</v>
      </c>
      <c r="G176" s="166">
        <v>40</v>
      </c>
      <c r="H176" s="167">
        <v>8</v>
      </c>
      <c r="I176" s="167">
        <f>1006.39*1.02</f>
        <v>1026.5178000000001</v>
      </c>
      <c r="J176" s="168">
        <v>1026.5178000000001</v>
      </c>
      <c r="K176" s="169">
        <v>15</v>
      </c>
      <c r="L176" s="167">
        <f t="shared" si="16"/>
        <v>256.62945000000002</v>
      </c>
      <c r="M176" s="170">
        <v>12</v>
      </c>
      <c r="N176" s="168">
        <v>112.63</v>
      </c>
      <c r="O176" s="170">
        <v>12</v>
      </c>
      <c r="P176" s="168">
        <v>18.32</v>
      </c>
      <c r="Q176" s="170"/>
      <c r="R176" s="168"/>
      <c r="S176" s="171"/>
      <c r="T176" s="168"/>
      <c r="U176" s="167"/>
      <c r="V176" s="168"/>
      <c r="W176" s="167"/>
      <c r="X176" s="168">
        <v>15</v>
      </c>
      <c r="Y176" s="167"/>
      <c r="Z176" s="168">
        <v>20</v>
      </c>
      <c r="AA176" s="167"/>
      <c r="AB176" s="172">
        <f>+Datos_Generales!$K$9</f>
        <v>3.6999999999999998E-2</v>
      </c>
      <c r="AC176" s="167"/>
      <c r="AD176" s="172">
        <v>0.33</v>
      </c>
      <c r="AE176" s="167"/>
      <c r="AF176" s="168">
        <v>18.36</v>
      </c>
      <c r="AG176" s="167"/>
      <c r="AH176" s="182"/>
      <c r="AI176" s="167"/>
      <c r="AJ176" s="182"/>
      <c r="AK176" s="167"/>
      <c r="AL176" s="170">
        <f t="shared" si="17"/>
        <v>1283.14725</v>
      </c>
      <c r="AM176" s="170"/>
      <c r="AN176" s="170">
        <f t="shared" si="18"/>
        <v>184.31</v>
      </c>
      <c r="AO176" s="170"/>
      <c r="AP176" s="170">
        <f t="shared" si="19"/>
        <v>63.143676172500001</v>
      </c>
      <c r="AQ176" s="170"/>
      <c r="AR176" s="170">
        <f t="shared" si="20"/>
        <v>423.43859250000003</v>
      </c>
      <c r="AS176" s="170"/>
      <c r="AT176" s="170" t="e">
        <f>+(N176+P176)+((X176+Z176+AF176)/Datos_Generales!$E$15)</f>
        <v>#DIV/0!</v>
      </c>
      <c r="AU176" s="199"/>
      <c r="AV176" s="199">
        <f t="shared" si="21"/>
        <v>1706.5858425000001</v>
      </c>
      <c r="AW176" s="199"/>
      <c r="AX176" s="173" t="e">
        <f t="shared" si="22"/>
        <v>#DIV/0!</v>
      </c>
    </row>
    <row r="177" spans="1:50" x14ac:dyDescent="0.2">
      <c r="A177" s="161" t="s">
        <v>2327</v>
      </c>
      <c r="B177" s="183">
        <v>2025</v>
      </c>
      <c r="C177" s="163">
        <v>0</v>
      </c>
      <c r="D177" s="163">
        <v>1794</v>
      </c>
      <c r="E177" s="164" t="s">
        <v>1063</v>
      </c>
      <c r="F177" s="165">
        <v>1</v>
      </c>
      <c r="G177" s="166">
        <v>40</v>
      </c>
      <c r="H177" s="167">
        <v>8</v>
      </c>
      <c r="I177" s="167">
        <f>1687.87*1.02</f>
        <v>1721.6273999999999</v>
      </c>
      <c r="J177" s="168">
        <v>1721.6273999999999</v>
      </c>
      <c r="K177" s="169">
        <v>14</v>
      </c>
      <c r="L177" s="167">
        <f t="shared" si="16"/>
        <v>286.93789999999996</v>
      </c>
      <c r="M177" s="170">
        <v>12</v>
      </c>
      <c r="N177" s="168">
        <v>16.420000000000002</v>
      </c>
      <c r="O177" s="170">
        <v>12</v>
      </c>
      <c r="P177" s="168">
        <v>24.56</v>
      </c>
      <c r="Q177" s="170"/>
      <c r="R177" s="168"/>
      <c r="S177" s="171"/>
      <c r="T177" s="168"/>
      <c r="U177" s="167"/>
      <c r="V177" s="168"/>
      <c r="W177" s="167"/>
      <c r="X177" s="168">
        <v>15</v>
      </c>
      <c r="Y177" s="167"/>
      <c r="Z177" s="168">
        <v>20</v>
      </c>
      <c r="AA177" s="167"/>
      <c r="AB177" s="172">
        <f>+Datos_Generales!$K$9</f>
        <v>3.6999999999999998E-2</v>
      </c>
      <c r="AC177" s="167"/>
      <c r="AD177" s="172">
        <v>0.33</v>
      </c>
      <c r="AE177" s="167"/>
      <c r="AF177" s="168">
        <v>18.36</v>
      </c>
      <c r="AG177" s="167"/>
      <c r="AH177" s="182"/>
      <c r="AI177" s="167"/>
      <c r="AJ177" s="182"/>
      <c r="AK177" s="167"/>
      <c r="AL177" s="170">
        <f t="shared" si="17"/>
        <v>2008.5652999999998</v>
      </c>
      <c r="AM177" s="170"/>
      <c r="AN177" s="170">
        <f t="shared" si="18"/>
        <v>94.34</v>
      </c>
      <c r="AO177" s="170"/>
      <c r="AP177" s="170">
        <f t="shared" si="19"/>
        <v>98.841498412999982</v>
      </c>
      <c r="AQ177" s="170"/>
      <c r="AR177" s="170">
        <f t="shared" si="20"/>
        <v>662.826549</v>
      </c>
      <c r="AS177" s="170"/>
      <c r="AT177" s="170" t="e">
        <f>+(N177+P177)+((X177+Z177+AF177)/Datos_Generales!$E$15)</f>
        <v>#DIV/0!</v>
      </c>
      <c r="AU177" s="199"/>
      <c r="AV177" s="199">
        <f t="shared" si="21"/>
        <v>2671.3918489999996</v>
      </c>
      <c r="AW177" s="199"/>
      <c r="AX177" s="173" t="e">
        <f t="shared" si="22"/>
        <v>#DIV/0!</v>
      </c>
    </row>
    <row r="178" spans="1:50" x14ac:dyDescent="0.2">
      <c r="A178" s="161" t="s">
        <v>2327</v>
      </c>
      <c r="B178" s="183">
        <v>2025</v>
      </c>
      <c r="C178" s="163"/>
      <c r="D178" s="163"/>
      <c r="E178" s="164" t="s">
        <v>2328</v>
      </c>
      <c r="F178" s="165">
        <v>1</v>
      </c>
      <c r="G178" s="166">
        <v>40</v>
      </c>
      <c r="H178" s="167">
        <v>8</v>
      </c>
      <c r="I178" s="167">
        <f>1687.87*1.02</f>
        <v>1721.6273999999999</v>
      </c>
      <c r="J178" s="168">
        <v>1721.6273999999999</v>
      </c>
      <c r="K178" s="169">
        <v>14</v>
      </c>
      <c r="L178" s="167">
        <f t="shared" si="16"/>
        <v>286.93789999999996</v>
      </c>
      <c r="M178" s="170">
        <v>12</v>
      </c>
      <c r="N178" s="168">
        <v>16.420000000000002</v>
      </c>
      <c r="O178" s="170">
        <v>12</v>
      </c>
      <c r="P178" s="168">
        <v>24.56</v>
      </c>
      <c r="Q178" s="170"/>
      <c r="R178" s="168"/>
      <c r="S178" s="171"/>
      <c r="T178" s="168"/>
      <c r="U178" s="167"/>
      <c r="V178" s="168"/>
      <c r="W178" s="167"/>
      <c r="X178" s="168">
        <v>15</v>
      </c>
      <c r="Y178" s="167"/>
      <c r="Z178" s="168">
        <v>20</v>
      </c>
      <c r="AA178" s="167"/>
      <c r="AB178" s="172">
        <f>+Datos_Generales!$K$9</f>
        <v>3.6999999999999998E-2</v>
      </c>
      <c r="AC178" s="167"/>
      <c r="AD178" s="172">
        <v>0.33</v>
      </c>
      <c r="AE178" s="167"/>
      <c r="AF178" s="168">
        <v>18.36</v>
      </c>
      <c r="AG178" s="167"/>
      <c r="AH178" s="182"/>
      <c r="AI178" s="167"/>
      <c r="AJ178" s="182"/>
      <c r="AK178" s="167"/>
      <c r="AL178" s="170">
        <f t="shared" si="17"/>
        <v>2008.5652999999998</v>
      </c>
      <c r="AM178" s="170"/>
      <c r="AN178" s="170">
        <f t="shared" si="18"/>
        <v>94.34</v>
      </c>
      <c r="AO178" s="170"/>
      <c r="AP178" s="170">
        <f t="shared" si="19"/>
        <v>98.841498412999982</v>
      </c>
      <c r="AQ178" s="170"/>
      <c r="AR178" s="170">
        <f t="shared" si="20"/>
        <v>662.826549</v>
      </c>
      <c r="AS178" s="170"/>
      <c r="AT178" s="170" t="e">
        <f>+(N178+P178)+((X178+Z178+AF178)/Datos_Generales!$E$15)</f>
        <v>#DIV/0!</v>
      </c>
      <c r="AU178" s="199"/>
      <c r="AV178" s="199">
        <f t="shared" si="21"/>
        <v>2671.3918489999996</v>
      </c>
      <c r="AW178" s="199"/>
      <c r="AX178" s="173" t="e">
        <f t="shared" si="22"/>
        <v>#DIV/0!</v>
      </c>
    </row>
    <row r="179" spans="1:50" x14ac:dyDescent="0.2">
      <c r="A179" s="161" t="s">
        <v>2327</v>
      </c>
      <c r="B179" s="183">
        <v>2025</v>
      </c>
      <c r="C179" s="163"/>
      <c r="D179" s="163"/>
      <c r="E179" s="164" t="s">
        <v>2329</v>
      </c>
      <c r="F179" s="165">
        <v>2</v>
      </c>
      <c r="G179" s="166">
        <v>40</v>
      </c>
      <c r="H179" s="167">
        <v>8</v>
      </c>
      <c r="I179" s="167">
        <f>1557.67*1.02</f>
        <v>1588.8234</v>
      </c>
      <c r="J179" s="168">
        <v>1588.8234</v>
      </c>
      <c r="K179" s="169">
        <v>14</v>
      </c>
      <c r="L179" s="167">
        <f t="shared" si="16"/>
        <v>264.8039</v>
      </c>
      <c r="M179" s="170">
        <v>12</v>
      </c>
      <c r="N179" s="168">
        <v>16.420000000000002</v>
      </c>
      <c r="O179" s="170">
        <v>12</v>
      </c>
      <c r="P179" s="168">
        <v>24.56</v>
      </c>
      <c r="Q179" s="170"/>
      <c r="R179" s="168"/>
      <c r="S179" s="171"/>
      <c r="T179" s="168"/>
      <c r="U179" s="167"/>
      <c r="V179" s="168"/>
      <c r="W179" s="167"/>
      <c r="X179" s="168">
        <v>15</v>
      </c>
      <c r="Y179" s="167"/>
      <c r="Z179" s="168">
        <v>20</v>
      </c>
      <c r="AA179" s="167"/>
      <c r="AB179" s="172">
        <f>+Datos_Generales!$K$9</f>
        <v>3.6999999999999998E-2</v>
      </c>
      <c r="AC179" s="167"/>
      <c r="AD179" s="172">
        <v>0.33</v>
      </c>
      <c r="AE179" s="167"/>
      <c r="AF179" s="168">
        <v>18.36</v>
      </c>
      <c r="AG179" s="167"/>
      <c r="AH179" s="182"/>
      <c r="AI179" s="167"/>
      <c r="AJ179" s="182"/>
      <c r="AK179" s="167"/>
      <c r="AL179" s="170">
        <f t="shared" si="17"/>
        <v>1853.6273000000001</v>
      </c>
      <c r="AM179" s="170"/>
      <c r="AN179" s="170">
        <f t="shared" si="18"/>
        <v>94.34</v>
      </c>
      <c r="AO179" s="170"/>
      <c r="AP179" s="170">
        <f t="shared" si="19"/>
        <v>91.216999432999998</v>
      </c>
      <c r="AQ179" s="170"/>
      <c r="AR179" s="170">
        <f t="shared" si="20"/>
        <v>611.69700900000009</v>
      </c>
      <c r="AS179" s="170"/>
      <c r="AT179" s="170" t="e">
        <f>+(N179+P179)+((X179+Z179+AF179)/Datos_Generales!$E$15)</f>
        <v>#DIV/0!</v>
      </c>
      <c r="AU179" s="199"/>
      <c r="AV179" s="199">
        <f t="shared" si="21"/>
        <v>2465.3243090000001</v>
      </c>
      <c r="AW179" s="199"/>
      <c r="AX179" s="173" t="e">
        <f t="shared" si="22"/>
        <v>#DIV/0!</v>
      </c>
    </row>
    <row r="180" spans="1:50" x14ac:dyDescent="0.2">
      <c r="A180" s="161" t="s">
        <v>2327</v>
      </c>
      <c r="B180" s="183">
        <v>2025</v>
      </c>
      <c r="C180" s="163"/>
      <c r="D180" s="163"/>
      <c r="E180" s="164" t="s">
        <v>2322</v>
      </c>
      <c r="F180" s="165">
        <v>2</v>
      </c>
      <c r="G180" s="166">
        <v>40</v>
      </c>
      <c r="H180" s="167">
        <v>8</v>
      </c>
      <c r="I180" s="167">
        <f>1557.67*1.02</f>
        <v>1588.8234</v>
      </c>
      <c r="J180" s="168">
        <v>1588.8234</v>
      </c>
      <c r="K180" s="169">
        <v>14</v>
      </c>
      <c r="L180" s="167">
        <f t="shared" si="16"/>
        <v>264.8039</v>
      </c>
      <c r="M180" s="170">
        <v>12</v>
      </c>
      <c r="N180" s="168">
        <v>16.420000000000002</v>
      </c>
      <c r="O180" s="170">
        <v>12</v>
      </c>
      <c r="P180" s="168">
        <v>24.56</v>
      </c>
      <c r="Q180" s="170"/>
      <c r="R180" s="168"/>
      <c r="S180" s="171"/>
      <c r="T180" s="168"/>
      <c r="U180" s="167"/>
      <c r="V180" s="168"/>
      <c r="W180" s="167"/>
      <c r="X180" s="168">
        <v>15</v>
      </c>
      <c r="Y180" s="167"/>
      <c r="Z180" s="168">
        <v>20</v>
      </c>
      <c r="AA180" s="167"/>
      <c r="AB180" s="172">
        <f>+Datos_Generales!$K$9</f>
        <v>3.6999999999999998E-2</v>
      </c>
      <c r="AC180" s="167"/>
      <c r="AD180" s="172">
        <v>0.33</v>
      </c>
      <c r="AE180" s="167"/>
      <c r="AF180" s="168">
        <v>18.36</v>
      </c>
      <c r="AG180" s="167"/>
      <c r="AH180" s="182"/>
      <c r="AI180" s="167"/>
      <c r="AJ180" s="182"/>
      <c r="AK180" s="167"/>
      <c r="AL180" s="170">
        <f t="shared" si="17"/>
        <v>1853.6273000000001</v>
      </c>
      <c r="AM180" s="170"/>
      <c r="AN180" s="170">
        <f t="shared" si="18"/>
        <v>94.34</v>
      </c>
      <c r="AO180" s="170"/>
      <c r="AP180" s="170">
        <f t="shared" si="19"/>
        <v>91.216999432999998</v>
      </c>
      <c r="AQ180" s="170"/>
      <c r="AR180" s="170">
        <f t="shared" si="20"/>
        <v>611.69700900000009</v>
      </c>
      <c r="AS180" s="170"/>
      <c r="AT180" s="170" t="e">
        <f>+(N180+P180)+((X180+Z180+AF180)/Datos_Generales!$E$15)</f>
        <v>#DIV/0!</v>
      </c>
      <c r="AU180" s="199"/>
      <c r="AV180" s="199">
        <f t="shared" si="21"/>
        <v>2465.3243090000001</v>
      </c>
      <c r="AW180" s="199"/>
      <c r="AX180" s="173" t="e">
        <f t="shared" si="22"/>
        <v>#DIV/0!</v>
      </c>
    </row>
    <row r="181" spans="1:50" x14ac:dyDescent="0.2">
      <c r="A181" s="161" t="s">
        <v>2327</v>
      </c>
      <c r="B181" s="183">
        <v>2025</v>
      </c>
      <c r="C181" s="163"/>
      <c r="D181" s="163"/>
      <c r="E181" s="164" t="s">
        <v>1067</v>
      </c>
      <c r="F181" s="165">
        <v>4</v>
      </c>
      <c r="G181" s="166">
        <v>40</v>
      </c>
      <c r="H181" s="167">
        <v>8</v>
      </c>
      <c r="I181" s="167">
        <f>1432.8*1.02</f>
        <v>1461.4559999999999</v>
      </c>
      <c r="J181" s="168">
        <v>1461.4559999999999</v>
      </c>
      <c r="K181" s="169">
        <v>14</v>
      </c>
      <c r="L181" s="167">
        <f t="shared" si="16"/>
        <v>243.57599999999999</v>
      </c>
      <c r="M181" s="170">
        <v>12</v>
      </c>
      <c r="N181" s="168">
        <v>16.420000000000002</v>
      </c>
      <c r="O181" s="170">
        <v>12</v>
      </c>
      <c r="P181" s="168">
        <v>24.56</v>
      </c>
      <c r="Q181" s="170"/>
      <c r="R181" s="168"/>
      <c r="S181" s="171"/>
      <c r="T181" s="168"/>
      <c r="U181" s="167"/>
      <c r="V181" s="168"/>
      <c r="W181" s="167"/>
      <c r="X181" s="168">
        <v>15</v>
      </c>
      <c r="Y181" s="167"/>
      <c r="Z181" s="168">
        <v>20</v>
      </c>
      <c r="AA181" s="167"/>
      <c r="AB181" s="172">
        <f>+Datos_Generales!$K$9</f>
        <v>3.6999999999999998E-2</v>
      </c>
      <c r="AC181" s="167"/>
      <c r="AD181" s="172">
        <v>0.33</v>
      </c>
      <c r="AE181" s="167"/>
      <c r="AF181" s="168">
        <v>18.36</v>
      </c>
      <c r="AG181" s="167"/>
      <c r="AH181" s="182"/>
      <c r="AI181" s="167"/>
      <c r="AJ181" s="182"/>
      <c r="AK181" s="167"/>
      <c r="AL181" s="170">
        <f t="shared" si="17"/>
        <v>1705.0319999999999</v>
      </c>
      <c r="AM181" s="170"/>
      <c r="AN181" s="170">
        <f t="shared" si="18"/>
        <v>94.34</v>
      </c>
      <c r="AO181" s="170"/>
      <c r="AP181" s="170">
        <f t="shared" si="19"/>
        <v>83.904624720000001</v>
      </c>
      <c r="AQ181" s="170"/>
      <c r="AR181" s="170">
        <f t="shared" si="20"/>
        <v>562.66056000000003</v>
      </c>
      <c r="AS181" s="170"/>
      <c r="AT181" s="170" t="e">
        <f>+(N181+P181)+((X181+Z181+AF181)/Datos_Generales!$E$15)</f>
        <v>#DIV/0!</v>
      </c>
      <c r="AU181" s="199"/>
      <c r="AV181" s="199">
        <f t="shared" si="21"/>
        <v>2267.69256</v>
      </c>
      <c r="AW181" s="199"/>
      <c r="AX181" s="173" t="e">
        <f t="shared" si="22"/>
        <v>#DIV/0!</v>
      </c>
    </row>
    <row r="182" spans="1:50" x14ac:dyDescent="0.2">
      <c r="A182" s="161" t="s">
        <v>2327</v>
      </c>
      <c r="B182" s="183">
        <v>2025</v>
      </c>
      <c r="C182" s="163"/>
      <c r="D182" s="163"/>
      <c r="E182" s="164" t="s">
        <v>1084</v>
      </c>
      <c r="F182" s="165">
        <v>4</v>
      </c>
      <c r="G182" s="166">
        <v>40</v>
      </c>
      <c r="H182" s="167">
        <v>8</v>
      </c>
      <c r="I182" s="167">
        <f>1432.8*1.02</f>
        <v>1461.4559999999999</v>
      </c>
      <c r="J182" s="168">
        <v>1461.4559999999999</v>
      </c>
      <c r="K182" s="169">
        <v>14</v>
      </c>
      <c r="L182" s="167">
        <f t="shared" si="16"/>
        <v>243.57599999999999</v>
      </c>
      <c r="M182" s="170">
        <v>12</v>
      </c>
      <c r="N182" s="168">
        <v>16.420000000000002</v>
      </c>
      <c r="O182" s="170">
        <v>12</v>
      </c>
      <c r="P182" s="168">
        <v>24.56</v>
      </c>
      <c r="Q182" s="170"/>
      <c r="R182" s="168"/>
      <c r="S182" s="171"/>
      <c r="T182" s="168"/>
      <c r="U182" s="167"/>
      <c r="V182" s="168"/>
      <c r="W182" s="167"/>
      <c r="X182" s="168">
        <v>15</v>
      </c>
      <c r="Y182" s="167"/>
      <c r="Z182" s="168">
        <v>20</v>
      </c>
      <c r="AA182" s="167"/>
      <c r="AB182" s="172">
        <f>+Datos_Generales!$K$9</f>
        <v>3.6999999999999998E-2</v>
      </c>
      <c r="AC182" s="167"/>
      <c r="AD182" s="172">
        <v>0.33</v>
      </c>
      <c r="AE182" s="167"/>
      <c r="AF182" s="168">
        <v>18.36</v>
      </c>
      <c r="AG182" s="167"/>
      <c r="AH182" s="182"/>
      <c r="AI182" s="167"/>
      <c r="AJ182" s="182"/>
      <c r="AK182" s="167"/>
      <c r="AL182" s="170">
        <f t="shared" si="17"/>
        <v>1705.0319999999999</v>
      </c>
      <c r="AM182" s="170"/>
      <c r="AN182" s="170">
        <f t="shared" si="18"/>
        <v>94.34</v>
      </c>
      <c r="AO182" s="170"/>
      <c r="AP182" s="170">
        <f t="shared" si="19"/>
        <v>83.904624720000001</v>
      </c>
      <c r="AQ182" s="170"/>
      <c r="AR182" s="170">
        <f t="shared" si="20"/>
        <v>562.66056000000003</v>
      </c>
      <c r="AS182" s="170"/>
      <c r="AT182" s="170" t="e">
        <f>+(N182+P182)+((X182+Z182+AF182)/Datos_Generales!$E$15)</f>
        <v>#DIV/0!</v>
      </c>
      <c r="AU182" s="199"/>
      <c r="AV182" s="199">
        <f t="shared" si="21"/>
        <v>2267.69256</v>
      </c>
      <c r="AW182" s="199"/>
      <c r="AX182" s="173" t="e">
        <f t="shared" si="22"/>
        <v>#DIV/0!</v>
      </c>
    </row>
    <row r="183" spans="1:50" x14ac:dyDescent="0.2">
      <c r="A183" s="161" t="s">
        <v>2327</v>
      </c>
      <c r="B183" s="183">
        <v>2025</v>
      </c>
      <c r="C183" s="163"/>
      <c r="D183" s="163"/>
      <c r="E183" s="164" t="s">
        <v>2268</v>
      </c>
      <c r="F183" s="165">
        <v>4</v>
      </c>
      <c r="G183" s="166">
        <v>40</v>
      </c>
      <c r="H183" s="167">
        <v>8</v>
      </c>
      <c r="I183" s="167">
        <f>1432.8*1.02</f>
        <v>1461.4559999999999</v>
      </c>
      <c r="J183" s="168">
        <v>1461.4559999999999</v>
      </c>
      <c r="K183" s="169">
        <v>14</v>
      </c>
      <c r="L183" s="167">
        <f t="shared" si="16"/>
        <v>243.57599999999999</v>
      </c>
      <c r="M183" s="170">
        <v>12</v>
      </c>
      <c r="N183" s="168">
        <v>16.420000000000002</v>
      </c>
      <c r="O183" s="170">
        <v>12</v>
      </c>
      <c r="P183" s="168">
        <v>24.56</v>
      </c>
      <c r="Q183" s="170"/>
      <c r="R183" s="168"/>
      <c r="S183" s="171"/>
      <c r="T183" s="168"/>
      <c r="U183" s="167"/>
      <c r="V183" s="168"/>
      <c r="W183" s="167"/>
      <c r="X183" s="168">
        <v>15</v>
      </c>
      <c r="Y183" s="167"/>
      <c r="Z183" s="168">
        <v>20</v>
      </c>
      <c r="AA183" s="167"/>
      <c r="AB183" s="172">
        <f>+Datos_Generales!$K$9</f>
        <v>3.6999999999999998E-2</v>
      </c>
      <c r="AC183" s="167"/>
      <c r="AD183" s="172">
        <v>0.33</v>
      </c>
      <c r="AE183" s="167"/>
      <c r="AF183" s="168">
        <v>18.36</v>
      </c>
      <c r="AG183" s="167"/>
      <c r="AH183" s="182"/>
      <c r="AI183" s="167"/>
      <c r="AJ183" s="182"/>
      <c r="AK183" s="167"/>
      <c r="AL183" s="170">
        <f t="shared" si="17"/>
        <v>1705.0319999999999</v>
      </c>
      <c r="AM183" s="170"/>
      <c r="AN183" s="170">
        <f t="shared" si="18"/>
        <v>94.34</v>
      </c>
      <c r="AO183" s="170"/>
      <c r="AP183" s="170">
        <f t="shared" si="19"/>
        <v>83.904624720000001</v>
      </c>
      <c r="AQ183" s="170"/>
      <c r="AR183" s="170">
        <f t="shared" si="20"/>
        <v>562.66056000000003</v>
      </c>
      <c r="AS183" s="170"/>
      <c r="AT183" s="170" t="e">
        <f>+(N183+P183)+((X183+Z183+AF183)/Datos_Generales!$E$15)</f>
        <v>#DIV/0!</v>
      </c>
      <c r="AU183" s="199"/>
      <c r="AV183" s="199">
        <f t="shared" si="21"/>
        <v>2267.69256</v>
      </c>
      <c r="AW183" s="199"/>
      <c r="AX183" s="173" t="e">
        <f t="shared" si="22"/>
        <v>#DIV/0!</v>
      </c>
    </row>
    <row r="184" spans="1:50" x14ac:dyDescent="0.2">
      <c r="A184" s="161" t="s">
        <v>2327</v>
      </c>
      <c r="B184" s="183">
        <v>2025</v>
      </c>
      <c r="C184" s="180"/>
      <c r="D184" s="175"/>
      <c r="E184" s="176" t="s">
        <v>1069</v>
      </c>
      <c r="F184" s="165">
        <v>5</v>
      </c>
      <c r="G184" s="166">
        <v>40</v>
      </c>
      <c r="H184" s="167">
        <v>8</v>
      </c>
      <c r="I184" s="167">
        <f>1386.84*1.02</f>
        <v>1414.5768</v>
      </c>
      <c r="J184" s="168">
        <v>1414.5768</v>
      </c>
      <c r="K184" s="169">
        <v>14</v>
      </c>
      <c r="L184" s="167">
        <f t="shared" si="16"/>
        <v>235.7628</v>
      </c>
      <c r="M184" s="170">
        <v>12</v>
      </c>
      <c r="N184" s="168">
        <v>16.420000000000002</v>
      </c>
      <c r="O184" s="170">
        <v>12</v>
      </c>
      <c r="P184" s="168">
        <v>24.56</v>
      </c>
      <c r="Q184" s="170"/>
      <c r="R184" s="168"/>
      <c r="S184" s="171"/>
      <c r="T184" s="168"/>
      <c r="U184" s="167"/>
      <c r="V184" s="168"/>
      <c r="W184" s="167"/>
      <c r="X184" s="168">
        <v>15</v>
      </c>
      <c r="Y184" s="167"/>
      <c r="Z184" s="168">
        <v>20</v>
      </c>
      <c r="AA184" s="167"/>
      <c r="AB184" s="172">
        <f>+Datos_Generales!$K$9</f>
        <v>3.6999999999999998E-2</v>
      </c>
      <c r="AC184" s="167"/>
      <c r="AD184" s="172">
        <v>0.33</v>
      </c>
      <c r="AE184" s="167"/>
      <c r="AF184" s="168">
        <v>18.36</v>
      </c>
      <c r="AG184" s="167"/>
      <c r="AH184" s="182"/>
      <c r="AI184" s="167"/>
      <c r="AJ184" s="182"/>
      <c r="AK184" s="167"/>
      <c r="AL184" s="170">
        <f t="shared" si="17"/>
        <v>1650.3396</v>
      </c>
      <c r="AM184" s="170"/>
      <c r="AN184" s="170">
        <f t="shared" si="18"/>
        <v>94.34</v>
      </c>
      <c r="AO184" s="170"/>
      <c r="AP184" s="170">
        <f t="shared" si="19"/>
        <v>81.213211716000004</v>
      </c>
      <c r="AQ184" s="170"/>
      <c r="AR184" s="170">
        <f t="shared" si="20"/>
        <v>544.61206800000002</v>
      </c>
      <c r="AS184" s="170"/>
      <c r="AT184" s="170" t="e">
        <f>+(N184+P184)+((X184+Z184+AF184)/Datos_Generales!$E$15)</f>
        <v>#DIV/0!</v>
      </c>
      <c r="AU184" s="199"/>
      <c r="AV184" s="199">
        <f t="shared" si="21"/>
        <v>2194.9516680000002</v>
      </c>
      <c r="AW184" s="199"/>
      <c r="AX184" s="173" t="e">
        <f t="shared" si="22"/>
        <v>#DIV/0!</v>
      </c>
    </row>
    <row r="185" spans="1:50" x14ac:dyDescent="0.2">
      <c r="A185" s="161" t="s">
        <v>2327</v>
      </c>
      <c r="B185" s="183">
        <v>2025</v>
      </c>
      <c r="C185" s="163"/>
      <c r="D185" s="163"/>
      <c r="E185" s="164" t="s">
        <v>2284</v>
      </c>
      <c r="F185" s="165">
        <v>5</v>
      </c>
      <c r="G185" s="166">
        <v>40</v>
      </c>
      <c r="H185" s="167">
        <v>8</v>
      </c>
      <c r="I185" s="167">
        <f>1386.84*1.02</f>
        <v>1414.5768</v>
      </c>
      <c r="J185" s="168">
        <v>1414.5768</v>
      </c>
      <c r="K185" s="169">
        <v>14</v>
      </c>
      <c r="L185" s="167">
        <f t="shared" si="16"/>
        <v>235.7628</v>
      </c>
      <c r="M185" s="170">
        <v>12</v>
      </c>
      <c r="N185" s="168">
        <v>16.420000000000002</v>
      </c>
      <c r="O185" s="170">
        <v>12</v>
      </c>
      <c r="P185" s="168">
        <v>24.56</v>
      </c>
      <c r="Q185" s="170"/>
      <c r="R185" s="168"/>
      <c r="S185" s="171"/>
      <c r="T185" s="168"/>
      <c r="U185" s="167"/>
      <c r="V185" s="168"/>
      <c r="W185" s="167"/>
      <c r="X185" s="168">
        <v>15</v>
      </c>
      <c r="Y185" s="167"/>
      <c r="Z185" s="168">
        <v>20</v>
      </c>
      <c r="AA185" s="167"/>
      <c r="AB185" s="172">
        <f>+Datos_Generales!$K$9</f>
        <v>3.6999999999999998E-2</v>
      </c>
      <c r="AC185" s="167"/>
      <c r="AD185" s="172">
        <v>0.33</v>
      </c>
      <c r="AE185" s="167"/>
      <c r="AF185" s="168">
        <v>18.36</v>
      </c>
      <c r="AG185" s="167"/>
      <c r="AH185" s="182"/>
      <c r="AI185" s="167"/>
      <c r="AJ185" s="182"/>
      <c r="AK185" s="167"/>
      <c r="AL185" s="170">
        <f t="shared" si="17"/>
        <v>1650.3396</v>
      </c>
      <c r="AM185" s="170"/>
      <c r="AN185" s="170">
        <f t="shared" si="18"/>
        <v>94.34</v>
      </c>
      <c r="AO185" s="170"/>
      <c r="AP185" s="170">
        <f t="shared" si="19"/>
        <v>81.213211716000004</v>
      </c>
      <c r="AQ185" s="170"/>
      <c r="AR185" s="170">
        <f t="shared" si="20"/>
        <v>544.61206800000002</v>
      </c>
      <c r="AS185" s="170"/>
      <c r="AT185" s="170" t="e">
        <f>+(N185+P185)+((X185+Z185+AF185)/Datos_Generales!$E$15)</f>
        <v>#DIV/0!</v>
      </c>
      <c r="AU185" s="199"/>
      <c r="AV185" s="199">
        <f t="shared" si="21"/>
        <v>2194.9516680000002</v>
      </c>
      <c r="AW185" s="199"/>
      <c r="AX185" s="173" t="e">
        <f t="shared" si="22"/>
        <v>#DIV/0!</v>
      </c>
    </row>
    <row r="186" spans="1:50" x14ac:dyDescent="0.2">
      <c r="A186" s="161" t="s">
        <v>2327</v>
      </c>
      <c r="B186" s="183">
        <v>2025</v>
      </c>
      <c r="C186" s="163"/>
      <c r="D186" s="163"/>
      <c r="E186" s="164" t="s">
        <v>2286</v>
      </c>
      <c r="F186" s="165">
        <v>5</v>
      </c>
      <c r="G186" s="166">
        <v>40</v>
      </c>
      <c r="H186" s="167">
        <v>8</v>
      </c>
      <c r="I186" s="167">
        <f>1386.84*1.02</f>
        <v>1414.5768</v>
      </c>
      <c r="J186" s="168">
        <v>1414.5768</v>
      </c>
      <c r="K186" s="169">
        <v>14</v>
      </c>
      <c r="L186" s="167">
        <f t="shared" si="16"/>
        <v>235.7628</v>
      </c>
      <c r="M186" s="170">
        <v>12</v>
      </c>
      <c r="N186" s="168">
        <v>16.420000000000002</v>
      </c>
      <c r="O186" s="170">
        <v>12</v>
      </c>
      <c r="P186" s="168">
        <v>24.56</v>
      </c>
      <c r="Q186" s="170"/>
      <c r="R186" s="168"/>
      <c r="S186" s="171"/>
      <c r="T186" s="168"/>
      <c r="U186" s="167"/>
      <c r="V186" s="168"/>
      <c r="W186" s="167"/>
      <c r="X186" s="168">
        <v>15</v>
      </c>
      <c r="Y186" s="167"/>
      <c r="Z186" s="168">
        <v>20</v>
      </c>
      <c r="AA186" s="167"/>
      <c r="AB186" s="172">
        <f>+Datos_Generales!$K$9</f>
        <v>3.6999999999999998E-2</v>
      </c>
      <c r="AC186" s="167"/>
      <c r="AD186" s="172">
        <v>0.33</v>
      </c>
      <c r="AE186" s="167"/>
      <c r="AF186" s="168">
        <v>18.36</v>
      </c>
      <c r="AG186" s="167"/>
      <c r="AH186" s="182"/>
      <c r="AI186" s="167"/>
      <c r="AJ186" s="182"/>
      <c r="AK186" s="167"/>
      <c r="AL186" s="170">
        <f t="shared" si="17"/>
        <v>1650.3396</v>
      </c>
      <c r="AM186" s="170"/>
      <c r="AN186" s="170">
        <f t="shared" si="18"/>
        <v>94.34</v>
      </c>
      <c r="AO186" s="170"/>
      <c r="AP186" s="170">
        <f t="shared" si="19"/>
        <v>81.213211716000004</v>
      </c>
      <c r="AQ186" s="170"/>
      <c r="AR186" s="170">
        <f t="shared" si="20"/>
        <v>544.61206800000002</v>
      </c>
      <c r="AS186" s="170"/>
      <c r="AT186" s="170" t="e">
        <f>+(N186+P186)+((X186+Z186+AF186)/Datos_Generales!$E$15)</f>
        <v>#DIV/0!</v>
      </c>
      <c r="AU186" s="199"/>
      <c r="AV186" s="199">
        <f t="shared" si="21"/>
        <v>2194.9516680000002</v>
      </c>
      <c r="AW186" s="199"/>
      <c r="AX186" s="173" t="e">
        <f t="shared" si="22"/>
        <v>#DIV/0!</v>
      </c>
    </row>
    <row r="187" spans="1:50" x14ac:dyDescent="0.2">
      <c r="A187" s="161" t="s">
        <v>2327</v>
      </c>
      <c r="B187" s="183">
        <v>2025</v>
      </c>
      <c r="C187" s="163"/>
      <c r="D187" s="163"/>
      <c r="E187" s="164" t="s">
        <v>1073</v>
      </c>
      <c r="F187" s="165" t="s">
        <v>2273</v>
      </c>
      <c r="G187" s="166">
        <v>40</v>
      </c>
      <c r="H187" s="167">
        <v>8</v>
      </c>
      <c r="I187" s="167">
        <f>1386.84*1.02</f>
        <v>1414.5768</v>
      </c>
      <c r="J187" s="168">
        <v>1414.5768</v>
      </c>
      <c r="K187" s="169">
        <v>14</v>
      </c>
      <c r="L187" s="167">
        <f t="shared" si="16"/>
        <v>235.7628</v>
      </c>
      <c r="M187" s="170"/>
      <c r="N187" s="168"/>
      <c r="O187" s="170"/>
      <c r="P187" s="168"/>
      <c r="Q187" s="170"/>
      <c r="R187" s="168"/>
      <c r="S187" s="171"/>
      <c r="T187" s="168"/>
      <c r="U187" s="167"/>
      <c r="V187" s="168"/>
      <c r="W187" s="167"/>
      <c r="X187" s="168">
        <v>15</v>
      </c>
      <c r="Y187" s="167"/>
      <c r="Z187" s="168">
        <v>20</v>
      </c>
      <c r="AA187" s="167"/>
      <c r="AB187" s="172">
        <f>+Datos_Generales!$K$9</f>
        <v>3.6999999999999998E-2</v>
      </c>
      <c r="AC187" s="167"/>
      <c r="AD187" s="172">
        <v>0.33</v>
      </c>
      <c r="AE187" s="167"/>
      <c r="AF187" s="168">
        <v>18.36</v>
      </c>
      <c r="AG187" s="167"/>
      <c r="AH187" s="182"/>
      <c r="AI187" s="167"/>
      <c r="AJ187" s="182"/>
      <c r="AK187" s="167"/>
      <c r="AL187" s="170">
        <f t="shared" si="17"/>
        <v>1650.3396</v>
      </c>
      <c r="AM187" s="170"/>
      <c r="AN187" s="170">
        <f t="shared" si="18"/>
        <v>53.36</v>
      </c>
      <c r="AO187" s="170"/>
      <c r="AP187" s="170">
        <f t="shared" si="19"/>
        <v>81.213211716000004</v>
      </c>
      <c r="AQ187" s="170"/>
      <c r="AR187" s="170">
        <f t="shared" si="20"/>
        <v>544.61206800000002</v>
      </c>
      <c r="AS187" s="170"/>
      <c r="AT187" s="170" t="e">
        <f>+(N187+P187)+((X187+Z187+AF187)/Datos_Generales!$E$15)</f>
        <v>#DIV/0!</v>
      </c>
      <c r="AU187" s="199"/>
      <c r="AV187" s="199">
        <f t="shared" si="21"/>
        <v>2194.9516680000002</v>
      </c>
      <c r="AW187" s="199"/>
      <c r="AX187" s="173" t="e">
        <f t="shared" si="22"/>
        <v>#DIV/0!</v>
      </c>
    </row>
    <row r="188" spans="1:50" x14ac:dyDescent="0.2">
      <c r="A188" s="161" t="s">
        <v>2327</v>
      </c>
      <c r="B188" s="183">
        <v>2025</v>
      </c>
      <c r="C188" s="163"/>
      <c r="D188" s="163"/>
      <c r="E188" s="164" t="s">
        <v>1168</v>
      </c>
      <c r="F188" s="165">
        <v>6</v>
      </c>
      <c r="G188" s="166">
        <v>40</v>
      </c>
      <c r="H188" s="167">
        <v>8</v>
      </c>
      <c r="I188" s="167">
        <f>1319.92*1.02</f>
        <v>1346.3184000000001</v>
      </c>
      <c r="J188" s="168">
        <v>1346.3184000000001</v>
      </c>
      <c r="K188" s="169">
        <v>14</v>
      </c>
      <c r="L188" s="167">
        <f t="shared" si="16"/>
        <v>224.38640000000001</v>
      </c>
      <c r="M188" s="170">
        <v>12</v>
      </c>
      <c r="N188" s="168">
        <v>16.420000000000002</v>
      </c>
      <c r="O188" s="170">
        <v>12</v>
      </c>
      <c r="P188" s="168">
        <v>24.56</v>
      </c>
      <c r="Q188" s="170"/>
      <c r="R188" s="168"/>
      <c r="S188" s="171"/>
      <c r="T188" s="168"/>
      <c r="U188" s="167"/>
      <c r="V188" s="168"/>
      <c r="W188" s="167"/>
      <c r="X188" s="168">
        <v>15</v>
      </c>
      <c r="Y188" s="167"/>
      <c r="Z188" s="168">
        <v>20</v>
      </c>
      <c r="AA188" s="167"/>
      <c r="AB188" s="172">
        <f>+Datos_Generales!$K$9</f>
        <v>3.6999999999999998E-2</v>
      </c>
      <c r="AC188" s="167"/>
      <c r="AD188" s="172">
        <v>0.33</v>
      </c>
      <c r="AE188" s="167"/>
      <c r="AF188" s="168">
        <v>18.36</v>
      </c>
      <c r="AG188" s="167"/>
      <c r="AH188" s="182"/>
      <c r="AI188" s="167"/>
      <c r="AJ188" s="182"/>
      <c r="AK188" s="167"/>
      <c r="AL188" s="170">
        <f t="shared" si="17"/>
        <v>1570.7048000000002</v>
      </c>
      <c r="AM188" s="170"/>
      <c r="AN188" s="170">
        <f t="shared" si="18"/>
        <v>94.34</v>
      </c>
      <c r="AO188" s="170"/>
      <c r="AP188" s="170">
        <f t="shared" si="19"/>
        <v>77.294383207999999</v>
      </c>
      <c r="AQ188" s="170"/>
      <c r="AR188" s="170">
        <f t="shared" si="20"/>
        <v>518.33258400000011</v>
      </c>
      <c r="AS188" s="170"/>
      <c r="AT188" s="170" t="e">
        <f>+(N188+P188)+((X188+Z188+AF188)/Datos_Generales!$E$15)</f>
        <v>#DIV/0!</v>
      </c>
      <c r="AU188" s="199"/>
      <c r="AV188" s="199">
        <f t="shared" si="21"/>
        <v>2089.0373840000002</v>
      </c>
      <c r="AW188" s="199"/>
      <c r="AX188" s="173" t="e">
        <f t="shared" si="22"/>
        <v>#DIV/0!</v>
      </c>
    </row>
    <row r="189" spans="1:50" x14ac:dyDescent="0.2">
      <c r="A189" s="161" t="s">
        <v>2327</v>
      </c>
      <c r="B189" s="183">
        <v>2025</v>
      </c>
      <c r="C189" s="163"/>
      <c r="D189" s="163"/>
      <c r="E189" s="164" t="s">
        <v>2275</v>
      </c>
      <c r="F189" s="165">
        <v>6</v>
      </c>
      <c r="G189" s="166">
        <v>40</v>
      </c>
      <c r="H189" s="167">
        <v>8</v>
      </c>
      <c r="I189" s="167">
        <f>1319.92*1.02</f>
        <v>1346.3184000000001</v>
      </c>
      <c r="J189" s="168">
        <v>1346.3184000000001</v>
      </c>
      <c r="K189" s="169">
        <v>14</v>
      </c>
      <c r="L189" s="167">
        <f t="shared" si="16"/>
        <v>224.38640000000001</v>
      </c>
      <c r="M189" s="170">
        <v>12</v>
      </c>
      <c r="N189" s="168">
        <v>16.420000000000002</v>
      </c>
      <c r="O189" s="170">
        <v>12</v>
      </c>
      <c r="P189" s="168">
        <v>24.56</v>
      </c>
      <c r="Q189" s="170"/>
      <c r="R189" s="168"/>
      <c r="S189" s="171"/>
      <c r="T189" s="168"/>
      <c r="U189" s="167"/>
      <c r="V189" s="168"/>
      <c r="W189" s="167"/>
      <c r="X189" s="168">
        <v>15</v>
      </c>
      <c r="Y189" s="167"/>
      <c r="Z189" s="168">
        <v>20</v>
      </c>
      <c r="AA189" s="167"/>
      <c r="AB189" s="172">
        <f>+Datos_Generales!$K$9</f>
        <v>3.6999999999999998E-2</v>
      </c>
      <c r="AC189" s="167"/>
      <c r="AD189" s="172">
        <v>0.33</v>
      </c>
      <c r="AE189" s="167"/>
      <c r="AF189" s="168">
        <v>18.36</v>
      </c>
      <c r="AG189" s="167"/>
      <c r="AH189" s="182"/>
      <c r="AI189" s="167"/>
      <c r="AJ189" s="182"/>
      <c r="AK189" s="167"/>
      <c r="AL189" s="170">
        <f t="shared" si="17"/>
        <v>1570.7048000000002</v>
      </c>
      <c r="AM189" s="170"/>
      <c r="AN189" s="170">
        <f t="shared" si="18"/>
        <v>94.34</v>
      </c>
      <c r="AO189" s="170"/>
      <c r="AP189" s="170">
        <f t="shared" si="19"/>
        <v>77.294383207999999</v>
      </c>
      <c r="AQ189" s="170"/>
      <c r="AR189" s="170">
        <f t="shared" si="20"/>
        <v>518.33258400000011</v>
      </c>
      <c r="AS189" s="170"/>
      <c r="AT189" s="170" t="e">
        <f>+(N189+P189)+((X189+Z189+AF189)/Datos_Generales!$E$15)</f>
        <v>#DIV/0!</v>
      </c>
      <c r="AU189" s="199"/>
      <c r="AV189" s="199">
        <f t="shared" si="21"/>
        <v>2089.0373840000002</v>
      </c>
      <c r="AW189" s="199"/>
      <c r="AX189" s="173" t="e">
        <f t="shared" si="22"/>
        <v>#DIV/0!</v>
      </c>
    </row>
    <row r="190" spans="1:50" x14ac:dyDescent="0.2">
      <c r="A190" s="161" t="s">
        <v>2330</v>
      </c>
      <c r="B190" s="183">
        <v>2025</v>
      </c>
      <c r="C190" s="163">
        <v>0</v>
      </c>
      <c r="D190" s="163">
        <v>1794</v>
      </c>
      <c r="E190" s="164" t="s">
        <v>1063</v>
      </c>
      <c r="F190" s="165">
        <v>1</v>
      </c>
      <c r="G190" s="166">
        <v>40</v>
      </c>
      <c r="H190" s="167">
        <v>8</v>
      </c>
      <c r="I190" s="167">
        <f>1361.79*1.02</f>
        <v>1389.0257999999999</v>
      </c>
      <c r="J190" s="168">
        <v>1389.0257999999999</v>
      </c>
      <c r="K190" s="169">
        <v>14</v>
      </c>
      <c r="L190" s="167">
        <f t="shared" si="16"/>
        <v>231.50429999999997</v>
      </c>
      <c r="M190" s="170">
        <v>12</v>
      </c>
      <c r="N190" s="168">
        <v>64.86</v>
      </c>
      <c r="O190" s="170">
        <v>12</v>
      </c>
      <c r="P190" s="168">
        <v>49.03</v>
      </c>
      <c r="Q190" s="170"/>
      <c r="R190" s="168"/>
      <c r="S190" s="171"/>
      <c r="T190" s="168"/>
      <c r="U190" s="167"/>
      <c r="V190" s="168"/>
      <c r="W190" s="167"/>
      <c r="X190" s="168">
        <v>15</v>
      </c>
      <c r="Y190" s="167"/>
      <c r="Z190" s="168">
        <v>20</v>
      </c>
      <c r="AA190" s="167"/>
      <c r="AB190" s="172">
        <f>+Datos_Generales!$K$9</f>
        <v>3.6999999999999998E-2</v>
      </c>
      <c r="AC190" s="167"/>
      <c r="AD190" s="172">
        <v>0.33</v>
      </c>
      <c r="AE190" s="167"/>
      <c r="AF190" s="168">
        <v>18.36</v>
      </c>
      <c r="AG190" s="167"/>
      <c r="AH190" s="182"/>
      <c r="AI190" s="167"/>
      <c r="AJ190" s="182"/>
      <c r="AK190" s="167"/>
      <c r="AL190" s="170">
        <f t="shared" si="17"/>
        <v>1620.5300999999999</v>
      </c>
      <c r="AM190" s="170"/>
      <c r="AN190" s="170">
        <f t="shared" si="18"/>
        <v>167.25</v>
      </c>
      <c r="AO190" s="170"/>
      <c r="AP190" s="170">
        <f t="shared" si="19"/>
        <v>79.746286221000005</v>
      </c>
      <c r="AQ190" s="170"/>
      <c r="AR190" s="170">
        <f t="shared" si="20"/>
        <v>534.77493300000003</v>
      </c>
      <c r="AS190" s="170"/>
      <c r="AT190" s="170" t="e">
        <f>+(N190+P190)+((X190+Z190+AF190)/Datos_Generales!$E$15)</f>
        <v>#DIV/0!</v>
      </c>
      <c r="AU190" s="199"/>
      <c r="AV190" s="199">
        <f t="shared" si="21"/>
        <v>2155.3050330000001</v>
      </c>
      <c r="AW190" s="199"/>
      <c r="AX190" s="173" t="e">
        <f t="shared" si="22"/>
        <v>#DIV/0!</v>
      </c>
    </row>
    <row r="191" spans="1:50" x14ac:dyDescent="0.2">
      <c r="A191" s="161" t="s">
        <v>2330</v>
      </c>
      <c r="B191" s="183">
        <v>2025</v>
      </c>
      <c r="C191" s="163"/>
      <c r="D191" s="163"/>
      <c r="E191" s="164" t="s">
        <v>1065</v>
      </c>
      <c r="F191" s="165">
        <v>2</v>
      </c>
      <c r="G191" s="166">
        <v>40</v>
      </c>
      <c r="H191" s="167">
        <v>8</v>
      </c>
      <c r="I191" s="167">
        <f>1308.54*1.02</f>
        <v>1334.7108000000001</v>
      </c>
      <c r="J191" s="168">
        <v>1334.7108000000001</v>
      </c>
      <c r="K191" s="169">
        <v>14</v>
      </c>
      <c r="L191" s="167">
        <f t="shared" si="16"/>
        <v>222.45180000000002</v>
      </c>
      <c r="M191" s="170">
        <v>12</v>
      </c>
      <c r="N191" s="168">
        <v>64.86</v>
      </c>
      <c r="O191" s="170">
        <v>12</v>
      </c>
      <c r="P191" s="168">
        <v>49.03</v>
      </c>
      <c r="Q191" s="170"/>
      <c r="R191" s="168"/>
      <c r="S191" s="171"/>
      <c r="T191" s="168"/>
      <c r="U191" s="167"/>
      <c r="V191" s="168"/>
      <c r="W191" s="167"/>
      <c r="X191" s="168">
        <v>15</v>
      </c>
      <c r="Y191" s="167"/>
      <c r="Z191" s="168">
        <v>20</v>
      </c>
      <c r="AA191" s="167"/>
      <c r="AB191" s="172">
        <f>+Datos_Generales!$K$9</f>
        <v>3.6999999999999998E-2</v>
      </c>
      <c r="AC191" s="167"/>
      <c r="AD191" s="172">
        <v>0.33</v>
      </c>
      <c r="AE191" s="167"/>
      <c r="AF191" s="168">
        <v>18.36</v>
      </c>
      <c r="AG191" s="167"/>
      <c r="AH191" s="182"/>
      <c r="AI191" s="167"/>
      <c r="AJ191" s="182"/>
      <c r="AK191" s="167"/>
      <c r="AL191" s="170">
        <f t="shared" si="17"/>
        <v>1557.1626000000001</v>
      </c>
      <c r="AM191" s="170"/>
      <c r="AN191" s="170">
        <f t="shared" si="18"/>
        <v>167.25</v>
      </c>
      <c r="AO191" s="170"/>
      <c r="AP191" s="170">
        <f t="shared" si="19"/>
        <v>76.627971546000012</v>
      </c>
      <c r="AQ191" s="170"/>
      <c r="AR191" s="170">
        <f t="shared" si="20"/>
        <v>513.8636580000001</v>
      </c>
      <c r="AS191" s="170"/>
      <c r="AT191" s="170" t="e">
        <f>+(N191+P191)+((X191+Z191+AF191)/Datos_Generales!$E$15)</f>
        <v>#DIV/0!</v>
      </c>
      <c r="AU191" s="199"/>
      <c r="AV191" s="199">
        <f t="shared" si="21"/>
        <v>2071.0262580000003</v>
      </c>
      <c r="AW191" s="199"/>
      <c r="AX191" s="173" t="e">
        <f t="shared" si="22"/>
        <v>#DIV/0!</v>
      </c>
    </row>
    <row r="192" spans="1:50" x14ac:dyDescent="0.2">
      <c r="A192" s="161" t="s">
        <v>2330</v>
      </c>
      <c r="B192" s="183">
        <v>2025</v>
      </c>
      <c r="C192" s="163"/>
      <c r="D192" s="163"/>
      <c r="E192" s="164" t="s">
        <v>1067</v>
      </c>
      <c r="F192" s="165">
        <v>4</v>
      </c>
      <c r="G192" s="166">
        <v>40</v>
      </c>
      <c r="H192" s="167">
        <v>8</v>
      </c>
      <c r="I192" s="167">
        <f>1288.89*1.02</f>
        <v>1314.6678000000002</v>
      </c>
      <c r="J192" s="168">
        <v>1314.6678000000002</v>
      </c>
      <c r="K192" s="169">
        <v>14</v>
      </c>
      <c r="L192" s="167">
        <f t="shared" si="16"/>
        <v>219.11130000000003</v>
      </c>
      <c r="M192" s="170">
        <v>12</v>
      </c>
      <c r="N192" s="168">
        <v>64.86</v>
      </c>
      <c r="O192" s="170">
        <v>12</v>
      </c>
      <c r="P192" s="168">
        <v>49.03</v>
      </c>
      <c r="Q192" s="170"/>
      <c r="R192" s="168"/>
      <c r="S192" s="171"/>
      <c r="T192" s="168"/>
      <c r="U192" s="167"/>
      <c r="V192" s="168"/>
      <c r="W192" s="167"/>
      <c r="X192" s="168">
        <v>15</v>
      </c>
      <c r="Y192" s="167"/>
      <c r="Z192" s="168">
        <v>20</v>
      </c>
      <c r="AA192" s="167"/>
      <c r="AB192" s="172">
        <f>+Datos_Generales!$K$9</f>
        <v>3.6999999999999998E-2</v>
      </c>
      <c r="AC192" s="167"/>
      <c r="AD192" s="172">
        <v>0.33</v>
      </c>
      <c r="AE192" s="167"/>
      <c r="AF192" s="168">
        <v>18.36</v>
      </c>
      <c r="AG192" s="167"/>
      <c r="AH192" s="182"/>
      <c r="AI192" s="167"/>
      <c r="AJ192" s="182"/>
      <c r="AK192" s="167"/>
      <c r="AL192" s="170">
        <f t="shared" si="17"/>
        <v>1533.7791000000002</v>
      </c>
      <c r="AM192" s="170"/>
      <c r="AN192" s="170">
        <f t="shared" si="18"/>
        <v>167.25</v>
      </c>
      <c r="AO192" s="170"/>
      <c r="AP192" s="170">
        <f t="shared" si="19"/>
        <v>75.477269511000017</v>
      </c>
      <c r="AQ192" s="170"/>
      <c r="AR192" s="170">
        <f t="shared" si="20"/>
        <v>506.14710300000007</v>
      </c>
      <c r="AS192" s="170"/>
      <c r="AT192" s="170" t="e">
        <f>+(N192+P192)+((X192+Z192+AF192)/Datos_Generales!$E$15)</f>
        <v>#DIV/0!</v>
      </c>
      <c r="AU192" s="199"/>
      <c r="AV192" s="199">
        <f t="shared" si="21"/>
        <v>2039.9262030000004</v>
      </c>
      <c r="AW192" s="199"/>
      <c r="AX192" s="173" t="e">
        <f t="shared" si="22"/>
        <v>#DIV/0!</v>
      </c>
    </row>
    <row r="193" spans="1:50" x14ac:dyDescent="0.2">
      <c r="A193" s="161" t="s">
        <v>2330</v>
      </c>
      <c r="B193" s="183">
        <v>2025</v>
      </c>
      <c r="C193" s="163"/>
      <c r="D193" s="163"/>
      <c r="E193" s="164" t="s">
        <v>2331</v>
      </c>
      <c r="F193" s="165">
        <v>4</v>
      </c>
      <c r="G193" s="166">
        <v>40</v>
      </c>
      <c r="H193" s="167">
        <v>8</v>
      </c>
      <c r="I193" s="167">
        <f>1303.48*1.02</f>
        <v>1329.5496000000001</v>
      </c>
      <c r="J193" s="168">
        <v>1329.5496000000001</v>
      </c>
      <c r="K193" s="169">
        <v>14</v>
      </c>
      <c r="L193" s="167">
        <f t="shared" si="16"/>
        <v>221.5916</v>
      </c>
      <c r="M193" s="170">
        <v>12</v>
      </c>
      <c r="N193" s="168">
        <v>64.86</v>
      </c>
      <c r="O193" s="170">
        <v>12</v>
      </c>
      <c r="P193" s="168">
        <v>49.03</v>
      </c>
      <c r="Q193" s="170"/>
      <c r="R193" s="168"/>
      <c r="S193" s="171"/>
      <c r="T193" s="168"/>
      <c r="U193" s="167"/>
      <c r="V193" s="168"/>
      <c r="W193" s="167"/>
      <c r="X193" s="168">
        <v>15</v>
      </c>
      <c r="Y193" s="167"/>
      <c r="Z193" s="168">
        <v>20</v>
      </c>
      <c r="AA193" s="167"/>
      <c r="AB193" s="172">
        <f>+Datos_Generales!$K$9</f>
        <v>3.6999999999999998E-2</v>
      </c>
      <c r="AC193" s="167"/>
      <c r="AD193" s="172">
        <v>0.33</v>
      </c>
      <c r="AE193" s="167"/>
      <c r="AF193" s="168">
        <v>18.36</v>
      </c>
      <c r="AG193" s="167"/>
      <c r="AH193" s="182"/>
      <c r="AI193" s="167"/>
      <c r="AJ193" s="182"/>
      <c r="AK193" s="167"/>
      <c r="AL193" s="170">
        <f t="shared" si="17"/>
        <v>1551.1412</v>
      </c>
      <c r="AM193" s="170"/>
      <c r="AN193" s="170">
        <f t="shared" si="18"/>
        <v>167.25</v>
      </c>
      <c r="AO193" s="170"/>
      <c r="AP193" s="170">
        <f t="shared" si="19"/>
        <v>76.331658451999999</v>
      </c>
      <c r="AQ193" s="170"/>
      <c r="AR193" s="170">
        <f t="shared" si="20"/>
        <v>511.87659600000001</v>
      </c>
      <c r="AS193" s="170"/>
      <c r="AT193" s="170" t="e">
        <f>+(N193+P193)+((X193+Z193+AF193)/Datos_Generales!$E$15)</f>
        <v>#DIV/0!</v>
      </c>
      <c r="AU193" s="199"/>
      <c r="AV193" s="199">
        <f t="shared" si="21"/>
        <v>2063.0177960000001</v>
      </c>
      <c r="AW193" s="199"/>
      <c r="AX193" s="173" t="e">
        <f t="shared" si="22"/>
        <v>#DIV/0!</v>
      </c>
    </row>
    <row r="194" spans="1:50" x14ac:dyDescent="0.2">
      <c r="A194" s="161" t="s">
        <v>2330</v>
      </c>
      <c r="B194" s="183">
        <v>2025</v>
      </c>
      <c r="C194" s="163"/>
      <c r="D194" s="163"/>
      <c r="E194" s="164" t="s">
        <v>1069</v>
      </c>
      <c r="F194" s="165">
        <v>5</v>
      </c>
      <c r="G194" s="166">
        <v>40</v>
      </c>
      <c r="H194" s="167">
        <v>8</v>
      </c>
      <c r="I194" s="167">
        <f>1254.61*1.02</f>
        <v>1279.7021999999999</v>
      </c>
      <c r="J194" s="168">
        <v>1279.7021999999999</v>
      </c>
      <c r="K194" s="169">
        <v>14</v>
      </c>
      <c r="L194" s="167">
        <f t="shared" si="16"/>
        <v>213.28369999999998</v>
      </c>
      <c r="M194" s="170">
        <v>12</v>
      </c>
      <c r="N194" s="168">
        <v>64.86</v>
      </c>
      <c r="O194" s="170">
        <v>12</v>
      </c>
      <c r="P194" s="168">
        <v>49.03</v>
      </c>
      <c r="Q194" s="170"/>
      <c r="R194" s="168"/>
      <c r="S194" s="171"/>
      <c r="T194" s="168"/>
      <c r="U194" s="167"/>
      <c r="V194" s="168"/>
      <c r="W194" s="167"/>
      <c r="X194" s="168">
        <v>15</v>
      </c>
      <c r="Y194" s="167"/>
      <c r="Z194" s="168">
        <v>20</v>
      </c>
      <c r="AA194" s="167"/>
      <c r="AB194" s="172">
        <f>+Datos_Generales!$K$9</f>
        <v>3.6999999999999998E-2</v>
      </c>
      <c r="AC194" s="167"/>
      <c r="AD194" s="172">
        <v>0.33</v>
      </c>
      <c r="AE194" s="167"/>
      <c r="AF194" s="168">
        <v>18.36</v>
      </c>
      <c r="AG194" s="167"/>
      <c r="AH194" s="182"/>
      <c r="AI194" s="167"/>
      <c r="AJ194" s="182"/>
      <c r="AK194" s="167"/>
      <c r="AL194" s="170">
        <f t="shared" si="17"/>
        <v>1492.9858999999999</v>
      </c>
      <c r="AM194" s="170"/>
      <c r="AN194" s="170">
        <f t="shared" si="18"/>
        <v>167.25</v>
      </c>
      <c r="AO194" s="170"/>
      <c r="AP194" s="170">
        <f t="shared" si="19"/>
        <v>73.469836138999995</v>
      </c>
      <c r="AQ194" s="170"/>
      <c r="AR194" s="170">
        <f t="shared" si="20"/>
        <v>492.68534699999998</v>
      </c>
      <c r="AS194" s="170"/>
      <c r="AT194" s="170" t="e">
        <f>+(N194+P194)+((X194+Z194+AF194)/Datos_Generales!$E$15)</f>
        <v>#DIV/0!</v>
      </c>
      <c r="AU194" s="199"/>
      <c r="AV194" s="199">
        <f t="shared" si="21"/>
        <v>1985.671247</v>
      </c>
      <c r="AW194" s="199"/>
      <c r="AX194" s="173" t="e">
        <f t="shared" si="22"/>
        <v>#DIV/0!</v>
      </c>
    </row>
    <row r="195" spans="1:50" x14ac:dyDescent="0.2">
      <c r="A195" s="161" t="s">
        <v>2330</v>
      </c>
      <c r="B195" s="183">
        <v>2025</v>
      </c>
      <c r="C195" s="163"/>
      <c r="D195" s="163"/>
      <c r="E195" s="164" t="s">
        <v>2332</v>
      </c>
      <c r="F195" s="165">
        <v>5</v>
      </c>
      <c r="G195" s="166">
        <v>40</v>
      </c>
      <c r="H195" s="167">
        <v>8</v>
      </c>
      <c r="I195" s="167">
        <f>1254.61*1.02</f>
        <v>1279.7021999999999</v>
      </c>
      <c r="J195" s="168">
        <v>1279.7021999999999</v>
      </c>
      <c r="K195" s="169">
        <v>14</v>
      </c>
      <c r="L195" s="167">
        <f t="shared" si="16"/>
        <v>213.28369999999998</v>
      </c>
      <c r="M195" s="170">
        <v>12</v>
      </c>
      <c r="N195" s="168">
        <v>64.86</v>
      </c>
      <c r="O195" s="170">
        <v>12</v>
      </c>
      <c r="P195" s="168">
        <v>49.03</v>
      </c>
      <c r="Q195" s="170"/>
      <c r="R195" s="168"/>
      <c r="S195" s="171"/>
      <c r="T195" s="168"/>
      <c r="U195" s="167"/>
      <c r="V195" s="168"/>
      <c r="W195" s="167"/>
      <c r="X195" s="168">
        <v>15</v>
      </c>
      <c r="Y195" s="167"/>
      <c r="Z195" s="168">
        <v>20</v>
      </c>
      <c r="AA195" s="167"/>
      <c r="AB195" s="172">
        <f>+Datos_Generales!$K$9</f>
        <v>3.6999999999999998E-2</v>
      </c>
      <c r="AC195" s="167"/>
      <c r="AD195" s="172">
        <v>0.33</v>
      </c>
      <c r="AE195" s="167"/>
      <c r="AF195" s="168">
        <v>18.36</v>
      </c>
      <c r="AG195" s="167"/>
      <c r="AH195" s="182"/>
      <c r="AI195" s="167"/>
      <c r="AJ195" s="182"/>
      <c r="AK195" s="167"/>
      <c r="AL195" s="170">
        <f t="shared" si="17"/>
        <v>1492.9858999999999</v>
      </c>
      <c r="AM195" s="170"/>
      <c r="AN195" s="170">
        <f t="shared" si="18"/>
        <v>167.25</v>
      </c>
      <c r="AO195" s="170"/>
      <c r="AP195" s="170">
        <f t="shared" si="19"/>
        <v>73.469836138999995</v>
      </c>
      <c r="AQ195" s="170"/>
      <c r="AR195" s="170">
        <f t="shared" si="20"/>
        <v>492.68534699999998</v>
      </c>
      <c r="AS195" s="170"/>
      <c r="AT195" s="170" t="e">
        <f>+(N195+P195)+((X195+Z195+AF195)/Datos_Generales!$E$15)</f>
        <v>#DIV/0!</v>
      </c>
      <c r="AU195" s="199"/>
      <c r="AV195" s="199">
        <f t="shared" si="21"/>
        <v>1985.671247</v>
      </c>
      <c r="AW195" s="199"/>
      <c r="AX195" s="173" t="e">
        <f t="shared" si="22"/>
        <v>#DIV/0!</v>
      </c>
    </row>
    <row r="196" spans="1:50" x14ac:dyDescent="0.2">
      <c r="A196" s="161" t="s">
        <v>2330</v>
      </c>
      <c r="B196" s="183">
        <v>2025</v>
      </c>
      <c r="C196" s="163"/>
      <c r="D196" s="163"/>
      <c r="E196" s="164" t="s">
        <v>2333</v>
      </c>
      <c r="F196" s="165">
        <v>6</v>
      </c>
      <c r="G196" s="166">
        <v>40</v>
      </c>
      <c r="H196" s="167">
        <v>8</v>
      </c>
      <c r="I196" s="167">
        <f>1254.61*1.02</f>
        <v>1279.7021999999999</v>
      </c>
      <c r="J196" s="168">
        <v>1279.7021999999999</v>
      </c>
      <c r="K196" s="169">
        <v>14</v>
      </c>
      <c r="L196" s="167">
        <f t="shared" ref="L196:L226" si="23">+(J196*(K196-12))/12</f>
        <v>213.28369999999998</v>
      </c>
      <c r="M196" s="170">
        <v>12</v>
      </c>
      <c r="N196" s="168">
        <v>64.86</v>
      </c>
      <c r="O196" s="170">
        <v>12</v>
      </c>
      <c r="P196" s="168">
        <v>49.03</v>
      </c>
      <c r="Q196" s="170"/>
      <c r="R196" s="168"/>
      <c r="S196" s="171"/>
      <c r="T196" s="168"/>
      <c r="U196" s="167"/>
      <c r="V196" s="168"/>
      <c r="W196" s="167"/>
      <c r="X196" s="168">
        <v>15</v>
      </c>
      <c r="Y196" s="167"/>
      <c r="Z196" s="168">
        <v>20</v>
      </c>
      <c r="AA196" s="167"/>
      <c r="AB196" s="172">
        <f>+Datos_Generales!$K$9</f>
        <v>3.6999999999999998E-2</v>
      </c>
      <c r="AC196" s="167"/>
      <c r="AD196" s="172">
        <v>0.33</v>
      </c>
      <c r="AE196" s="167"/>
      <c r="AF196" s="168">
        <v>18.36</v>
      </c>
      <c r="AG196" s="167"/>
      <c r="AH196" s="182"/>
      <c r="AI196" s="167"/>
      <c r="AJ196" s="182"/>
      <c r="AK196" s="167"/>
      <c r="AL196" s="170">
        <f t="shared" ref="AL196:AL226" si="24">+J196+L196</f>
        <v>1492.9858999999999</v>
      </c>
      <c r="AM196" s="170"/>
      <c r="AN196" s="170">
        <f t="shared" ref="AN196:AN226" si="25">+N196+P196+X196+Z196+AF196</f>
        <v>167.25</v>
      </c>
      <c r="AO196" s="170"/>
      <c r="AP196" s="170">
        <f t="shared" ref="AP196:AP226" si="26">(AL196*1.33)*AB196</f>
        <v>73.469836138999995</v>
      </c>
      <c r="AQ196" s="170"/>
      <c r="AR196" s="170">
        <f t="shared" ref="AR196:AR226" si="27">+AL196*AD196</f>
        <v>492.68534699999998</v>
      </c>
      <c r="AS196" s="170"/>
      <c r="AT196" s="170" t="e">
        <f>+(N196+P196)+((X196+Z196+AF196)/Datos_Generales!$E$15)</f>
        <v>#DIV/0!</v>
      </c>
      <c r="AU196" s="199"/>
      <c r="AV196" s="199">
        <f t="shared" ref="AV196:AV226" si="28">+AL196*(1+AD196)</f>
        <v>1985.671247</v>
      </c>
      <c r="AW196" s="199"/>
      <c r="AX196" s="173" t="e">
        <f t="shared" si="22"/>
        <v>#DIV/0!</v>
      </c>
    </row>
    <row r="197" spans="1:50" x14ac:dyDescent="0.2">
      <c r="A197" s="161" t="s">
        <v>2330</v>
      </c>
      <c r="B197" s="183">
        <v>2025</v>
      </c>
      <c r="C197" s="180"/>
      <c r="D197" s="175"/>
      <c r="E197" s="176" t="s">
        <v>2334</v>
      </c>
      <c r="F197" s="165">
        <v>6</v>
      </c>
      <c r="G197" s="166">
        <v>40</v>
      </c>
      <c r="H197" s="167">
        <v>8</v>
      </c>
      <c r="I197" s="167">
        <f>1254.61*1.02</f>
        <v>1279.7021999999999</v>
      </c>
      <c r="J197" s="168">
        <v>1279.7021999999999</v>
      </c>
      <c r="K197" s="169">
        <v>14</v>
      </c>
      <c r="L197" s="167">
        <f t="shared" si="23"/>
        <v>213.28369999999998</v>
      </c>
      <c r="M197" s="170">
        <v>12</v>
      </c>
      <c r="N197" s="168">
        <v>64.86</v>
      </c>
      <c r="O197" s="170">
        <v>12</v>
      </c>
      <c r="P197" s="168">
        <v>49.03</v>
      </c>
      <c r="Q197" s="170"/>
      <c r="R197" s="168"/>
      <c r="S197" s="171"/>
      <c r="T197" s="168"/>
      <c r="U197" s="167"/>
      <c r="V197" s="168"/>
      <c r="W197" s="167"/>
      <c r="X197" s="168">
        <v>15</v>
      </c>
      <c r="Y197" s="167"/>
      <c r="Z197" s="168">
        <v>20</v>
      </c>
      <c r="AA197" s="167"/>
      <c r="AB197" s="172">
        <f>+Datos_Generales!$K$9</f>
        <v>3.6999999999999998E-2</v>
      </c>
      <c r="AC197" s="167"/>
      <c r="AD197" s="172">
        <v>0.33</v>
      </c>
      <c r="AE197" s="167"/>
      <c r="AF197" s="168">
        <v>18.36</v>
      </c>
      <c r="AG197" s="167"/>
      <c r="AH197" s="182"/>
      <c r="AI197" s="167"/>
      <c r="AJ197" s="182"/>
      <c r="AK197" s="170"/>
      <c r="AL197" s="170">
        <f t="shared" si="24"/>
        <v>1492.9858999999999</v>
      </c>
      <c r="AM197" s="170"/>
      <c r="AN197" s="170">
        <f t="shared" si="25"/>
        <v>167.25</v>
      </c>
      <c r="AO197" s="170"/>
      <c r="AP197" s="170">
        <f t="shared" si="26"/>
        <v>73.469836138999995</v>
      </c>
      <c r="AQ197" s="170"/>
      <c r="AR197" s="170">
        <f t="shared" si="27"/>
        <v>492.68534699999998</v>
      </c>
      <c r="AS197" s="170"/>
      <c r="AT197" s="170" t="e">
        <f>+(N197+P197)+((X197+Z197+AF197)/Datos_Generales!$E$15)</f>
        <v>#DIV/0!</v>
      </c>
      <c r="AU197" s="199"/>
      <c r="AV197" s="199">
        <f t="shared" si="28"/>
        <v>1985.671247</v>
      </c>
      <c r="AW197" s="199"/>
      <c r="AX197" s="173" t="e">
        <f t="shared" si="22"/>
        <v>#DIV/0!</v>
      </c>
    </row>
    <row r="198" spans="1:50" x14ac:dyDescent="0.2">
      <c r="A198" s="161" t="s">
        <v>2330</v>
      </c>
      <c r="B198" s="183">
        <v>2025</v>
      </c>
      <c r="C198" s="163"/>
      <c r="D198" s="163"/>
      <c r="E198" s="164" t="s">
        <v>1236</v>
      </c>
      <c r="F198" s="165">
        <v>6</v>
      </c>
      <c r="G198" s="166">
        <v>40</v>
      </c>
      <c r="H198" s="167">
        <v>8</v>
      </c>
      <c r="I198" s="167">
        <f>1289.02*1.02</f>
        <v>1314.8004000000001</v>
      </c>
      <c r="J198" s="168">
        <v>1314.8004000000001</v>
      </c>
      <c r="K198" s="169">
        <v>14</v>
      </c>
      <c r="L198" s="167">
        <f t="shared" si="23"/>
        <v>219.13340000000002</v>
      </c>
      <c r="M198" s="170">
        <v>12</v>
      </c>
      <c r="N198" s="168">
        <v>64.86</v>
      </c>
      <c r="O198" s="170">
        <v>12</v>
      </c>
      <c r="P198" s="168">
        <v>49.03</v>
      </c>
      <c r="Q198" s="170"/>
      <c r="R198" s="168"/>
      <c r="S198" s="171"/>
      <c r="T198" s="168"/>
      <c r="U198" s="167"/>
      <c r="V198" s="168"/>
      <c r="W198" s="167"/>
      <c r="X198" s="168">
        <v>15</v>
      </c>
      <c r="Y198" s="167"/>
      <c r="Z198" s="168">
        <v>20</v>
      </c>
      <c r="AA198" s="167"/>
      <c r="AB198" s="172">
        <f>+Datos_Generales!$K$9</f>
        <v>3.6999999999999998E-2</v>
      </c>
      <c r="AC198" s="167"/>
      <c r="AD198" s="172">
        <v>0.33</v>
      </c>
      <c r="AE198" s="167"/>
      <c r="AF198" s="168">
        <v>18.36</v>
      </c>
      <c r="AG198" s="167"/>
      <c r="AH198" s="182"/>
      <c r="AI198" s="167"/>
      <c r="AJ198" s="182"/>
      <c r="AK198" s="170"/>
      <c r="AL198" s="170">
        <f t="shared" si="24"/>
        <v>1533.9338</v>
      </c>
      <c r="AM198" s="170"/>
      <c r="AN198" s="170">
        <f t="shared" si="25"/>
        <v>167.25</v>
      </c>
      <c r="AO198" s="170"/>
      <c r="AP198" s="170">
        <f t="shared" si="26"/>
        <v>75.484882298000002</v>
      </c>
      <c r="AQ198" s="170"/>
      <c r="AR198" s="170">
        <f t="shared" si="27"/>
        <v>506.19815400000005</v>
      </c>
      <c r="AS198" s="170"/>
      <c r="AT198" s="170" t="e">
        <f>+(N198+P198)+((X198+Z198+AF198)/Datos_Generales!$E$15)</f>
        <v>#DIV/0!</v>
      </c>
      <c r="AU198" s="199"/>
      <c r="AV198" s="199">
        <f t="shared" si="28"/>
        <v>2040.1319540000002</v>
      </c>
      <c r="AW198" s="199"/>
      <c r="AX198" s="173" t="e">
        <f t="shared" si="22"/>
        <v>#DIV/0!</v>
      </c>
    </row>
    <row r="199" spans="1:50" x14ac:dyDescent="0.2">
      <c r="A199" s="161" t="s">
        <v>2330</v>
      </c>
      <c r="B199" s="183">
        <v>2025</v>
      </c>
      <c r="C199" s="163"/>
      <c r="D199" s="163"/>
      <c r="E199" s="164" t="s">
        <v>2335</v>
      </c>
      <c r="F199" s="165">
        <v>6</v>
      </c>
      <c r="G199" s="166">
        <v>40</v>
      </c>
      <c r="H199" s="167">
        <v>8</v>
      </c>
      <c r="I199" s="167">
        <f>1254.61*1.02</f>
        <v>1279.7021999999999</v>
      </c>
      <c r="J199" s="168">
        <v>1279.7021999999999</v>
      </c>
      <c r="K199" s="169">
        <v>14</v>
      </c>
      <c r="L199" s="167">
        <f t="shared" si="23"/>
        <v>213.28369999999998</v>
      </c>
      <c r="M199" s="170">
        <v>12</v>
      </c>
      <c r="N199" s="168">
        <v>64.86</v>
      </c>
      <c r="O199" s="170">
        <v>12</v>
      </c>
      <c r="P199" s="168">
        <v>49.03</v>
      </c>
      <c r="Q199" s="170"/>
      <c r="R199" s="168"/>
      <c r="S199" s="171"/>
      <c r="T199" s="168"/>
      <c r="U199" s="167"/>
      <c r="V199" s="168"/>
      <c r="W199" s="167"/>
      <c r="X199" s="168">
        <v>15</v>
      </c>
      <c r="Y199" s="167"/>
      <c r="Z199" s="168">
        <v>20</v>
      </c>
      <c r="AA199" s="167"/>
      <c r="AB199" s="172">
        <f>+Datos_Generales!$K$9</f>
        <v>3.6999999999999998E-2</v>
      </c>
      <c r="AC199" s="167"/>
      <c r="AD199" s="172">
        <v>0.33</v>
      </c>
      <c r="AE199" s="167"/>
      <c r="AF199" s="168">
        <v>18.36</v>
      </c>
      <c r="AG199" s="167"/>
      <c r="AH199" s="182"/>
      <c r="AI199" s="167"/>
      <c r="AJ199" s="182"/>
      <c r="AK199" s="170"/>
      <c r="AL199" s="170">
        <f t="shared" si="24"/>
        <v>1492.9858999999999</v>
      </c>
      <c r="AM199" s="170"/>
      <c r="AN199" s="170">
        <f t="shared" si="25"/>
        <v>167.25</v>
      </c>
      <c r="AO199" s="170"/>
      <c r="AP199" s="170">
        <f t="shared" si="26"/>
        <v>73.469836138999995</v>
      </c>
      <c r="AQ199" s="170"/>
      <c r="AR199" s="170">
        <f t="shared" si="27"/>
        <v>492.68534699999998</v>
      </c>
      <c r="AS199" s="170"/>
      <c r="AT199" s="170" t="e">
        <f>+(N199+P199)+((X199+Z199+AF199)/Datos_Generales!$E$15)</f>
        <v>#DIV/0!</v>
      </c>
      <c r="AU199" s="199"/>
      <c r="AV199" s="199">
        <f t="shared" si="28"/>
        <v>1985.671247</v>
      </c>
      <c r="AW199" s="199"/>
      <c r="AX199" s="173" t="e">
        <f t="shared" si="22"/>
        <v>#DIV/0!</v>
      </c>
    </row>
    <row r="200" spans="1:50" x14ac:dyDescent="0.2">
      <c r="A200" s="161" t="s">
        <v>2330</v>
      </c>
      <c r="B200" s="183">
        <v>2025</v>
      </c>
      <c r="C200" s="163"/>
      <c r="D200" s="163"/>
      <c r="E200" s="164" t="s">
        <v>1073</v>
      </c>
      <c r="F200" s="165" t="s">
        <v>2273</v>
      </c>
      <c r="G200" s="166">
        <v>40</v>
      </c>
      <c r="H200" s="167">
        <v>8</v>
      </c>
      <c r="I200" s="167">
        <f>1254.61*1.02</f>
        <v>1279.7021999999999</v>
      </c>
      <c r="J200" s="168">
        <v>1279.7021999999999</v>
      </c>
      <c r="K200" s="169">
        <v>12</v>
      </c>
      <c r="L200" s="167">
        <f t="shared" si="23"/>
        <v>0</v>
      </c>
      <c r="M200" s="170"/>
      <c r="N200" s="168"/>
      <c r="O200" s="170"/>
      <c r="P200" s="168"/>
      <c r="Q200" s="170"/>
      <c r="R200" s="168"/>
      <c r="S200" s="171"/>
      <c r="T200" s="168"/>
      <c r="U200" s="167"/>
      <c r="V200" s="168"/>
      <c r="W200" s="167"/>
      <c r="X200" s="168">
        <v>15</v>
      </c>
      <c r="Y200" s="167"/>
      <c r="Z200" s="168">
        <v>20</v>
      </c>
      <c r="AA200" s="167"/>
      <c r="AB200" s="172">
        <f>+Datos_Generales!$K$9</f>
        <v>3.6999999999999998E-2</v>
      </c>
      <c r="AC200" s="167"/>
      <c r="AD200" s="172">
        <v>0.33</v>
      </c>
      <c r="AE200" s="167"/>
      <c r="AF200" s="168">
        <v>18.36</v>
      </c>
      <c r="AG200" s="167"/>
      <c r="AH200" s="182"/>
      <c r="AI200" s="167"/>
      <c r="AJ200" s="182"/>
      <c r="AK200" s="170"/>
      <c r="AL200" s="170">
        <f t="shared" si="24"/>
        <v>1279.7021999999999</v>
      </c>
      <c r="AM200" s="170"/>
      <c r="AN200" s="170">
        <f t="shared" si="25"/>
        <v>53.36</v>
      </c>
      <c r="AO200" s="170"/>
      <c r="AP200" s="170">
        <f t="shared" si="26"/>
        <v>62.974145262</v>
      </c>
      <c r="AQ200" s="170"/>
      <c r="AR200" s="170">
        <f t="shared" si="27"/>
        <v>422.30172600000003</v>
      </c>
      <c r="AS200" s="170"/>
      <c r="AT200" s="170" t="e">
        <f>+(N200+P200)+((X200+Z200+AF200)/Datos_Generales!$E$15)</f>
        <v>#DIV/0!</v>
      </c>
      <c r="AU200" s="199"/>
      <c r="AV200" s="199">
        <f t="shared" si="28"/>
        <v>1702.0039260000001</v>
      </c>
      <c r="AW200" s="199"/>
      <c r="AX200" s="173" t="e">
        <f t="shared" si="22"/>
        <v>#DIV/0!</v>
      </c>
    </row>
    <row r="201" spans="1:50" x14ac:dyDescent="0.2">
      <c r="A201" s="161" t="s">
        <v>2330</v>
      </c>
      <c r="B201" s="183">
        <v>2025</v>
      </c>
      <c r="C201" s="163"/>
      <c r="D201" s="163"/>
      <c r="E201" s="164" t="s">
        <v>2271</v>
      </c>
      <c r="F201" s="165">
        <v>6</v>
      </c>
      <c r="G201" s="166">
        <v>40</v>
      </c>
      <c r="H201" s="167">
        <v>8</v>
      </c>
      <c r="I201" s="167">
        <f>1254.61*1.02</f>
        <v>1279.7021999999999</v>
      </c>
      <c r="J201" s="168">
        <v>1279.7021999999999</v>
      </c>
      <c r="K201" s="169">
        <v>14</v>
      </c>
      <c r="L201" s="167">
        <f t="shared" si="23"/>
        <v>213.28369999999998</v>
      </c>
      <c r="M201" s="170">
        <v>12</v>
      </c>
      <c r="N201" s="168">
        <v>64.86</v>
      </c>
      <c r="O201" s="170">
        <v>12</v>
      </c>
      <c r="P201" s="168">
        <v>49.03</v>
      </c>
      <c r="Q201" s="170"/>
      <c r="R201" s="168"/>
      <c r="S201" s="171"/>
      <c r="T201" s="168"/>
      <c r="U201" s="167"/>
      <c r="V201" s="168"/>
      <c r="W201" s="167"/>
      <c r="X201" s="168">
        <v>15</v>
      </c>
      <c r="Y201" s="167"/>
      <c r="Z201" s="168">
        <v>20</v>
      </c>
      <c r="AA201" s="167"/>
      <c r="AB201" s="172">
        <f>+Datos_Generales!$K$9</f>
        <v>3.6999999999999998E-2</v>
      </c>
      <c r="AC201" s="167"/>
      <c r="AD201" s="172">
        <v>0.33</v>
      </c>
      <c r="AE201" s="167"/>
      <c r="AF201" s="168">
        <v>18.36</v>
      </c>
      <c r="AG201" s="167"/>
      <c r="AH201" s="182"/>
      <c r="AI201" s="167"/>
      <c r="AJ201" s="182"/>
      <c r="AK201" s="170"/>
      <c r="AL201" s="170">
        <f t="shared" si="24"/>
        <v>1492.9858999999999</v>
      </c>
      <c r="AM201" s="170"/>
      <c r="AN201" s="170">
        <f t="shared" si="25"/>
        <v>167.25</v>
      </c>
      <c r="AO201" s="170"/>
      <c r="AP201" s="170">
        <f t="shared" si="26"/>
        <v>73.469836138999995</v>
      </c>
      <c r="AQ201" s="170"/>
      <c r="AR201" s="170">
        <f t="shared" si="27"/>
        <v>492.68534699999998</v>
      </c>
      <c r="AS201" s="170"/>
      <c r="AT201" s="170" t="e">
        <f>+(N201+P201)+((X201+Z201+AF201)/Datos_Generales!$E$15)</f>
        <v>#DIV/0!</v>
      </c>
      <c r="AU201" s="199"/>
      <c r="AV201" s="199">
        <f t="shared" si="28"/>
        <v>1985.671247</v>
      </c>
      <c r="AW201" s="199"/>
      <c r="AX201" s="173" t="e">
        <f t="shared" si="22"/>
        <v>#DIV/0!</v>
      </c>
    </row>
    <row r="202" spans="1:50" x14ac:dyDescent="0.2">
      <c r="A202" s="161" t="s">
        <v>2336</v>
      </c>
      <c r="B202" s="183">
        <v>2018</v>
      </c>
      <c r="C202" s="163">
        <v>0</v>
      </c>
      <c r="D202" s="163">
        <v>1794</v>
      </c>
      <c r="E202" s="164" t="s">
        <v>2303</v>
      </c>
      <c r="F202" s="165">
        <v>1</v>
      </c>
      <c r="G202" s="166">
        <v>40</v>
      </c>
      <c r="H202" s="167">
        <v>8</v>
      </c>
      <c r="I202" s="167">
        <v>1525.1440349999998</v>
      </c>
      <c r="J202" s="168">
        <v>1525.1440349999998</v>
      </c>
      <c r="K202" s="169">
        <v>15</v>
      </c>
      <c r="L202" s="167">
        <f t="shared" si="23"/>
        <v>381.28600875000001</v>
      </c>
      <c r="M202" s="170">
        <v>12</v>
      </c>
      <c r="N202" s="168">
        <v>59.18</v>
      </c>
      <c r="O202" s="170">
        <v>12</v>
      </c>
      <c r="P202" s="168">
        <v>38.159999999999997</v>
      </c>
      <c r="Q202" s="170"/>
      <c r="R202" s="168"/>
      <c r="S202" s="171"/>
      <c r="T202" s="168"/>
      <c r="U202" s="167"/>
      <c r="V202" s="168"/>
      <c r="W202" s="167"/>
      <c r="X202" s="168">
        <v>15</v>
      </c>
      <c r="Y202" s="167"/>
      <c r="Z202" s="168">
        <v>20</v>
      </c>
      <c r="AA202" s="167"/>
      <c r="AB202" s="172">
        <f>+Datos_Generales!$K$9</f>
        <v>3.6999999999999998E-2</v>
      </c>
      <c r="AC202" s="167"/>
      <c r="AD202" s="172">
        <v>0.33</v>
      </c>
      <c r="AE202" s="167"/>
      <c r="AF202" s="168">
        <v>18.36</v>
      </c>
      <c r="AG202" s="167"/>
      <c r="AH202" s="182"/>
      <c r="AI202" s="167"/>
      <c r="AJ202" s="182"/>
      <c r="AK202" s="170"/>
      <c r="AL202" s="170">
        <f t="shared" si="24"/>
        <v>1906.4300437499999</v>
      </c>
      <c r="AM202" s="170"/>
      <c r="AN202" s="170">
        <f t="shared" si="25"/>
        <v>150.69999999999999</v>
      </c>
      <c r="AO202" s="170"/>
      <c r="AP202" s="170">
        <f t="shared" si="26"/>
        <v>93.815422452937497</v>
      </c>
      <c r="AQ202" s="170"/>
      <c r="AR202" s="170">
        <f t="shared" si="27"/>
        <v>629.12191443749998</v>
      </c>
      <c r="AS202" s="170"/>
      <c r="AT202" s="170" t="e">
        <f>+(N202+P202)+((X202+Z202+AF202)/Datos_Generales!$E$15)</f>
        <v>#DIV/0!</v>
      </c>
      <c r="AU202" s="199"/>
      <c r="AV202" s="199">
        <f t="shared" si="28"/>
        <v>2535.5519581875001</v>
      </c>
      <c r="AW202" s="199"/>
      <c r="AX202" s="173" t="e">
        <f t="shared" si="22"/>
        <v>#DIV/0!</v>
      </c>
    </row>
    <row r="203" spans="1:50" x14ac:dyDescent="0.2">
      <c r="A203" s="161" t="s">
        <v>2336</v>
      </c>
      <c r="B203" s="183">
        <v>2018</v>
      </c>
      <c r="C203" s="163"/>
      <c r="D203" s="163"/>
      <c r="E203" s="164" t="s">
        <v>1065</v>
      </c>
      <c r="F203" s="165">
        <v>2</v>
      </c>
      <c r="G203" s="166">
        <v>40</v>
      </c>
      <c r="H203" s="167">
        <v>8</v>
      </c>
      <c r="I203" s="167">
        <v>1348.2036149999999</v>
      </c>
      <c r="J203" s="168">
        <v>1348.2036149999999</v>
      </c>
      <c r="K203" s="169">
        <v>15</v>
      </c>
      <c r="L203" s="167">
        <f t="shared" si="23"/>
        <v>337.05090374999997</v>
      </c>
      <c r="M203" s="170">
        <v>12</v>
      </c>
      <c r="N203" s="168">
        <v>59.18</v>
      </c>
      <c r="O203" s="170">
        <v>12</v>
      </c>
      <c r="P203" s="168">
        <v>38.159999999999997</v>
      </c>
      <c r="Q203" s="170"/>
      <c r="R203" s="168"/>
      <c r="S203" s="171"/>
      <c r="T203" s="168"/>
      <c r="U203" s="167"/>
      <c r="V203" s="168"/>
      <c r="W203" s="167"/>
      <c r="X203" s="168">
        <v>15</v>
      </c>
      <c r="Y203" s="167"/>
      <c r="Z203" s="168">
        <v>20</v>
      </c>
      <c r="AA203" s="167"/>
      <c r="AB203" s="172">
        <f>+Datos_Generales!$K$9</f>
        <v>3.6999999999999998E-2</v>
      </c>
      <c r="AC203" s="167"/>
      <c r="AD203" s="172">
        <v>0.33</v>
      </c>
      <c r="AE203" s="167"/>
      <c r="AF203" s="168">
        <v>18.36</v>
      </c>
      <c r="AG203" s="167"/>
      <c r="AH203" s="182"/>
      <c r="AI203" s="167"/>
      <c r="AJ203" s="182"/>
      <c r="AK203" s="170"/>
      <c r="AL203" s="170">
        <f t="shared" si="24"/>
        <v>1685.25451875</v>
      </c>
      <c r="AM203" s="170"/>
      <c r="AN203" s="170">
        <f t="shared" si="25"/>
        <v>150.69999999999999</v>
      </c>
      <c r="AO203" s="170"/>
      <c r="AP203" s="170">
        <f t="shared" si="26"/>
        <v>82.931374867687509</v>
      </c>
      <c r="AQ203" s="170"/>
      <c r="AR203" s="170">
        <f t="shared" si="27"/>
        <v>556.13399118749999</v>
      </c>
      <c r="AS203" s="170"/>
      <c r="AT203" s="170" t="e">
        <f>+(N203+P203)+((X203+Z203+AF203)/Datos_Generales!$E$15)</f>
        <v>#DIV/0!</v>
      </c>
      <c r="AU203" s="199"/>
      <c r="AV203" s="199">
        <f t="shared" si="28"/>
        <v>2241.3885099375002</v>
      </c>
      <c r="AW203" s="199"/>
      <c r="AX203" s="173" t="e">
        <f t="shared" si="22"/>
        <v>#DIV/0!</v>
      </c>
    </row>
    <row r="204" spans="1:50" x14ac:dyDescent="0.2">
      <c r="A204" s="161" t="s">
        <v>2336</v>
      </c>
      <c r="B204" s="183">
        <v>2018</v>
      </c>
      <c r="C204" s="163"/>
      <c r="D204" s="163"/>
      <c r="E204" s="164" t="s">
        <v>2267</v>
      </c>
      <c r="F204" s="165">
        <v>2</v>
      </c>
      <c r="G204" s="166">
        <v>40</v>
      </c>
      <c r="H204" s="167">
        <v>8</v>
      </c>
      <c r="I204" s="167">
        <v>1348.2036149999999</v>
      </c>
      <c r="J204" s="168">
        <v>1348.2036149999999</v>
      </c>
      <c r="K204" s="169">
        <v>15</v>
      </c>
      <c r="L204" s="167">
        <f t="shared" si="23"/>
        <v>337.05090374999997</v>
      </c>
      <c r="M204" s="170">
        <v>12</v>
      </c>
      <c r="N204" s="168">
        <v>59.18</v>
      </c>
      <c r="O204" s="170">
        <v>12</v>
      </c>
      <c r="P204" s="168">
        <v>38.159999999999997</v>
      </c>
      <c r="Q204" s="170"/>
      <c r="R204" s="168"/>
      <c r="S204" s="171"/>
      <c r="T204" s="168"/>
      <c r="U204" s="167"/>
      <c r="V204" s="168"/>
      <c r="W204" s="167"/>
      <c r="X204" s="168">
        <v>15</v>
      </c>
      <c r="Y204" s="167"/>
      <c r="Z204" s="168">
        <v>20</v>
      </c>
      <c r="AA204" s="167"/>
      <c r="AB204" s="172">
        <f>+Datos_Generales!$K$9</f>
        <v>3.6999999999999998E-2</v>
      </c>
      <c r="AC204" s="167"/>
      <c r="AD204" s="172">
        <v>0.33</v>
      </c>
      <c r="AE204" s="167"/>
      <c r="AF204" s="168">
        <v>18.36</v>
      </c>
      <c r="AG204" s="167"/>
      <c r="AH204" s="182"/>
      <c r="AI204" s="167"/>
      <c r="AJ204" s="182"/>
      <c r="AK204" s="170"/>
      <c r="AL204" s="170">
        <f t="shared" si="24"/>
        <v>1685.25451875</v>
      </c>
      <c r="AM204" s="170"/>
      <c r="AN204" s="170">
        <f t="shared" si="25"/>
        <v>150.69999999999999</v>
      </c>
      <c r="AO204" s="170"/>
      <c r="AP204" s="170">
        <f t="shared" si="26"/>
        <v>82.931374867687509</v>
      </c>
      <c r="AQ204" s="170"/>
      <c r="AR204" s="170">
        <f t="shared" si="27"/>
        <v>556.13399118749999</v>
      </c>
      <c r="AS204" s="170"/>
      <c r="AT204" s="170" t="e">
        <f>+(N204+P204)+((X204+Z204+AF204)/Datos_Generales!$E$15)</f>
        <v>#DIV/0!</v>
      </c>
      <c r="AU204" s="199"/>
      <c r="AV204" s="199">
        <f t="shared" si="28"/>
        <v>2241.3885099375002</v>
      </c>
      <c r="AW204" s="199"/>
      <c r="AX204" s="173" t="e">
        <f t="shared" si="22"/>
        <v>#DIV/0!</v>
      </c>
    </row>
    <row r="205" spans="1:50" x14ac:dyDescent="0.2">
      <c r="A205" s="161" t="s">
        <v>2336</v>
      </c>
      <c r="B205" s="183">
        <v>2018</v>
      </c>
      <c r="C205" s="163"/>
      <c r="D205" s="163"/>
      <c r="E205" s="164" t="s">
        <v>2268</v>
      </c>
      <c r="F205" s="165">
        <v>2</v>
      </c>
      <c r="G205" s="166">
        <v>40</v>
      </c>
      <c r="H205" s="167">
        <v>8</v>
      </c>
      <c r="I205" s="167">
        <v>1348.2036149999999</v>
      </c>
      <c r="J205" s="168">
        <v>1348.2036149999999</v>
      </c>
      <c r="K205" s="169">
        <v>15</v>
      </c>
      <c r="L205" s="167">
        <f t="shared" si="23"/>
        <v>337.05090374999997</v>
      </c>
      <c r="M205" s="170">
        <v>12</v>
      </c>
      <c r="N205" s="168">
        <v>59.18</v>
      </c>
      <c r="O205" s="170">
        <v>12</v>
      </c>
      <c r="P205" s="168">
        <v>38.159999999999997</v>
      </c>
      <c r="Q205" s="170"/>
      <c r="R205" s="168"/>
      <c r="S205" s="171"/>
      <c r="T205" s="168"/>
      <c r="U205" s="167"/>
      <c r="V205" s="168"/>
      <c r="W205" s="167"/>
      <c r="X205" s="168">
        <v>15</v>
      </c>
      <c r="Y205" s="167"/>
      <c r="Z205" s="168">
        <v>20</v>
      </c>
      <c r="AA205" s="167"/>
      <c r="AB205" s="172">
        <f>+Datos_Generales!$K$9</f>
        <v>3.6999999999999998E-2</v>
      </c>
      <c r="AC205" s="167"/>
      <c r="AD205" s="172">
        <v>0.33</v>
      </c>
      <c r="AE205" s="167"/>
      <c r="AF205" s="168">
        <v>18.36</v>
      </c>
      <c r="AG205" s="167"/>
      <c r="AH205" s="182"/>
      <c r="AI205" s="167"/>
      <c r="AJ205" s="182"/>
      <c r="AK205" s="170"/>
      <c r="AL205" s="170">
        <f t="shared" si="24"/>
        <v>1685.25451875</v>
      </c>
      <c r="AM205" s="170"/>
      <c r="AN205" s="170">
        <f t="shared" si="25"/>
        <v>150.69999999999999</v>
      </c>
      <c r="AO205" s="170"/>
      <c r="AP205" s="170">
        <f t="shared" si="26"/>
        <v>82.931374867687509</v>
      </c>
      <c r="AQ205" s="170"/>
      <c r="AR205" s="170">
        <f t="shared" si="27"/>
        <v>556.13399118749999</v>
      </c>
      <c r="AS205" s="170"/>
      <c r="AT205" s="170" t="e">
        <f>+(N205+P205)+((X205+Z205+AF205)/Datos_Generales!$E$15)</f>
        <v>#DIV/0!</v>
      </c>
      <c r="AU205" s="199"/>
      <c r="AV205" s="199">
        <f t="shared" si="28"/>
        <v>2241.3885099375002</v>
      </c>
      <c r="AW205" s="199"/>
      <c r="AX205" s="173" t="e">
        <f t="shared" ref="AX205:AX225" si="29">+AL205+AT205+AP205+AR205</f>
        <v>#DIV/0!</v>
      </c>
    </row>
    <row r="206" spans="1:50" x14ac:dyDescent="0.2">
      <c r="A206" s="161" t="s">
        <v>2336</v>
      </c>
      <c r="B206" s="183">
        <v>2018</v>
      </c>
      <c r="C206" s="163"/>
      <c r="D206" s="163"/>
      <c r="E206" s="164" t="s">
        <v>1063</v>
      </c>
      <c r="F206" s="165">
        <v>3</v>
      </c>
      <c r="G206" s="166">
        <v>40</v>
      </c>
      <c r="H206" s="167">
        <v>8</v>
      </c>
      <c r="I206" s="167">
        <v>1446.9510899999998</v>
      </c>
      <c r="J206" s="168">
        <v>1446.9510899999998</v>
      </c>
      <c r="K206" s="169">
        <v>15</v>
      </c>
      <c r="L206" s="167">
        <f t="shared" si="23"/>
        <v>361.73777249999995</v>
      </c>
      <c r="M206" s="170">
        <v>12</v>
      </c>
      <c r="N206" s="168">
        <v>59.18</v>
      </c>
      <c r="O206" s="170">
        <v>12</v>
      </c>
      <c r="P206" s="168">
        <v>38.159999999999997</v>
      </c>
      <c r="Q206" s="170"/>
      <c r="R206" s="168"/>
      <c r="S206" s="171"/>
      <c r="T206" s="168"/>
      <c r="U206" s="167"/>
      <c r="V206" s="168"/>
      <c r="W206" s="167"/>
      <c r="X206" s="168">
        <v>15</v>
      </c>
      <c r="Y206" s="167"/>
      <c r="Z206" s="168">
        <v>20</v>
      </c>
      <c r="AA206" s="167"/>
      <c r="AB206" s="172">
        <f>+Datos_Generales!$K$9</f>
        <v>3.6999999999999998E-2</v>
      </c>
      <c r="AC206" s="167"/>
      <c r="AD206" s="172">
        <v>0.33</v>
      </c>
      <c r="AE206" s="167"/>
      <c r="AF206" s="168">
        <v>18.36</v>
      </c>
      <c r="AG206" s="167"/>
      <c r="AH206" s="182"/>
      <c r="AI206" s="167"/>
      <c r="AJ206" s="182"/>
      <c r="AK206" s="170"/>
      <c r="AL206" s="170">
        <f t="shared" si="24"/>
        <v>1808.6888624999997</v>
      </c>
      <c r="AM206" s="170"/>
      <c r="AN206" s="170">
        <f t="shared" si="25"/>
        <v>150.69999999999999</v>
      </c>
      <c r="AO206" s="170"/>
      <c r="AP206" s="170">
        <f t="shared" si="26"/>
        <v>89.005578923624981</v>
      </c>
      <c r="AQ206" s="170"/>
      <c r="AR206" s="170">
        <f t="shared" si="27"/>
        <v>596.86732462499992</v>
      </c>
      <c r="AS206" s="170"/>
      <c r="AT206" s="170" t="e">
        <f>+(N206+P206)+((X206+Z206+AF206)/Datos_Generales!$E$15)</f>
        <v>#DIV/0!</v>
      </c>
      <c r="AU206" s="199"/>
      <c r="AV206" s="199">
        <f t="shared" si="28"/>
        <v>2405.5561871249997</v>
      </c>
      <c r="AW206" s="199"/>
      <c r="AX206" s="173" t="e">
        <f t="shared" si="29"/>
        <v>#DIV/0!</v>
      </c>
    </row>
    <row r="207" spans="1:50" x14ac:dyDescent="0.2">
      <c r="A207" s="161" t="s">
        <v>2336</v>
      </c>
      <c r="B207" s="183">
        <v>2018</v>
      </c>
      <c r="C207" s="163"/>
      <c r="D207" s="163"/>
      <c r="E207" s="164" t="s">
        <v>1067</v>
      </c>
      <c r="F207" s="165">
        <v>4</v>
      </c>
      <c r="G207" s="166">
        <v>40</v>
      </c>
      <c r="H207" s="167">
        <v>8</v>
      </c>
      <c r="I207" s="167">
        <v>1280.0056499999998</v>
      </c>
      <c r="J207" s="168">
        <v>1280.0056499999998</v>
      </c>
      <c r="K207" s="169">
        <v>15</v>
      </c>
      <c r="L207" s="167">
        <f t="shared" si="23"/>
        <v>320.00141249999996</v>
      </c>
      <c r="M207" s="170">
        <v>12</v>
      </c>
      <c r="N207" s="168">
        <v>59.18</v>
      </c>
      <c r="O207" s="170">
        <v>12</v>
      </c>
      <c r="P207" s="168">
        <v>38.159999999999997</v>
      </c>
      <c r="Q207" s="170"/>
      <c r="R207" s="168"/>
      <c r="S207" s="171"/>
      <c r="T207" s="168"/>
      <c r="U207" s="167"/>
      <c r="V207" s="168"/>
      <c r="W207" s="167"/>
      <c r="X207" s="168">
        <v>15</v>
      </c>
      <c r="Y207" s="167"/>
      <c r="Z207" s="168">
        <v>20</v>
      </c>
      <c r="AA207" s="167"/>
      <c r="AB207" s="172">
        <f>+Datos_Generales!$K$9</f>
        <v>3.6999999999999998E-2</v>
      </c>
      <c r="AC207" s="167"/>
      <c r="AD207" s="172">
        <v>0.33</v>
      </c>
      <c r="AE207" s="167"/>
      <c r="AF207" s="168">
        <v>18.36</v>
      </c>
      <c r="AG207" s="167"/>
      <c r="AH207" s="182"/>
      <c r="AI207" s="167"/>
      <c r="AJ207" s="182"/>
      <c r="AK207" s="170"/>
      <c r="AL207" s="170">
        <f t="shared" si="24"/>
        <v>1600.0070624999998</v>
      </c>
      <c r="AM207" s="170"/>
      <c r="AN207" s="170">
        <f t="shared" si="25"/>
        <v>150.69999999999999</v>
      </c>
      <c r="AO207" s="170"/>
      <c r="AP207" s="170">
        <f t="shared" si="26"/>
        <v>78.736347545624994</v>
      </c>
      <c r="AQ207" s="170"/>
      <c r="AR207" s="170">
        <f t="shared" si="27"/>
        <v>528.00233062500001</v>
      </c>
      <c r="AS207" s="170"/>
      <c r="AT207" s="170" t="e">
        <f>+(N207+P207)+((X207+Z207+AF207)/Datos_Generales!$E$15)</f>
        <v>#DIV/0!</v>
      </c>
      <c r="AU207" s="199"/>
      <c r="AV207" s="199">
        <f t="shared" si="28"/>
        <v>2128.0093931249999</v>
      </c>
      <c r="AW207" s="199"/>
      <c r="AX207" s="173" t="e">
        <f t="shared" si="29"/>
        <v>#DIV/0!</v>
      </c>
    </row>
    <row r="208" spans="1:50" x14ac:dyDescent="0.2">
      <c r="A208" s="161" t="s">
        <v>2336</v>
      </c>
      <c r="B208" s="183">
        <v>2018</v>
      </c>
      <c r="C208" s="163"/>
      <c r="D208" s="163"/>
      <c r="E208" s="164" t="s">
        <v>1084</v>
      </c>
      <c r="F208" s="165">
        <v>4</v>
      </c>
      <c r="G208" s="166">
        <v>40</v>
      </c>
      <c r="H208" s="167">
        <v>8</v>
      </c>
      <c r="I208" s="167">
        <v>1280.0056499999998</v>
      </c>
      <c r="J208" s="168">
        <v>1280.0056499999998</v>
      </c>
      <c r="K208" s="169">
        <v>15</v>
      </c>
      <c r="L208" s="167">
        <f t="shared" si="23"/>
        <v>320.00141249999996</v>
      </c>
      <c r="M208" s="170">
        <v>12</v>
      </c>
      <c r="N208" s="168">
        <v>59.18</v>
      </c>
      <c r="O208" s="170">
        <v>12</v>
      </c>
      <c r="P208" s="168">
        <v>38.159999999999997</v>
      </c>
      <c r="Q208" s="170"/>
      <c r="R208" s="168"/>
      <c r="S208" s="171"/>
      <c r="T208" s="168"/>
      <c r="U208" s="167"/>
      <c r="V208" s="168"/>
      <c r="W208" s="167"/>
      <c r="X208" s="168">
        <v>15</v>
      </c>
      <c r="Y208" s="167"/>
      <c r="Z208" s="168">
        <v>20</v>
      </c>
      <c r="AA208" s="167"/>
      <c r="AB208" s="172">
        <f>+Datos_Generales!$K$9</f>
        <v>3.6999999999999998E-2</v>
      </c>
      <c r="AC208" s="167"/>
      <c r="AD208" s="172">
        <v>0.33</v>
      </c>
      <c r="AE208" s="167"/>
      <c r="AF208" s="168">
        <v>18.36</v>
      </c>
      <c r="AG208" s="167"/>
      <c r="AH208" s="182"/>
      <c r="AI208" s="167"/>
      <c r="AJ208" s="182"/>
      <c r="AK208" s="170"/>
      <c r="AL208" s="170">
        <f t="shared" si="24"/>
        <v>1600.0070624999998</v>
      </c>
      <c r="AM208" s="170"/>
      <c r="AN208" s="170">
        <f t="shared" si="25"/>
        <v>150.69999999999999</v>
      </c>
      <c r="AO208" s="170"/>
      <c r="AP208" s="170">
        <f t="shared" si="26"/>
        <v>78.736347545624994</v>
      </c>
      <c r="AQ208" s="170"/>
      <c r="AR208" s="170">
        <f t="shared" si="27"/>
        <v>528.00233062500001</v>
      </c>
      <c r="AS208" s="170"/>
      <c r="AT208" s="170" t="e">
        <f>+(N208+P208)+((X208+Z208+AF208)/Datos_Generales!$E$15)</f>
        <v>#DIV/0!</v>
      </c>
      <c r="AU208" s="199"/>
      <c r="AV208" s="199">
        <f t="shared" si="28"/>
        <v>2128.0093931249999</v>
      </c>
      <c r="AW208" s="199"/>
      <c r="AX208" s="173" t="e">
        <f t="shared" si="29"/>
        <v>#DIV/0!</v>
      </c>
    </row>
    <row r="209" spans="1:50" x14ac:dyDescent="0.2">
      <c r="A209" s="161" t="s">
        <v>2336</v>
      </c>
      <c r="B209" s="183">
        <v>2018</v>
      </c>
      <c r="C209" s="163"/>
      <c r="D209" s="163"/>
      <c r="E209" s="164" t="s">
        <v>1073</v>
      </c>
      <c r="F209" s="165" t="s">
        <v>2273</v>
      </c>
      <c r="G209" s="166">
        <v>40</v>
      </c>
      <c r="H209" s="167">
        <v>8</v>
      </c>
      <c r="I209" s="167">
        <v>1219.7430299999999</v>
      </c>
      <c r="J209" s="168">
        <v>1219.7430299999999</v>
      </c>
      <c r="K209" s="169">
        <v>12</v>
      </c>
      <c r="L209" s="167">
        <f t="shared" si="23"/>
        <v>0</v>
      </c>
      <c r="M209" s="170"/>
      <c r="N209" s="168"/>
      <c r="O209" s="170"/>
      <c r="P209" s="168"/>
      <c r="Q209" s="170"/>
      <c r="R209" s="168"/>
      <c r="S209" s="171"/>
      <c r="T209" s="168"/>
      <c r="U209" s="167"/>
      <c r="V209" s="168"/>
      <c r="W209" s="167"/>
      <c r="X209" s="168">
        <v>15</v>
      </c>
      <c r="Y209" s="167"/>
      <c r="Z209" s="168">
        <v>20</v>
      </c>
      <c r="AA209" s="167"/>
      <c r="AB209" s="172">
        <f>+Datos_Generales!$K$9</f>
        <v>3.6999999999999998E-2</v>
      </c>
      <c r="AC209" s="167"/>
      <c r="AD209" s="172">
        <v>0.33</v>
      </c>
      <c r="AE209" s="167"/>
      <c r="AF209" s="168">
        <v>18.36</v>
      </c>
      <c r="AG209" s="167"/>
      <c r="AH209" s="182"/>
      <c r="AI209" s="167"/>
      <c r="AJ209" s="182"/>
      <c r="AK209" s="170"/>
      <c r="AL209" s="170">
        <f t="shared" si="24"/>
        <v>1219.7430299999999</v>
      </c>
      <c r="AM209" s="170"/>
      <c r="AN209" s="170">
        <f t="shared" si="25"/>
        <v>53.36</v>
      </c>
      <c r="AO209" s="170"/>
      <c r="AP209" s="170">
        <f t="shared" si="26"/>
        <v>60.023554506299988</v>
      </c>
      <c r="AQ209" s="170"/>
      <c r="AR209" s="170">
        <f t="shared" si="27"/>
        <v>402.51519989999997</v>
      </c>
      <c r="AS209" s="170"/>
      <c r="AT209" s="170" t="e">
        <f>+(N209+P209)+((X209+Z209+AF209)/Datos_Generales!$E$15)</f>
        <v>#DIV/0!</v>
      </c>
      <c r="AU209" s="199"/>
      <c r="AV209" s="199">
        <f t="shared" si="28"/>
        <v>1622.2582298999998</v>
      </c>
      <c r="AW209" s="199"/>
      <c r="AX209" s="173" t="e">
        <f t="shared" si="29"/>
        <v>#DIV/0!</v>
      </c>
    </row>
    <row r="210" spans="1:50" x14ac:dyDescent="0.2">
      <c r="A210" s="161" t="s">
        <v>2336</v>
      </c>
      <c r="B210" s="162">
        <v>2018</v>
      </c>
      <c r="C210" s="180"/>
      <c r="D210" s="175"/>
      <c r="E210" s="176" t="s">
        <v>2337</v>
      </c>
      <c r="F210" s="165">
        <v>6</v>
      </c>
      <c r="G210" s="166">
        <v>40</v>
      </c>
      <c r="H210" s="167">
        <v>8</v>
      </c>
      <c r="I210" s="167">
        <v>1239.8061749999997</v>
      </c>
      <c r="J210" s="168">
        <v>1239.8061749999997</v>
      </c>
      <c r="K210" s="169">
        <v>15</v>
      </c>
      <c r="L210" s="167">
        <f t="shared" si="23"/>
        <v>309.95154374999993</v>
      </c>
      <c r="M210" s="170">
        <v>12</v>
      </c>
      <c r="N210" s="168">
        <v>59.18</v>
      </c>
      <c r="O210" s="170">
        <v>12</v>
      </c>
      <c r="P210" s="168">
        <v>38.159999999999997</v>
      </c>
      <c r="Q210" s="170"/>
      <c r="R210" s="168"/>
      <c r="S210" s="171"/>
      <c r="T210" s="168"/>
      <c r="U210" s="167"/>
      <c r="V210" s="168"/>
      <c r="W210" s="167"/>
      <c r="X210" s="168">
        <v>15</v>
      </c>
      <c r="Y210" s="167"/>
      <c r="Z210" s="168">
        <v>20</v>
      </c>
      <c r="AA210" s="167"/>
      <c r="AB210" s="172">
        <f>+Datos_Generales!$K$9</f>
        <v>3.6999999999999998E-2</v>
      </c>
      <c r="AC210" s="167"/>
      <c r="AD210" s="172">
        <v>0.33</v>
      </c>
      <c r="AE210" s="167"/>
      <c r="AF210" s="168">
        <v>18.36</v>
      </c>
      <c r="AG210" s="167"/>
      <c r="AH210" s="182"/>
      <c r="AI210" s="167"/>
      <c r="AJ210" s="182"/>
      <c r="AK210" s="167"/>
      <c r="AL210" s="170">
        <f t="shared" si="24"/>
        <v>1549.7577187499996</v>
      </c>
      <c r="AM210" s="170"/>
      <c r="AN210" s="170">
        <f t="shared" si="25"/>
        <v>150.69999999999999</v>
      </c>
      <c r="AO210" s="170"/>
      <c r="AP210" s="170">
        <f t="shared" si="26"/>
        <v>76.263577339687487</v>
      </c>
      <c r="AQ210" s="170"/>
      <c r="AR210" s="170">
        <f t="shared" si="27"/>
        <v>511.4200471874999</v>
      </c>
      <c r="AS210" s="170"/>
      <c r="AT210" s="170" t="e">
        <f>+(N210+P210)+((X210+Z210+AF210)/Datos_Generales!$E$15)</f>
        <v>#DIV/0!</v>
      </c>
      <c r="AU210" s="199"/>
      <c r="AV210" s="199">
        <f t="shared" si="28"/>
        <v>2061.1777659374998</v>
      </c>
      <c r="AW210" s="199"/>
      <c r="AX210" s="173" t="e">
        <f t="shared" si="29"/>
        <v>#DIV/0!</v>
      </c>
    </row>
    <row r="211" spans="1:50" x14ac:dyDescent="0.2">
      <c r="A211" s="161" t="s">
        <v>2336</v>
      </c>
      <c r="B211" s="162">
        <v>2018</v>
      </c>
      <c r="C211" s="163"/>
      <c r="D211" s="163"/>
      <c r="E211" s="164" t="s">
        <v>1069</v>
      </c>
      <c r="F211" s="165">
        <v>6</v>
      </c>
      <c r="G211" s="166">
        <v>40</v>
      </c>
      <c r="H211" s="167">
        <v>8</v>
      </c>
      <c r="I211" s="167">
        <v>1239.8061749999997</v>
      </c>
      <c r="J211" s="168">
        <v>1239.8061749999997</v>
      </c>
      <c r="K211" s="169">
        <v>15</v>
      </c>
      <c r="L211" s="167">
        <f t="shared" si="23"/>
        <v>309.95154374999993</v>
      </c>
      <c r="M211" s="170">
        <v>12</v>
      </c>
      <c r="N211" s="168">
        <v>59.18</v>
      </c>
      <c r="O211" s="170">
        <v>12</v>
      </c>
      <c r="P211" s="168">
        <v>38.159999999999997</v>
      </c>
      <c r="Q211" s="170"/>
      <c r="R211" s="168"/>
      <c r="S211" s="171"/>
      <c r="T211" s="168"/>
      <c r="U211" s="167"/>
      <c r="V211" s="168"/>
      <c r="W211" s="167"/>
      <c r="X211" s="168">
        <v>15</v>
      </c>
      <c r="Y211" s="167"/>
      <c r="Z211" s="168">
        <v>20</v>
      </c>
      <c r="AA211" s="167"/>
      <c r="AB211" s="172">
        <f>+Datos_Generales!$K$9</f>
        <v>3.6999999999999998E-2</v>
      </c>
      <c r="AC211" s="167"/>
      <c r="AD211" s="172">
        <v>0.33</v>
      </c>
      <c r="AE211" s="167"/>
      <c r="AF211" s="168">
        <v>18.36</v>
      </c>
      <c r="AG211" s="167"/>
      <c r="AH211" s="182"/>
      <c r="AI211" s="167"/>
      <c r="AJ211" s="182"/>
      <c r="AK211" s="167"/>
      <c r="AL211" s="170">
        <f t="shared" si="24"/>
        <v>1549.7577187499996</v>
      </c>
      <c r="AM211" s="170"/>
      <c r="AN211" s="170">
        <f t="shared" si="25"/>
        <v>150.69999999999999</v>
      </c>
      <c r="AO211" s="170"/>
      <c r="AP211" s="170">
        <f t="shared" si="26"/>
        <v>76.263577339687487</v>
      </c>
      <c r="AQ211" s="170"/>
      <c r="AR211" s="170">
        <f t="shared" si="27"/>
        <v>511.4200471874999</v>
      </c>
      <c r="AS211" s="170"/>
      <c r="AT211" s="170" t="e">
        <f>+(N211+P211)+((X211+Z211+AF211)/Datos_Generales!$E$15)</f>
        <v>#DIV/0!</v>
      </c>
      <c r="AU211" s="199"/>
      <c r="AV211" s="199">
        <f t="shared" si="28"/>
        <v>2061.1777659374998</v>
      </c>
      <c r="AW211" s="199"/>
      <c r="AX211" s="173" t="e">
        <f t="shared" si="29"/>
        <v>#DIV/0!</v>
      </c>
    </row>
    <row r="212" spans="1:50" x14ac:dyDescent="0.2">
      <c r="A212" s="161" t="s">
        <v>2336</v>
      </c>
      <c r="B212" s="162">
        <v>2018</v>
      </c>
      <c r="C212" s="163"/>
      <c r="D212" s="163"/>
      <c r="E212" s="164" t="s">
        <v>2286</v>
      </c>
      <c r="F212" s="165">
        <v>6</v>
      </c>
      <c r="G212" s="166">
        <v>40</v>
      </c>
      <c r="H212" s="167">
        <v>8</v>
      </c>
      <c r="I212" s="167">
        <v>1239.8061749999997</v>
      </c>
      <c r="J212" s="168">
        <v>1239.8061749999997</v>
      </c>
      <c r="K212" s="169">
        <v>15</v>
      </c>
      <c r="L212" s="167">
        <f t="shared" si="23"/>
        <v>309.95154374999993</v>
      </c>
      <c r="M212" s="170">
        <v>12</v>
      </c>
      <c r="N212" s="168">
        <v>59.18</v>
      </c>
      <c r="O212" s="170">
        <v>12</v>
      </c>
      <c r="P212" s="168">
        <v>38.159999999999997</v>
      </c>
      <c r="Q212" s="170"/>
      <c r="R212" s="168"/>
      <c r="S212" s="171"/>
      <c r="T212" s="168"/>
      <c r="U212" s="167"/>
      <c r="V212" s="168"/>
      <c r="W212" s="167"/>
      <c r="X212" s="168">
        <v>15</v>
      </c>
      <c r="Y212" s="167"/>
      <c r="Z212" s="168">
        <v>20</v>
      </c>
      <c r="AA212" s="167"/>
      <c r="AB212" s="172">
        <f>+Datos_Generales!$K$9</f>
        <v>3.6999999999999998E-2</v>
      </c>
      <c r="AC212" s="167"/>
      <c r="AD212" s="172">
        <v>0.33</v>
      </c>
      <c r="AE212" s="167"/>
      <c r="AF212" s="168">
        <v>18.36</v>
      </c>
      <c r="AG212" s="167"/>
      <c r="AH212" s="182"/>
      <c r="AI212" s="167"/>
      <c r="AJ212" s="182"/>
      <c r="AK212" s="167"/>
      <c r="AL212" s="170">
        <f t="shared" si="24"/>
        <v>1549.7577187499996</v>
      </c>
      <c r="AM212" s="170"/>
      <c r="AN212" s="170">
        <f t="shared" si="25"/>
        <v>150.69999999999999</v>
      </c>
      <c r="AO212" s="170"/>
      <c r="AP212" s="170">
        <f t="shared" si="26"/>
        <v>76.263577339687487</v>
      </c>
      <c r="AQ212" s="170"/>
      <c r="AR212" s="170">
        <f t="shared" si="27"/>
        <v>511.4200471874999</v>
      </c>
      <c r="AS212" s="170"/>
      <c r="AT212" s="170" t="e">
        <f>+(N212+P212)+((X212+Z212+AF212)/Datos_Generales!$E$15)</f>
        <v>#DIV/0!</v>
      </c>
      <c r="AU212" s="199"/>
      <c r="AV212" s="199">
        <f t="shared" si="28"/>
        <v>2061.1777659374998</v>
      </c>
      <c r="AW212" s="199"/>
      <c r="AX212" s="173" t="e">
        <f t="shared" si="29"/>
        <v>#DIV/0!</v>
      </c>
    </row>
    <row r="213" spans="1:50" x14ac:dyDescent="0.2">
      <c r="A213" s="161" t="s">
        <v>2336</v>
      </c>
      <c r="B213" s="162">
        <v>2018</v>
      </c>
      <c r="C213" s="163"/>
      <c r="D213" s="163"/>
      <c r="E213" s="164" t="s">
        <v>2275</v>
      </c>
      <c r="F213" s="165">
        <v>6</v>
      </c>
      <c r="G213" s="166">
        <v>40</v>
      </c>
      <c r="H213" s="167">
        <v>8</v>
      </c>
      <c r="I213" s="167">
        <v>1239.8061749999997</v>
      </c>
      <c r="J213" s="168">
        <v>1239.8061749999997</v>
      </c>
      <c r="K213" s="169">
        <v>15</v>
      </c>
      <c r="L213" s="167">
        <f t="shared" si="23"/>
        <v>309.95154374999993</v>
      </c>
      <c r="M213" s="170">
        <v>12</v>
      </c>
      <c r="N213" s="168">
        <v>59.18</v>
      </c>
      <c r="O213" s="170">
        <v>12</v>
      </c>
      <c r="P213" s="168">
        <v>38.159999999999997</v>
      </c>
      <c r="Q213" s="170"/>
      <c r="R213" s="168"/>
      <c r="S213" s="171"/>
      <c r="T213" s="168"/>
      <c r="U213" s="167"/>
      <c r="V213" s="168"/>
      <c r="W213" s="167"/>
      <c r="X213" s="168">
        <v>15</v>
      </c>
      <c r="Y213" s="167"/>
      <c r="Z213" s="168">
        <v>20</v>
      </c>
      <c r="AA213" s="167"/>
      <c r="AB213" s="172">
        <f>+Datos_Generales!$K$9</f>
        <v>3.6999999999999998E-2</v>
      </c>
      <c r="AC213" s="167"/>
      <c r="AD213" s="172">
        <v>0.33</v>
      </c>
      <c r="AE213" s="167"/>
      <c r="AF213" s="168">
        <v>18.36</v>
      </c>
      <c r="AG213" s="167"/>
      <c r="AH213" s="182"/>
      <c r="AI213" s="167"/>
      <c r="AJ213" s="182"/>
      <c r="AK213" s="167"/>
      <c r="AL213" s="170">
        <f t="shared" si="24"/>
        <v>1549.7577187499996</v>
      </c>
      <c r="AM213" s="170"/>
      <c r="AN213" s="170">
        <f t="shared" si="25"/>
        <v>150.69999999999999</v>
      </c>
      <c r="AO213" s="170"/>
      <c r="AP213" s="170">
        <f t="shared" si="26"/>
        <v>76.263577339687487</v>
      </c>
      <c r="AQ213" s="170"/>
      <c r="AR213" s="170">
        <f t="shared" si="27"/>
        <v>511.4200471874999</v>
      </c>
      <c r="AS213" s="170"/>
      <c r="AT213" s="170" t="e">
        <f>+(N213+P213)+((X213+Z213+AF213)/Datos_Generales!$E$15)</f>
        <v>#DIV/0!</v>
      </c>
      <c r="AU213" s="199"/>
      <c r="AV213" s="199">
        <f t="shared" si="28"/>
        <v>2061.1777659374998</v>
      </c>
      <c r="AW213" s="199"/>
      <c r="AX213" s="173" t="e">
        <f t="shared" si="29"/>
        <v>#DIV/0!</v>
      </c>
    </row>
    <row r="214" spans="1:50" x14ac:dyDescent="0.2">
      <c r="A214" s="161" t="s">
        <v>2336</v>
      </c>
      <c r="B214" s="162">
        <v>2018</v>
      </c>
      <c r="C214" s="163"/>
      <c r="D214" s="163"/>
      <c r="E214" s="164" t="s">
        <v>2306</v>
      </c>
      <c r="F214" s="165">
        <v>7</v>
      </c>
      <c r="G214" s="166">
        <v>40</v>
      </c>
      <c r="H214" s="167">
        <v>8</v>
      </c>
      <c r="I214" s="167">
        <v>1191.15906</v>
      </c>
      <c r="J214" s="168">
        <v>1191.15906</v>
      </c>
      <c r="K214" s="169">
        <v>15</v>
      </c>
      <c r="L214" s="167">
        <f t="shared" si="23"/>
        <v>297.78976499999999</v>
      </c>
      <c r="M214" s="170">
        <v>12</v>
      </c>
      <c r="N214" s="168">
        <v>59.18</v>
      </c>
      <c r="O214" s="170">
        <v>12</v>
      </c>
      <c r="P214" s="168">
        <v>38.159999999999997</v>
      </c>
      <c r="Q214" s="170"/>
      <c r="R214" s="168"/>
      <c r="S214" s="171"/>
      <c r="T214" s="168"/>
      <c r="U214" s="167"/>
      <c r="V214" s="168"/>
      <c r="W214" s="167"/>
      <c r="X214" s="168">
        <v>15</v>
      </c>
      <c r="Y214" s="167"/>
      <c r="Z214" s="168">
        <v>20</v>
      </c>
      <c r="AA214" s="167"/>
      <c r="AB214" s="172">
        <f>+Datos_Generales!$K$9</f>
        <v>3.6999999999999998E-2</v>
      </c>
      <c r="AC214" s="167"/>
      <c r="AD214" s="172">
        <v>0.33</v>
      </c>
      <c r="AE214" s="167"/>
      <c r="AF214" s="168">
        <v>18.36</v>
      </c>
      <c r="AG214" s="167"/>
      <c r="AH214" s="182"/>
      <c r="AI214" s="167"/>
      <c r="AJ214" s="182"/>
      <c r="AK214" s="167"/>
      <c r="AL214" s="170">
        <f t="shared" si="24"/>
        <v>1488.9488249999999</v>
      </c>
      <c r="AM214" s="170"/>
      <c r="AN214" s="170">
        <f t="shared" si="25"/>
        <v>150.69999999999999</v>
      </c>
      <c r="AO214" s="170"/>
      <c r="AP214" s="170">
        <f t="shared" si="26"/>
        <v>73.271171678249999</v>
      </c>
      <c r="AQ214" s="170"/>
      <c r="AR214" s="170">
        <f t="shared" si="27"/>
        <v>491.35311224999998</v>
      </c>
      <c r="AS214" s="170"/>
      <c r="AT214" s="170" t="e">
        <f>+(N214+P214)+((X214+Z214+AF214)/Datos_Generales!$E$15)</f>
        <v>#DIV/0!</v>
      </c>
      <c r="AU214" s="199"/>
      <c r="AV214" s="199">
        <f t="shared" si="28"/>
        <v>1980.30193725</v>
      </c>
      <c r="AW214" s="199"/>
      <c r="AX214" s="173" t="e">
        <f t="shared" si="29"/>
        <v>#DIV/0!</v>
      </c>
    </row>
    <row r="215" spans="1:50" x14ac:dyDescent="0.2">
      <c r="A215" s="161" t="s">
        <v>2338</v>
      </c>
      <c r="B215" s="162">
        <v>2019</v>
      </c>
      <c r="C215" s="163">
        <v>0</v>
      </c>
      <c r="D215" s="163">
        <v>1794</v>
      </c>
      <c r="E215" s="164" t="s">
        <v>1063</v>
      </c>
      <c r="F215" s="165">
        <v>1</v>
      </c>
      <c r="G215" s="166">
        <v>40</v>
      </c>
      <c r="H215" s="167">
        <v>8</v>
      </c>
      <c r="I215" s="167">
        <v>1444.3373399999998</v>
      </c>
      <c r="J215" s="168">
        <v>1444.3373399999998</v>
      </c>
      <c r="K215" s="169">
        <v>15</v>
      </c>
      <c r="L215" s="167">
        <f t="shared" si="23"/>
        <v>361.08433499999995</v>
      </c>
      <c r="M215" s="170">
        <v>12</v>
      </c>
      <c r="N215" s="168">
        <v>62.22</v>
      </c>
      <c r="O215" s="170">
        <v>12</v>
      </c>
      <c r="P215" s="168">
        <v>40.92</v>
      </c>
      <c r="Q215" s="170"/>
      <c r="R215" s="168"/>
      <c r="S215" s="171"/>
      <c r="T215" s="168"/>
      <c r="U215" s="167"/>
      <c r="V215" s="168"/>
      <c r="W215" s="167"/>
      <c r="X215" s="168">
        <v>15</v>
      </c>
      <c r="Y215" s="167"/>
      <c r="Z215" s="168">
        <v>20</v>
      </c>
      <c r="AA215" s="167"/>
      <c r="AB215" s="172">
        <f>+Datos_Generales!$K$9</f>
        <v>3.6999999999999998E-2</v>
      </c>
      <c r="AC215" s="167"/>
      <c r="AD215" s="172">
        <v>0.33</v>
      </c>
      <c r="AE215" s="167"/>
      <c r="AF215" s="168">
        <v>18.36</v>
      </c>
      <c r="AG215" s="167"/>
      <c r="AH215" s="182"/>
      <c r="AI215" s="167"/>
      <c r="AJ215" s="182"/>
      <c r="AK215" s="167"/>
      <c r="AL215" s="170">
        <f t="shared" si="24"/>
        <v>1805.4216749999998</v>
      </c>
      <c r="AM215" s="170"/>
      <c r="AN215" s="170">
        <f t="shared" si="25"/>
        <v>156.5</v>
      </c>
      <c r="AO215" s="170"/>
      <c r="AP215" s="170">
        <f t="shared" si="26"/>
        <v>88.844800626749986</v>
      </c>
      <c r="AQ215" s="170"/>
      <c r="AR215" s="170">
        <f t="shared" si="27"/>
        <v>595.78915274999997</v>
      </c>
      <c r="AS215" s="170"/>
      <c r="AT215" s="170" t="e">
        <f>+(N215+P215)+((X215+Z215+AF215)/Datos_Generales!$E$15)</f>
        <v>#DIV/0!</v>
      </c>
      <c r="AU215" s="199"/>
      <c r="AV215" s="199">
        <f t="shared" si="28"/>
        <v>2401.2108277499997</v>
      </c>
      <c r="AW215" s="199"/>
      <c r="AX215" s="173" t="e">
        <f t="shared" si="29"/>
        <v>#DIV/0!</v>
      </c>
    </row>
    <row r="216" spans="1:50" x14ac:dyDescent="0.2">
      <c r="A216" s="161" t="s">
        <v>2338</v>
      </c>
      <c r="B216" s="162">
        <v>2019</v>
      </c>
      <c r="C216" s="163"/>
      <c r="D216" s="163"/>
      <c r="E216" s="164" t="s">
        <v>1065</v>
      </c>
      <c r="F216" s="165">
        <v>2</v>
      </c>
      <c r="G216" s="166">
        <v>40</v>
      </c>
      <c r="H216" s="167">
        <v>8</v>
      </c>
      <c r="I216" s="167">
        <v>1316.1694949999999</v>
      </c>
      <c r="J216" s="168">
        <v>1316.1694949999999</v>
      </c>
      <c r="K216" s="169">
        <v>15</v>
      </c>
      <c r="L216" s="167">
        <f t="shared" si="23"/>
        <v>329.04237374999997</v>
      </c>
      <c r="M216" s="170">
        <v>12</v>
      </c>
      <c r="N216" s="168">
        <v>62.22</v>
      </c>
      <c r="O216" s="170">
        <v>12</v>
      </c>
      <c r="P216" s="168">
        <v>40.92</v>
      </c>
      <c r="Q216" s="170"/>
      <c r="R216" s="168"/>
      <c r="S216" s="171"/>
      <c r="T216" s="168"/>
      <c r="U216" s="167"/>
      <c r="V216" s="168"/>
      <c r="W216" s="167"/>
      <c r="X216" s="168">
        <v>15</v>
      </c>
      <c r="Y216" s="167"/>
      <c r="Z216" s="168">
        <v>20</v>
      </c>
      <c r="AA216" s="167"/>
      <c r="AB216" s="172">
        <f>+Datos_Generales!$K$9</f>
        <v>3.6999999999999998E-2</v>
      </c>
      <c r="AC216" s="167"/>
      <c r="AD216" s="172">
        <v>0.33</v>
      </c>
      <c r="AE216" s="167"/>
      <c r="AF216" s="168">
        <v>18.36</v>
      </c>
      <c r="AG216" s="167"/>
      <c r="AH216" s="182"/>
      <c r="AI216" s="167"/>
      <c r="AJ216" s="182"/>
      <c r="AK216" s="167"/>
      <c r="AL216" s="170">
        <f t="shared" si="24"/>
        <v>1645.2118687499999</v>
      </c>
      <c r="AM216" s="170"/>
      <c r="AN216" s="170">
        <f t="shared" si="25"/>
        <v>156.5</v>
      </c>
      <c r="AO216" s="170"/>
      <c r="AP216" s="170">
        <f t="shared" si="26"/>
        <v>80.960876061187506</v>
      </c>
      <c r="AQ216" s="170"/>
      <c r="AR216" s="170">
        <f t="shared" si="27"/>
        <v>542.91991668749995</v>
      </c>
      <c r="AS216" s="170"/>
      <c r="AT216" s="170" t="e">
        <f>+(N216+P216)+((X216+Z216+AF216)/Datos_Generales!$E$15)</f>
        <v>#DIV/0!</v>
      </c>
      <c r="AU216" s="199"/>
      <c r="AV216" s="199">
        <f t="shared" si="28"/>
        <v>2188.1317854375002</v>
      </c>
      <c r="AW216" s="199"/>
      <c r="AX216" s="173" t="e">
        <f t="shared" si="29"/>
        <v>#DIV/0!</v>
      </c>
    </row>
    <row r="217" spans="1:50" x14ac:dyDescent="0.2">
      <c r="A217" s="161" t="s">
        <v>2338</v>
      </c>
      <c r="B217" s="162">
        <v>2019</v>
      </c>
      <c r="C217" s="163"/>
      <c r="D217" s="163"/>
      <c r="E217" s="164" t="s">
        <v>2308</v>
      </c>
      <c r="F217" s="165" t="s">
        <v>2339</v>
      </c>
      <c r="G217" s="166">
        <v>40</v>
      </c>
      <c r="H217" s="167">
        <v>8</v>
      </c>
      <c r="I217" s="167">
        <v>1166.5479899999998</v>
      </c>
      <c r="J217" s="168">
        <v>1166.5479899999998</v>
      </c>
      <c r="K217" s="169">
        <v>15</v>
      </c>
      <c r="L217" s="167">
        <f t="shared" si="23"/>
        <v>291.63699749999995</v>
      </c>
      <c r="M217" s="170">
        <v>12</v>
      </c>
      <c r="N217" s="168">
        <v>62.22</v>
      </c>
      <c r="O217" s="170">
        <v>12</v>
      </c>
      <c r="P217" s="168">
        <v>40.92</v>
      </c>
      <c r="Q217" s="170"/>
      <c r="R217" s="168"/>
      <c r="S217" s="171"/>
      <c r="T217" s="168"/>
      <c r="U217" s="167"/>
      <c r="V217" s="168"/>
      <c r="W217" s="167"/>
      <c r="X217" s="168">
        <v>15</v>
      </c>
      <c r="Y217" s="167"/>
      <c r="Z217" s="168">
        <v>20</v>
      </c>
      <c r="AA217" s="167"/>
      <c r="AB217" s="172">
        <f>+Datos_Generales!$K$9</f>
        <v>3.6999999999999998E-2</v>
      </c>
      <c r="AC217" s="167"/>
      <c r="AD217" s="172">
        <v>0.33</v>
      </c>
      <c r="AE217" s="167"/>
      <c r="AF217" s="168">
        <v>18.36</v>
      </c>
      <c r="AG217" s="167"/>
      <c r="AH217" s="182"/>
      <c r="AI217" s="167"/>
      <c r="AJ217" s="182"/>
      <c r="AK217" s="167"/>
      <c r="AL217" s="170">
        <f t="shared" si="24"/>
        <v>1458.1849874999998</v>
      </c>
      <c r="AM217" s="170"/>
      <c r="AN217" s="170">
        <f t="shared" si="25"/>
        <v>156.5</v>
      </c>
      <c r="AO217" s="170"/>
      <c r="AP217" s="170">
        <f t="shared" si="26"/>
        <v>71.75728323487499</v>
      </c>
      <c r="AQ217" s="170"/>
      <c r="AR217" s="170">
        <f t="shared" si="27"/>
        <v>481.20104587499998</v>
      </c>
      <c r="AS217" s="170"/>
      <c r="AT217" s="170" t="e">
        <f>+(N217+P217)+((X217+Z217+AF217)/Datos_Generales!$E$15)</f>
        <v>#DIV/0!</v>
      </c>
      <c r="AU217" s="199"/>
      <c r="AV217" s="199">
        <f t="shared" si="28"/>
        <v>1939.3860333749999</v>
      </c>
      <c r="AW217" s="199"/>
      <c r="AX217" s="173" t="e">
        <f t="shared" si="29"/>
        <v>#DIV/0!</v>
      </c>
    </row>
    <row r="218" spans="1:50" x14ac:dyDescent="0.2">
      <c r="A218" s="161" t="s">
        <v>2338</v>
      </c>
      <c r="B218" s="162">
        <v>2019</v>
      </c>
      <c r="C218" s="163"/>
      <c r="D218" s="163"/>
      <c r="E218" s="164" t="s">
        <v>1084</v>
      </c>
      <c r="F218" s="165" t="s">
        <v>1083</v>
      </c>
      <c r="G218" s="166">
        <v>40</v>
      </c>
      <c r="H218" s="167">
        <v>8</v>
      </c>
      <c r="I218" s="167">
        <v>1123.8602250000001</v>
      </c>
      <c r="J218" s="168">
        <v>1123.8602250000001</v>
      </c>
      <c r="K218" s="169">
        <v>15</v>
      </c>
      <c r="L218" s="167">
        <f t="shared" si="23"/>
        <v>280.96505625000003</v>
      </c>
      <c r="M218" s="170">
        <v>12</v>
      </c>
      <c r="N218" s="168">
        <v>62.22</v>
      </c>
      <c r="O218" s="170">
        <v>12</v>
      </c>
      <c r="P218" s="168">
        <v>40.92</v>
      </c>
      <c r="Q218" s="170"/>
      <c r="R218" s="168"/>
      <c r="S218" s="171"/>
      <c r="T218" s="168"/>
      <c r="U218" s="167"/>
      <c r="V218" s="168"/>
      <c r="W218" s="167"/>
      <c r="X218" s="168">
        <v>15</v>
      </c>
      <c r="Y218" s="167"/>
      <c r="Z218" s="168">
        <v>20</v>
      </c>
      <c r="AA218" s="167"/>
      <c r="AB218" s="172">
        <f>+Datos_Generales!$K$9</f>
        <v>3.6999999999999998E-2</v>
      </c>
      <c r="AC218" s="167"/>
      <c r="AD218" s="172">
        <v>0.33</v>
      </c>
      <c r="AE218" s="167"/>
      <c r="AF218" s="168">
        <v>18.36</v>
      </c>
      <c r="AG218" s="167"/>
      <c r="AH218" s="182"/>
      <c r="AI218" s="167"/>
      <c r="AJ218" s="182"/>
      <c r="AK218" s="167"/>
      <c r="AL218" s="170">
        <f t="shared" si="24"/>
        <v>1404.8252812500002</v>
      </c>
      <c r="AM218" s="170"/>
      <c r="AN218" s="170">
        <f t="shared" si="25"/>
        <v>156.5</v>
      </c>
      <c r="AO218" s="170"/>
      <c r="AP218" s="170">
        <f t="shared" si="26"/>
        <v>69.131452090312507</v>
      </c>
      <c r="AQ218" s="170"/>
      <c r="AR218" s="170">
        <f t="shared" si="27"/>
        <v>463.59234281250008</v>
      </c>
      <c r="AS218" s="170"/>
      <c r="AT218" s="170" t="e">
        <f>+(N218+P218)+((X218+Z218+AF218)/Datos_Generales!$E$15)</f>
        <v>#DIV/0!</v>
      </c>
      <c r="AU218" s="199"/>
      <c r="AV218" s="199">
        <f t="shared" si="28"/>
        <v>1868.4176240625004</v>
      </c>
      <c r="AW218" s="199"/>
      <c r="AX218" s="173" t="e">
        <f t="shared" si="29"/>
        <v>#DIV/0!</v>
      </c>
    </row>
    <row r="219" spans="1:50" x14ac:dyDescent="0.2">
      <c r="A219" s="161" t="s">
        <v>2338</v>
      </c>
      <c r="B219" s="162">
        <v>2019</v>
      </c>
      <c r="C219" s="163"/>
      <c r="D219" s="163"/>
      <c r="E219" s="164" t="s">
        <v>1067</v>
      </c>
      <c r="F219" s="165">
        <v>4</v>
      </c>
      <c r="G219" s="166">
        <v>40</v>
      </c>
      <c r="H219" s="167">
        <v>8</v>
      </c>
      <c r="I219" s="167">
        <v>1123.8602250000001</v>
      </c>
      <c r="J219" s="168">
        <v>1123.8602250000001</v>
      </c>
      <c r="K219" s="169">
        <v>15</v>
      </c>
      <c r="L219" s="167">
        <f t="shared" si="23"/>
        <v>280.96505625000003</v>
      </c>
      <c r="M219" s="170">
        <v>12</v>
      </c>
      <c r="N219" s="168">
        <v>62.22</v>
      </c>
      <c r="O219" s="170">
        <v>12</v>
      </c>
      <c r="P219" s="168">
        <v>40.92</v>
      </c>
      <c r="Q219" s="170"/>
      <c r="R219" s="168"/>
      <c r="S219" s="171"/>
      <c r="T219" s="168"/>
      <c r="U219" s="167"/>
      <c r="V219" s="168"/>
      <c r="W219" s="167"/>
      <c r="X219" s="168">
        <v>15</v>
      </c>
      <c r="Y219" s="167"/>
      <c r="Z219" s="168">
        <v>20</v>
      </c>
      <c r="AA219" s="167"/>
      <c r="AB219" s="172">
        <f>+Datos_Generales!$K$9</f>
        <v>3.6999999999999998E-2</v>
      </c>
      <c r="AC219" s="167"/>
      <c r="AD219" s="172">
        <v>0.33</v>
      </c>
      <c r="AE219" s="167"/>
      <c r="AF219" s="168">
        <v>18.36</v>
      </c>
      <c r="AG219" s="167"/>
      <c r="AH219" s="182"/>
      <c r="AI219" s="167"/>
      <c r="AJ219" s="182"/>
      <c r="AK219" s="167"/>
      <c r="AL219" s="170">
        <f t="shared" si="24"/>
        <v>1404.8252812500002</v>
      </c>
      <c r="AM219" s="170"/>
      <c r="AN219" s="170">
        <f t="shared" si="25"/>
        <v>156.5</v>
      </c>
      <c r="AO219" s="170"/>
      <c r="AP219" s="170">
        <f t="shared" si="26"/>
        <v>69.131452090312507</v>
      </c>
      <c r="AQ219" s="170"/>
      <c r="AR219" s="170">
        <f t="shared" si="27"/>
        <v>463.59234281250008</v>
      </c>
      <c r="AS219" s="170"/>
      <c r="AT219" s="170" t="e">
        <f>+(N219+P219)+((X219+Z219+AF219)/Datos_Generales!$E$15)</f>
        <v>#DIV/0!</v>
      </c>
      <c r="AU219" s="199"/>
      <c r="AV219" s="199">
        <f t="shared" si="28"/>
        <v>1868.4176240625004</v>
      </c>
      <c r="AW219" s="199"/>
      <c r="AX219" s="173" t="e">
        <f t="shared" si="29"/>
        <v>#DIV/0!</v>
      </c>
    </row>
    <row r="220" spans="1:50" x14ac:dyDescent="0.2">
      <c r="A220" s="161" t="s">
        <v>2338</v>
      </c>
      <c r="B220" s="162">
        <v>2019</v>
      </c>
      <c r="C220" s="163"/>
      <c r="D220" s="163"/>
      <c r="E220" s="164" t="s">
        <v>1069</v>
      </c>
      <c r="F220" s="165" t="s">
        <v>1085</v>
      </c>
      <c r="G220" s="166">
        <v>40</v>
      </c>
      <c r="H220" s="167">
        <v>8</v>
      </c>
      <c r="I220" s="167">
        <v>1081.1515499999998</v>
      </c>
      <c r="J220" s="168">
        <v>1081.1515499999998</v>
      </c>
      <c r="K220" s="169">
        <v>15</v>
      </c>
      <c r="L220" s="167">
        <f t="shared" si="23"/>
        <v>270.28788749999995</v>
      </c>
      <c r="M220" s="170">
        <v>12</v>
      </c>
      <c r="N220" s="168">
        <v>62.22</v>
      </c>
      <c r="O220" s="170">
        <v>12</v>
      </c>
      <c r="P220" s="168">
        <v>40.92</v>
      </c>
      <c r="Q220" s="170"/>
      <c r="R220" s="168"/>
      <c r="S220" s="171"/>
      <c r="T220" s="168"/>
      <c r="U220" s="167"/>
      <c r="V220" s="168"/>
      <c r="W220" s="167"/>
      <c r="X220" s="168">
        <v>15</v>
      </c>
      <c r="Y220" s="167"/>
      <c r="Z220" s="168">
        <v>20</v>
      </c>
      <c r="AA220" s="167"/>
      <c r="AB220" s="172">
        <f>+Datos_Generales!$K$9</f>
        <v>3.6999999999999998E-2</v>
      </c>
      <c r="AC220" s="167"/>
      <c r="AD220" s="172">
        <v>0.33</v>
      </c>
      <c r="AE220" s="167"/>
      <c r="AF220" s="168">
        <v>18.36</v>
      </c>
      <c r="AG220" s="167"/>
      <c r="AH220" s="182"/>
      <c r="AI220" s="167"/>
      <c r="AJ220" s="182"/>
      <c r="AK220" s="167"/>
      <c r="AL220" s="170">
        <f t="shared" si="24"/>
        <v>1351.4394374999997</v>
      </c>
      <c r="AM220" s="170"/>
      <c r="AN220" s="170">
        <f t="shared" si="25"/>
        <v>156.5</v>
      </c>
      <c r="AO220" s="170"/>
      <c r="AP220" s="170">
        <f t="shared" si="26"/>
        <v>66.504334719374981</v>
      </c>
      <c r="AQ220" s="170"/>
      <c r="AR220" s="170">
        <f t="shared" si="27"/>
        <v>445.97501437499994</v>
      </c>
      <c r="AS220" s="170"/>
      <c r="AT220" s="170" t="e">
        <f>+(N220+P220)+((X220+Z220+AF220)/Datos_Generales!$E$15)</f>
        <v>#DIV/0!</v>
      </c>
      <c r="AU220" s="199"/>
      <c r="AV220" s="199">
        <f t="shared" si="28"/>
        <v>1797.4144518749997</v>
      </c>
      <c r="AW220" s="199"/>
      <c r="AX220" s="173" t="e">
        <f t="shared" si="29"/>
        <v>#DIV/0!</v>
      </c>
    </row>
    <row r="221" spans="1:50" x14ac:dyDescent="0.2">
      <c r="A221" s="161" t="s">
        <v>2338</v>
      </c>
      <c r="B221" s="162">
        <v>2019</v>
      </c>
      <c r="C221" s="163"/>
      <c r="D221" s="163"/>
      <c r="E221" s="164" t="s">
        <v>2284</v>
      </c>
      <c r="F221" s="165" t="s">
        <v>1085</v>
      </c>
      <c r="G221" s="166">
        <v>40</v>
      </c>
      <c r="H221" s="167">
        <v>8</v>
      </c>
      <c r="I221" s="167">
        <v>1065.1658549999997</v>
      </c>
      <c r="J221" s="168">
        <v>1065.1658549999997</v>
      </c>
      <c r="K221" s="169">
        <v>15</v>
      </c>
      <c r="L221" s="167">
        <f t="shared" si="23"/>
        <v>266.29146374999993</v>
      </c>
      <c r="M221" s="170">
        <v>12</v>
      </c>
      <c r="N221" s="168">
        <v>62.22</v>
      </c>
      <c r="O221" s="170">
        <v>12</v>
      </c>
      <c r="P221" s="168">
        <v>40.92</v>
      </c>
      <c r="Q221" s="170"/>
      <c r="R221" s="168"/>
      <c r="S221" s="171"/>
      <c r="T221" s="168"/>
      <c r="U221" s="167"/>
      <c r="V221" s="168"/>
      <c r="W221" s="167"/>
      <c r="X221" s="168">
        <v>15</v>
      </c>
      <c r="Y221" s="167"/>
      <c r="Z221" s="168">
        <v>20</v>
      </c>
      <c r="AA221" s="167"/>
      <c r="AB221" s="172">
        <f>+Datos_Generales!$K$9</f>
        <v>3.6999999999999998E-2</v>
      </c>
      <c r="AC221" s="167"/>
      <c r="AD221" s="172">
        <v>0.33</v>
      </c>
      <c r="AE221" s="167"/>
      <c r="AF221" s="168">
        <v>18.36</v>
      </c>
      <c r="AG221" s="167"/>
      <c r="AH221" s="182"/>
      <c r="AI221" s="167"/>
      <c r="AJ221" s="182"/>
      <c r="AK221" s="167"/>
      <c r="AL221" s="170">
        <f t="shared" si="24"/>
        <v>1331.4573187499996</v>
      </c>
      <c r="AM221" s="170"/>
      <c r="AN221" s="170">
        <f t="shared" si="25"/>
        <v>156.5</v>
      </c>
      <c r="AO221" s="170"/>
      <c r="AP221" s="170">
        <f t="shared" si="26"/>
        <v>65.52101465568748</v>
      </c>
      <c r="AQ221" s="170"/>
      <c r="AR221" s="170">
        <f t="shared" si="27"/>
        <v>439.38091518749985</v>
      </c>
      <c r="AS221" s="170"/>
      <c r="AT221" s="170" t="e">
        <f>+(N221+P221)+((X221+Z221+AF221)/Datos_Generales!$E$15)</f>
        <v>#DIV/0!</v>
      </c>
      <c r="AU221" s="199"/>
      <c r="AV221" s="199">
        <f t="shared" si="28"/>
        <v>1770.8382339374996</v>
      </c>
      <c r="AW221" s="199"/>
      <c r="AX221" s="173" t="e">
        <f t="shared" si="29"/>
        <v>#DIV/0!</v>
      </c>
    </row>
    <row r="222" spans="1:50" x14ac:dyDescent="0.2">
      <c r="A222" s="161" t="s">
        <v>2338</v>
      </c>
      <c r="B222" s="162">
        <v>2019</v>
      </c>
      <c r="C222" s="163"/>
      <c r="D222" s="163"/>
      <c r="E222" s="164" t="s">
        <v>2271</v>
      </c>
      <c r="F222" s="165">
        <v>6</v>
      </c>
      <c r="G222" s="166">
        <v>40</v>
      </c>
      <c r="H222" s="167">
        <v>8</v>
      </c>
      <c r="I222" s="167">
        <v>950.54819999999995</v>
      </c>
      <c r="J222" s="168">
        <v>950.54819999999995</v>
      </c>
      <c r="K222" s="169">
        <v>15</v>
      </c>
      <c r="L222" s="167">
        <f t="shared" si="23"/>
        <v>237.63704999999996</v>
      </c>
      <c r="M222" s="170">
        <v>12</v>
      </c>
      <c r="N222" s="168">
        <v>62.22</v>
      </c>
      <c r="O222" s="170">
        <v>12</v>
      </c>
      <c r="P222" s="168">
        <v>40.92</v>
      </c>
      <c r="Q222" s="170"/>
      <c r="R222" s="168"/>
      <c r="S222" s="171"/>
      <c r="T222" s="168"/>
      <c r="U222" s="167"/>
      <c r="V222" s="168"/>
      <c r="W222" s="167"/>
      <c r="X222" s="168">
        <v>15</v>
      </c>
      <c r="Y222" s="167"/>
      <c r="Z222" s="168">
        <v>20</v>
      </c>
      <c r="AA222" s="167"/>
      <c r="AB222" s="172">
        <f>+Datos_Generales!$K$9</f>
        <v>3.6999999999999998E-2</v>
      </c>
      <c r="AC222" s="167"/>
      <c r="AD222" s="172">
        <v>0.33</v>
      </c>
      <c r="AE222" s="167"/>
      <c r="AF222" s="168">
        <v>18.36</v>
      </c>
      <c r="AG222" s="167"/>
      <c r="AH222" s="182"/>
      <c r="AI222" s="167"/>
      <c r="AJ222" s="182"/>
      <c r="AK222" s="167"/>
      <c r="AL222" s="170">
        <f t="shared" si="24"/>
        <v>1188.18525</v>
      </c>
      <c r="AM222" s="170"/>
      <c r="AN222" s="170">
        <f t="shared" si="25"/>
        <v>156.5</v>
      </c>
      <c r="AO222" s="170"/>
      <c r="AP222" s="170">
        <f t="shared" si="26"/>
        <v>58.470596152500001</v>
      </c>
      <c r="AQ222" s="170"/>
      <c r="AR222" s="170">
        <f t="shared" si="27"/>
        <v>392.10113250000001</v>
      </c>
      <c r="AS222" s="170"/>
      <c r="AT222" s="170" t="e">
        <f>+(N222+P222)+((X222+Z222+AF222)/Datos_Generales!$E$15)</f>
        <v>#DIV/0!</v>
      </c>
      <c r="AU222" s="199"/>
      <c r="AV222" s="199">
        <f t="shared" si="28"/>
        <v>1580.2863825000002</v>
      </c>
      <c r="AW222" s="199"/>
      <c r="AX222" s="173" t="e">
        <f t="shared" si="29"/>
        <v>#DIV/0!</v>
      </c>
    </row>
    <row r="223" spans="1:50" x14ac:dyDescent="0.2">
      <c r="A223" s="161" t="s">
        <v>2338</v>
      </c>
      <c r="B223" s="162">
        <v>2019</v>
      </c>
      <c r="C223" s="163"/>
      <c r="D223" s="163"/>
      <c r="E223" s="164" t="s">
        <v>1236</v>
      </c>
      <c r="F223" s="165">
        <v>6</v>
      </c>
      <c r="G223" s="166">
        <v>40</v>
      </c>
      <c r="H223" s="167">
        <v>8</v>
      </c>
      <c r="I223" s="167">
        <v>950.54819999999995</v>
      </c>
      <c r="J223" s="168">
        <v>950.54819999999995</v>
      </c>
      <c r="K223" s="169">
        <v>15</v>
      </c>
      <c r="L223" s="167">
        <f t="shared" si="23"/>
        <v>237.63704999999996</v>
      </c>
      <c r="M223" s="170">
        <v>12</v>
      </c>
      <c r="N223" s="168">
        <v>62.22</v>
      </c>
      <c r="O223" s="170">
        <v>12</v>
      </c>
      <c r="P223" s="168">
        <v>40.92</v>
      </c>
      <c r="Q223" s="170"/>
      <c r="R223" s="168"/>
      <c r="S223" s="171"/>
      <c r="T223" s="168"/>
      <c r="U223" s="167"/>
      <c r="V223" s="168"/>
      <c r="W223" s="167"/>
      <c r="X223" s="168">
        <v>15</v>
      </c>
      <c r="Y223" s="167"/>
      <c r="Z223" s="168">
        <v>20</v>
      </c>
      <c r="AA223" s="167"/>
      <c r="AB223" s="172">
        <f>+Datos_Generales!$K$9</f>
        <v>3.6999999999999998E-2</v>
      </c>
      <c r="AC223" s="167"/>
      <c r="AD223" s="172">
        <v>0.33</v>
      </c>
      <c r="AE223" s="167"/>
      <c r="AF223" s="168">
        <v>18.36</v>
      </c>
      <c r="AG223" s="167"/>
      <c r="AH223" s="182"/>
      <c r="AI223" s="167"/>
      <c r="AJ223" s="182"/>
      <c r="AK223" s="167"/>
      <c r="AL223" s="170">
        <f t="shared" si="24"/>
        <v>1188.18525</v>
      </c>
      <c r="AM223" s="170"/>
      <c r="AN223" s="170">
        <f t="shared" si="25"/>
        <v>156.5</v>
      </c>
      <c r="AO223" s="170"/>
      <c r="AP223" s="170">
        <f t="shared" si="26"/>
        <v>58.470596152500001</v>
      </c>
      <c r="AQ223" s="170"/>
      <c r="AR223" s="170">
        <f t="shared" si="27"/>
        <v>392.10113250000001</v>
      </c>
      <c r="AS223" s="170"/>
      <c r="AT223" s="170" t="e">
        <f>+(N223+P223)+((X223+Z223+AF223)/Datos_Generales!$E$15)</f>
        <v>#DIV/0!</v>
      </c>
      <c r="AU223" s="199"/>
      <c r="AV223" s="199">
        <f t="shared" si="28"/>
        <v>1580.2863825000002</v>
      </c>
      <c r="AW223" s="199"/>
      <c r="AX223" s="173" t="e">
        <f t="shared" si="29"/>
        <v>#DIV/0!</v>
      </c>
    </row>
    <row r="224" spans="1:50" x14ac:dyDescent="0.2">
      <c r="A224" s="161" t="s">
        <v>2338</v>
      </c>
      <c r="B224" s="162">
        <v>2019</v>
      </c>
      <c r="C224" s="163"/>
      <c r="D224" s="163"/>
      <c r="E224" s="164" t="s">
        <v>1073</v>
      </c>
      <c r="F224" s="165" t="s">
        <v>2273</v>
      </c>
      <c r="G224" s="166">
        <v>40</v>
      </c>
      <c r="H224" s="167">
        <v>8</v>
      </c>
      <c r="I224" s="167">
        <v>1189.9932000000001</v>
      </c>
      <c r="J224" s="168">
        <v>1189.9932000000001</v>
      </c>
      <c r="K224" s="169">
        <v>12</v>
      </c>
      <c r="L224" s="167">
        <f t="shared" si="23"/>
        <v>0</v>
      </c>
      <c r="M224" s="170"/>
      <c r="N224" s="168"/>
      <c r="O224" s="170"/>
      <c r="P224" s="168"/>
      <c r="Q224" s="170"/>
      <c r="R224" s="168"/>
      <c r="S224" s="171"/>
      <c r="T224" s="168"/>
      <c r="U224" s="167"/>
      <c r="V224" s="168"/>
      <c r="W224" s="167"/>
      <c r="X224" s="168">
        <v>15</v>
      </c>
      <c r="Y224" s="167"/>
      <c r="Z224" s="168">
        <v>20</v>
      </c>
      <c r="AA224" s="167"/>
      <c r="AB224" s="172">
        <f>+Datos_Generales!$K$9</f>
        <v>3.6999999999999998E-2</v>
      </c>
      <c r="AC224" s="167"/>
      <c r="AD224" s="172">
        <v>0.33</v>
      </c>
      <c r="AE224" s="167"/>
      <c r="AF224" s="168">
        <v>18.36</v>
      </c>
      <c r="AG224" s="167"/>
      <c r="AH224" s="182"/>
      <c r="AI224" s="167"/>
      <c r="AJ224" s="182"/>
      <c r="AK224" s="167"/>
      <c r="AL224" s="170">
        <f t="shared" si="24"/>
        <v>1189.9932000000001</v>
      </c>
      <c r="AM224" s="170"/>
      <c r="AN224" s="170">
        <f t="shared" si="25"/>
        <v>53.36</v>
      </c>
      <c r="AO224" s="170"/>
      <c r="AP224" s="170">
        <f t="shared" si="26"/>
        <v>58.559565372000002</v>
      </c>
      <c r="AQ224" s="170"/>
      <c r="AR224" s="170">
        <f t="shared" si="27"/>
        <v>392.69775600000008</v>
      </c>
      <c r="AS224" s="170"/>
      <c r="AT224" s="170" t="e">
        <f>+(N224+P224)+((X224+Z224+AF224)/Datos_Generales!$E$15)</f>
        <v>#DIV/0!</v>
      </c>
      <c r="AU224" s="199"/>
      <c r="AV224" s="199">
        <f t="shared" si="28"/>
        <v>1582.6909560000001</v>
      </c>
      <c r="AW224" s="199"/>
      <c r="AX224" s="173" t="e">
        <f t="shared" si="29"/>
        <v>#DIV/0!</v>
      </c>
    </row>
    <row r="225" spans="1:50" x14ac:dyDescent="0.2">
      <c r="A225" s="161" t="s">
        <v>2338</v>
      </c>
      <c r="B225" s="162">
        <v>2019</v>
      </c>
      <c r="C225" s="163"/>
      <c r="D225" s="163"/>
      <c r="E225" s="164"/>
      <c r="F225" s="165"/>
      <c r="G225" s="166"/>
      <c r="H225" s="167">
        <v>8</v>
      </c>
      <c r="I225" s="167"/>
      <c r="J225" s="168"/>
      <c r="K225" s="169">
        <v>15</v>
      </c>
      <c r="L225" s="167">
        <f t="shared" si="23"/>
        <v>0</v>
      </c>
      <c r="M225" s="170">
        <v>12</v>
      </c>
      <c r="N225" s="168">
        <v>62.22</v>
      </c>
      <c r="O225" s="170">
        <v>12</v>
      </c>
      <c r="P225" s="168">
        <v>40.92</v>
      </c>
      <c r="Q225" s="170"/>
      <c r="R225" s="168"/>
      <c r="S225" s="171"/>
      <c r="T225" s="168"/>
      <c r="U225" s="167"/>
      <c r="V225" s="168"/>
      <c r="W225" s="167"/>
      <c r="X225" s="168">
        <v>15</v>
      </c>
      <c r="Y225" s="167"/>
      <c r="Z225" s="168"/>
      <c r="AA225" s="167"/>
      <c r="AB225" s="172">
        <f>+Datos_Generales!$K$9</f>
        <v>3.6999999999999998E-2</v>
      </c>
      <c r="AC225" s="167"/>
      <c r="AD225" s="172"/>
      <c r="AE225" s="167"/>
      <c r="AF225" s="168"/>
      <c r="AG225" s="167"/>
      <c r="AH225" s="182"/>
      <c r="AI225" s="167"/>
      <c r="AJ225" s="182"/>
      <c r="AK225" s="167"/>
      <c r="AL225" s="170">
        <f t="shared" si="24"/>
        <v>0</v>
      </c>
      <c r="AM225" s="170"/>
      <c r="AN225" s="170">
        <f t="shared" si="25"/>
        <v>118.14</v>
      </c>
      <c r="AO225" s="170"/>
      <c r="AP225" s="170">
        <f t="shared" si="26"/>
        <v>0</v>
      </c>
      <c r="AQ225" s="170"/>
      <c r="AR225" s="170">
        <f t="shared" si="27"/>
        <v>0</v>
      </c>
      <c r="AS225" s="170"/>
      <c r="AT225" s="170" t="e">
        <f>+(N225+P225)+((X225+Z225+AF225)/Datos_Generales!$E$15)</f>
        <v>#DIV/0!</v>
      </c>
      <c r="AU225" s="199"/>
      <c r="AV225" s="199">
        <f t="shared" si="28"/>
        <v>0</v>
      </c>
      <c r="AW225" s="199"/>
      <c r="AX225" s="173" t="e">
        <f t="shared" si="29"/>
        <v>#DIV/0!</v>
      </c>
    </row>
    <row r="226" spans="1:50" ht="13.5" thickBot="1" x14ac:dyDescent="0.25">
      <c r="A226" s="184" t="s">
        <v>2338</v>
      </c>
      <c r="B226" s="185">
        <v>2019</v>
      </c>
      <c r="C226" s="186"/>
      <c r="D226" s="186"/>
      <c r="E226" s="187"/>
      <c r="F226" s="188"/>
      <c r="G226" s="189"/>
      <c r="H226" s="190">
        <v>8</v>
      </c>
      <c r="I226" s="190"/>
      <c r="J226" s="191"/>
      <c r="K226" s="192">
        <v>15</v>
      </c>
      <c r="L226" s="190">
        <f t="shared" si="23"/>
        <v>0</v>
      </c>
      <c r="M226" s="193">
        <v>12</v>
      </c>
      <c r="N226" s="191">
        <v>62.22</v>
      </c>
      <c r="O226" s="193">
        <v>12</v>
      </c>
      <c r="P226" s="191">
        <v>40.92</v>
      </c>
      <c r="Q226" s="193"/>
      <c r="R226" s="191"/>
      <c r="S226" s="194"/>
      <c r="T226" s="191"/>
      <c r="U226" s="190"/>
      <c r="V226" s="191"/>
      <c r="W226" s="190"/>
      <c r="X226" s="191">
        <v>15</v>
      </c>
      <c r="Y226" s="190"/>
      <c r="Z226" s="191"/>
      <c r="AA226" s="190"/>
      <c r="AB226" s="195">
        <f>+Datos_Generales!$K$9</f>
        <v>3.6999999999999998E-2</v>
      </c>
      <c r="AC226" s="190"/>
      <c r="AD226" s="195"/>
      <c r="AE226" s="190"/>
      <c r="AF226" s="191"/>
      <c r="AG226" s="190"/>
      <c r="AH226" s="196"/>
      <c r="AI226" s="190"/>
      <c r="AJ226" s="196"/>
      <c r="AK226" s="190"/>
      <c r="AL226" s="193">
        <f t="shared" si="24"/>
        <v>0</v>
      </c>
      <c r="AM226" s="193"/>
      <c r="AN226" s="193">
        <f t="shared" si="25"/>
        <v>118.14</v>
      </c>
      <c r="AO226" s="193"/>
      <c r="AP226" s="193">
        <f t="shared" si="26"/>
        <v>0</v>
      </c>
      <c r="AQ226" s="193"/>
      <c r="AR226" s="193">
        <f t="shared" si="27"/>
        <v>0</v>
      </c>
      <c r="AS226" s="193"/>
      <c r="AT226" s="193" t="e">
        <f>+(N226+P226)+((X226+Z226+AF226)/Datos_Generales!$E$15)</f>
        <v>#DIV/0!</v>
      </c>
      <c r="AU226" s="200"/>
      <c r="AV226" s="200">
        <f t="shared" si="28"/>
        <v>0</v>
      </c>
      <c r="AW226" s="200"/>
      <c r="AX226" s="197">
        <f t="shared" ref="AX226" si="30">+AL226+AN226+AP226+AR226</f>
        <v>118.14</v>
      </c>
    </row>
  </sheetData>
  <autoFilter ref="A2:AX226" xr:uid="{82E4617A-6601-40AD-8388-22FE195906DF}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817e2d1-9d27-4337-85e9-11e70720c8c9">
      <UserInfo>
        <DisplayName>Cristina Lloret Coloma</DisplayName>
        <AccountId>106</AccountId>
        <AccountType/>
      </UserInfo>
      <UserInfo>
        <DisplayName>Matias Ramón Guillem</DisplayName>
        <AccountId>545</AccountId>
        <AccountType/>
      </UserInfo>
      <UserInfo>
        <DisplayName>Nandy Mesado Mateu</DisplayName>
        <AccountId>94</AccountId>
        <AccountType/>
      </UserInfo>
      <UserInfo>
        <DisplayName>Pilar Olivar de la Torre</DisplayName>
        <AccountId>27</AccountId>
        <AccountType/>
      </UserInfo>
      <UserInfo>
        <DisplayName>Evangelina González Rodríguez</DisplayName>
        <AccountId>55</AccountId>
        <AccountType/>
      </UserInfo>
      <UserInfo>
        <DisplayName>Hugo Torre Junquera</DisplayName>
        <AccountId>137</AccountId>
        <AccountType/>
      </UserInfo>
      <UserInfo>
        <DisplayName>Alberto Romero Tejero</DisplayName>
        <AccountId>148</AccountId>
        <AccountType/>
      </UserInfo>
      <UserInfo>
        <DisplayName>Rafael Cano Garro</DisplayName>
        <AccountId>243</AccountId>
        <AccountType/>
      </UserInfo>
      <UserInfo>
        <DisplayName>Pilar García Llop</DisplayName>
        <AccountId>239</AccountId>
        <AccountType/>
      </UserInfo>
      <UserInfo>
        <DisplayName>Silvia Payán Fernández</DisplayName>
        <AccountId>62</AccountId>
        <AccountType/>
      </UserInfo>
    </SharedWithUsers>
    <MediaLengthInSeconds xmlns="8414b57b-7515-4efb-b81a-e8a5c388f210" xsi:nil="true"/>
    <TaxCatchAll xmlns="9817e2d1-9d27-4337-85e9-11e70720c8c9" xsi:nil="true"/>
    <lcf76f155ced4ddcb4097134ff3c332f xmlns="8414b57b-7515-4efb-b81a-e8a5c388f21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A399AE27ED6AA4D8EBED0827B2EA01A" ma:contentTypeVersion="19" ma:contentTypeDescription="Crear nuevo documento." ma:contentTypeScope="" ma:versionID="52dc04ebe9640d0c6897e815b149815e">
  <xsd:schema xmlns:xsd="http://www.w3.org/2001/XMLSchema" xmlns:xs="http://www.w3.org/2001/XMLSchema" xmlns:p="http://schemas.microsoft.com/office/2006/metadata/properties" xmlns:ns2="8414b57b-7515-4efb-b81a-e8a5c388f210" xmlns:ns3="9817e2d1-9d27-4337-85e9-11e70720c8c9" targetNamespace="http://schemas.microsoft.com/office/2006/metadata/properties" ma:root="true" ma:fieldsID="74d1477a5ce0aad16d43031feb6687b4" ns2:_="" ns3:_="">
    <xsd:import namespace="8414b57b-7515-4efb-b81a-e8a5c388f210"/>
    <xsd:import namespace="9817e2d1-9d27-4337-85e9-11e70720c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4b57b-7515-4efb-b81a-e8a5c388f2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6390caf7-539f-4ee6-a1f1-0d8b99f377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7e2d1-9d27-4337-85e9-11e70720c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027c1b3-d91e-4609-9348-4b1b88afae42}" ma:internalName="TaxCatchAll" ma:showField="CatchAllData" ma:web="9817e2d1-9d27-4337-85e9-11e70720c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54B523-DA2C-4A75-8975-C27932EB9DC4}">
  <ds:schemaRefs>
    <ds:schemaRef ds:uri="http://schemas.microsoft.com/office/2006/metadata/properties"/>
    <ds:schemaRef ds:uri="http://schemas.microsoft.com/office/infopath/2007/PartnerControls"/>
    <ds:schemaRef ds:uri="9817e2d1-9d27-4337-85e9-11e70720c8c9"/>
    <ds:schemaRef ds:uri="8414b57b-7515-4efb-b81a-e8a5c388f210"/>
  </ds:schemaRefs>
</ds:datastoreItem>
</file>

<file path=customXml/itemProps2.xml><?xml version="1.0" encoding="utf-8"?>
<ds:datastoreItem xmlns:ds="http://schemas.openxmlformats.org/officeDocument/2006/customXml" ds:itemID="{E2DE5C9C-3E71-4EE6-8B8F-7C6BD58566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CF8A2A-9738-4D42-B338-82CD3E04F7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4b57b-7515-4efb-b81a-e8a5c388f210"/>
    <ds:schemaRef ds:uri="9817e2d1-9d27-4337-85e9-11e70720c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63</vt:i4>
      </vt:variant>
    </vt:vector>
  </HeadingPairs>
  <TitlesOfParts>
    <vt:vector size="81" baseType="lpstr">
      <vt:lpstr>Cambios</vt:lpstr>
      <vt:lpstr>Datos_Generales</vt:lpstr>
      <vt:lpstr>Mano_obra</vt:lpstr>
      <vt:lpstr>Materia_Prima</vt:lpstr>
      <vt:lpstr>Complementos</vt:lpstr>
      <vt:lpstr>Resumen</vt:lpstr>
      <vt:lpstr>Hoja_Oferta</vt:lpstr>
      <vt:lpstr>COEFICIENTES</vt:lpstr>
      <vt:lpstr>COEFICIENTES_CAP</vt:lpstr>
      <vt:lpstr>Presupuesto_final</vt:lpstr>
      <vt:lpstr>Controller</vt:lpstr>
      <vt:lpstr>Presupuesto_Final2</vt:lpstr>
      <vt:lpstr>Anexo_Conselleria_II</vt:lpstr>
      <vt:lpstr>costeHora</vt:lpstr>
      <vt:lpstr>Listado</vt:lpstr>
      <vt:lpstr>calculo_abs.</vt:lpstr>
      <vt:lpstr>Escandallo</vt:lpstr>
      <vt:lpstr>Tablas Salariales</vt:lpstr>
      <vt:lpstr>Alicante</vt:lpstr>
      <vt:lpstr>costeHora!alicante_personal</vt:lpstr>
      <vt:lpstr>alicante_personal</vt:lpstr>
      <vt:lpstr>Amparo_Gisbert</vt:lpstr>
      <vt:lpstr>COEFICIENTES!Área_de_impresión</vt:lpstr>
      <vt:lpstr>COEFICIENTES_CAP!Área_de_impresión</vt:lpstr>
      <vt:lpstr>Complementos!Área_de_impresión</vt:lpstr>
      <vt:lpstr>Datos_Generales!Área_de_impresión</vt:lpstr>
      <vt:lpstr>Hoja_Oferta!Área_de_impresión</vt:lpstr>
      <vt:lpstr>Mano_obra!Área_de_impresión</vt:lpstr>
      <vt:lpstr>Materia_Prima!Área_de_impresión</vt:lpstr>
      <vt:lpstr>Presupuesto_final!Área_de_impresión</vt:lpstr>
      <vt:lpstr>Castellon</vt:lpstr>
      <vt:lpstr>costeHora!castellon_Personal</vt:lpstr>
      <vt:lpstr>castellon_Personal</vt:lpstr>
      <vt:lpstr>Codigos_Centros</vt:lpstr>
      <vt:lpstr>Competencia</vt:lpstr>
      <vt:lpstr>Complementos</vt:lpstr>
      <vt:lpstr>Complementos_Matriz</vt:lpstr>
      <vt:lpstr>controller</vt:lpstr>
      <vt:lpstr>Córdoba</vt:lpstr>
      <vt:lpstr>cordoba_Personal</vt:lpstr>
      <vt:lpstr>Elvira_Serrano</vt:lpstr>
      <vt:lpstr>Escandallo_Dietas</vt:lpstr>
      <vt:lpstr>Eva_Villoldo</vt:lpstr>
      <vt:lpstr>Granada</vt:lpstr>
      <vt:lpstr>granada_personal</vt:lpstr>
      <vt:lpstr>Jaén</vt:lpstr>
      <vt:lpstr>jaen_personal</vt:lpstr>
      <vt:lpstr>Joan_Avella</vt:lpstr>
      <vt:lpstr>Laura_Cucarella</vt:lpstr>
      <vt:lpstr>Listado_clientes</vt:lpstr>
      <vt:lpstr>Madrid</vt:lpstr>
      <vt:lpstr>madrid_Personal</vt:lpstr>
      <vt:lpstr>Málaga</vt:lpstr>
      <vt:lpstr>malaga_personal</vt:lpstr>
      <vt:lpstr>Maria_Jose_Sanchez</vt:lpstr>
      <vt:lpstr>Meses</vt:lpstr>
      <vt:lpstr>Meses_Matriz</vt:lpstr>
      <vt:lpstr>Murcia</vt:lpstr>
      <vt:lpstr>costeHora!murcia_Personal</vt:lpstr>
      <vt:lpstr>murcia_Personal</vt:lpstr>
      <vt:lpstr>Paula_Garcia</vt:lpstr>
      <vt:lpstr>personal_Rangos</vt:lpstr>
      <vt:lpstr>proyectoEducativo</vt:lpstr>
      <vt:lpstr>proyectoEducativo_Matriz</vt:lpstr>
      <vt:lpstr>Responsable</vt:lpstr>
      <vt:lpstr>Rosa_Maria_Tabares</vt:lpstr>
      <vt:lpstr>Sevilla</vt:lpstr>
      <vt:lpstr>sevilla_personal</vt:lpstr>
      <vt:lpstr>Silvia_Payan</vt:lpstr>
      <vt:lpstr>Tipo_Cliente</vt:lpstr>
      <vt:lpstr>Tipo_cliente_Matriz</vt:lpstr>
      <vt:lpstr>Tipo_Comensal</vt:lpstr>
      <vt:lpstr>Tipo_Dieta</vt:lpstr>
      <vt:lpstr>Transporte_Matriz</vt:lpstr>
      <vt:lpstr>Valencia</vt:lpstr>
      <vt:lpstr>costeHora!Valencia_personal</vt:lpstr>
      <vt:lpstr>Valencia_personal</vt:lpstr>
      <vt:lpstr>Variables</vt:lpstr>
      <vt:lpstr>Variables_Matriz</vt:lpstr>
      <vt:lpstr>Yolanda_Alvarez</vt:lpstr>
      <vt:lpstr>Yolanda_Real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</dc:creator>
  <cp:keywords/>
  <dc:description/>
  <cp:lastModifiedBy>David Quiles Gómez</cp:lastModifiedBy>
  <cp:revision/>
  <cp:lastPrinted>2024-05-22T15:00:15Z</cp:lastPrinted>
  <dcterms:created xsi:type="dcterms:W3CDTF">2009-06-16T09:19:07Z</dcterms:created>
  <dcterms:modified xsi:type="dcterms:W3CDTF">2024-08-16T07:06:30Z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0x010100AA399AE27ED6AA4D8EBED0827B2EA01A</vt:lpwstr>
  </property>
  <property fmtid="{D5CDD505-2E9C-101B-9397-08002B2CF9AE}" pid="3" name="Order">
    <vt:r8>31838500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